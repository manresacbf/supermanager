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legenda" sheetId="1" r:id="rId5"/>
    <sheet state="visible" name="Jugadores" sheetId="2" r:id="rId6"/>
    <sheet state="visible" name="Doblatges" sheetId="3" r:id="rId7"/>
    <sheet state="visible" name="Jornades" sheetId="4" r:id="rId8"/>
    <sheet state="visible" name="Partits" sheetId="5" r:id="rId9"/>
    <sheet state="visible" name="Resultats_jugadores" sheetId="6" r:id="rId10"/>
    <sheet state="visible" name="Equips_usuari" sheetId="7" r:id="rId11"/>
    <sheet state="visible" name="Respostes_usuari" sheetId="8" r:id="rId12"/>
    <sheet state="visible" name="Calcul_puntuacio" sheetId="9" r:id="rId13"/>
    <sheet state="visible" name="Classificacio" sheetId="10" r:id="rId14"/>
    <sheet state="visible" name="Classificacio_global" sheetId="11" r:id="rId15"/>
  </sheets>
  <definedNames/>
  <calcPr/>
</workbook>
</file>

<file path=xl/sharedStrings.xml><?xml version="1.0" encoding="utf-8"?>
<sst xmlns="http://schemas.openxmlformats.org/spreadsheetml/2006/main" count="919" uniqueCount="155">
  <si>
    <t>SUPERMANAGER MCBF 26/27 — Full de dades</t>
  </si>
  <si>
    <t>Nom</t>
  </si>
  <si>
    <t>Pestanyes on cal escriure/editar manualment:</t>
  </si>
  <si>
    <t>Equip</t>
  </si>
  <si>
    <t>Posicio</t>
  </si>
  <si>
    <t>Estrella</t>
  </si>
  <si>
    <t>Anna Fornells</t>
  </si>
  <si>
    <t>LF2</t>
  </si>
  <si>
    <t>A</t>
  </si>
  <si>
    <t>NO</t>
  </si>
  <si>
    <t>Queralt Ribera</t>
  </si>
  <si>
    <t>Clàudia Morros</t>
  </si>
  <si>
    <t>Mar Ribera</t>
  </si>
  <si>
    <t>Andreea Cojocariu</t>
  </si>
  <si>
    <t>SI</t>
  </si>
  <si>
    <t>Mar Martí</t>
  </si>
  <si>
    <t>Sira Gaspà</t>
  </si>
  <si>
    <t>B</t>
  </si>
  <si>
    <t>Marina Melero</t>
  </si>
  <si>
    <t>Ayisse Magassa</t>
  </si>
  <si>
    <t>P</t>
  </si>
  <si>
    <t>Emma Pey</t>
  </si>
  <si>
    <t>Eva Almasqué</t>
  </si>
  <si>
    <t>Jana Calvet</t>
  </si>
  <si>
    <t>U13</t>
  </si>
  <si>
    <t>Clàudia Barcons</t>
  </si>
  <si>
    <t>Alba Sánchez</t>
  </si>
  <si>
    <t>Jornada</t>
  </si>
  <si>
    <t>Gal·la Hernando</t>
  </si>
  <si>
    <t>Actiu_U13</t>
  </si>
  <si>
    <t>Actiu_U14</t>
  </si>
  <si>
    <t>Martina Agramunt</t>
  </si>
  <si>
    <t>Actiu_U15</t>
  </si>
  <si>
    <t>Lea Estopà</t>
  </si>
  <si>
    <t>Actiu_U16</t>
  </si>
  <si>
    <t>Equip_origen</t>
  </si>
  <si>
    <t>Equip_dobla</t>
  </si>
  <si>
    <t>Actiu_U17</t>
  </si>
  <si>
    <t>Arlet Canyelles</t>
  </si>
  <si>
    <t>Alina Serrano</t>
  </si>
  <si>
    <t>Aina Torras</t>
  </si>
  <si>
    <t>Ainara Cedres</t>
  </si>
  <si>
    <t>(fora del roster / altra categoria)</t>
  </si>
  <si>
    <t>Arya Miquel</t>
  </si>
  <si>
    <t>Esrae El Harraq</t>
  </si>
  <si>
    <t>Greta Codina</t>
  </si>
  <si>
    <t>U14</t>
  </si>
  <si>
    <t>Doblatges</t>
  </si>
  <si>
    <t>Emma Escudé</t>
  </si>
  <si>
    <t>Elna Leon</t>
  </si>
  <si>
    <t>Actualitzar cada setmana amb la llista de jugadores que dobles i a quin equip.</t>
  </si>
  <si>
    <t>Ndeye Diop</t>
  </si>
  <si>
    <t>Anouk Mas</t>
  </si>
  <si>
    <t>Abril Pérez</t>
  </si>
  <si>
    <t>Ariadna Cartes</t>
  </si>
  <si>
    <t>Edurne Marco</t>
  </si>
  <si>
    <t>Violant Vinyes</t>
  </si>
  <si>
    <t>Leyre Castelló</t>
  </si>
  <si>
    <t>U15</t>
  </si>
  <si>
    <t>Abril Parés</t>
  </si>
  <si>
    <t>Laia Castells</t>
  </si>
  <si>
    <t>Erica Farizo</t>
  </si>
  <si>
    <t>Actiu_U18</t>
  </si>
  <si>
    <t>Ania Molina</t>
  </si>
  <si>
    <t>Actiu_LF2</t>
  </si>
  <si>
    <t>Laia Casas</t>
  </si>
  <si>
    <t>Pregunta_average</t>
  </si>
  <si>
    <t>Resposta_correcta_average</t>
  </si>
  <si>
    <t>Alba Llamas</t>
  </si>
  <si>
    <t>Nina Clotet</t>
  </si>
  <si>
    <t>Pregunta_2</t>
  </si>
  <si>
    <t>U16</t>
  </si>
  <si>
    <t>Fatoumata Dembele</t>
  </si>
  <si>
    <t>Resposta_correcta_2</t>
  </si>
  <si>
    <t>U17</t>
  </si>
  <si>
    <t>Pregunta_3</t>
  </si>
  <si>
    <t>Wealth Atsedagho</t>
  </si>
  <si>
    <t>Resposta_correcta_3</t>
  </si>
  <si>
    <t>Eulàlia Mayor</t>
  </si>
  <si>
    <t>Mostrar_equips</t>
  </si>
  <si>
    <t>Noa Viladrich</t>
  </si>
  <si>
    <t>Helena Jiménez</t>
  </si>
  <si>
    <t>Iara Suárez</t>
  </si>
  <si>
    <t>si</t>
  </si>
  <si>
    <t>Txell Copete</t>
  </si>
  <si>
    <t>Júlia Alayo</t>
  </si>
  <si>
    <t>Jornades</t>
  </si>
  <si>
    <t>Iria Sastre</t>
  </si>
  <si>
    <t>Marcar quins equips juguen aquesta jornada (Actiu_...) i les preguntes/respostes correctes.</t>
  </si>
  <si>
    <t>Sónia Tsyvinska</t>
  </si>
  <si>
    <t>Partits</t>
  </si>
  <si>
    <t>Escriure V o D per cada equip un cop acabada la jornada (per calcular el bonus del 20%).</t>
  </si>
  <si>
    <t>Laia Muncunill</t>
  </si>
  <si>
    <t>Resultats_jugadores</t>
  </si>
  <si>
    <t>Introduir punts i faltes de cada jugadora un cop jugada la jornada.</t>
  </si>
  <si>
    <t>Respostes_usuari</t>
  </si>
  <si>
    <t>Puntuar manualment la columna Punts_preguntes (5 o 20 punts segons la normativa).</t>
  </si>
  <si>
    <t>Sara Primo</t>
  </si>
  <si>
    <t>no</t>
  </si>
  <si>
    <t>Pestanyes que escriurà l'app automàticament:</t>
  </si>
  <si>
    <t>Enia Garcia</t>
  </si>
  <si>
    <t>Equips_usuari</t>
  </si>
  <si>
    <t>De quin marge guanyarà el SFB?</t>
  </si>
  <si>
    <t>Carla Tabares</t>
  </si>
  <si>
    <t>Clàudia Fernández</t>
  </si>
  <si>
    <t>Ada Ledesma</t>
  </si>
  <si>
    <t>Carla Canyelles</t>
  </si>
  <si>
    <t>Aina Magaña</t>
  </si>
  <si>
    <t>Abril Andrades</t>
  </si>
  <si>
    <t>Cada equip que un usuari envia (l'app hi escriu directament).</t>
  </si>
  <si>
    <t>Anna Guix</t>
  </si>
  <si>
    <t>Jugadores</t>
  </si>
  <si>
    <t>(no la toca l'app; és el mestre de dades)</t>
  </si>
  <si>
    <t>Pestanyes calculades — NO editar a mà:</t>
  </si>
  <si>
    <t>Laia Llamas</t>
  </si>
  <si>
    <t>U18</t>
  </si>
  <si>
    <t>Aina Muñoz</t>
  </si>
  <si>
    <t>Carla Forcada</t>
  </si>
  <si>
    <t>Júlia Arcos</t>
  </si>
  <si>
    <t>Calcul_puntuacio</t>
  </si>
  <si>
    <t>Mariona Rosell</t>
  </si>
  <si>
    <t>Xènia Fígols</t>
  </si>
  <si>
    <t>Kourafy Dembele</t>
  </si>
  <si>
    <t>Berta Gol</t>
  </si>
  <si>
    <t>Mbakourou Dembele</t>
  </si>
  <si>
    <t>Carla Dalmau</t>
  </si>
  <si>
    <t>Laia Serra</t>
  </si>
  <si>
    <t>Classificacio</t>
  </si>
  <si>
    <t>Classificacio_global</t>
  </si>
  <si>
    <t>Resultat</t>
  </si>
  <si>
    <t>Clau</t>
  </si>
  <si>
    <t>Resultat: escriure V (victoria) o D (derrota)</t>
  </si>
  <si>
    <t>V</t>
  </si>
  <si>
    <t>Punts</t>
  </si>
  <si>
    <t>Faltes</t>
  </si>
  <si>
    <t>Usuari</t>
  </si>
  <si>
    <t>Jugadora</t>
  </si>
  <si>
    <t>Equip_jugadora</t>
  </si>
  <si>
    <t>Capitana</t>
  </si>
  <si>
    <t>Timestamp</t>
  </si>
  <si>
    <t>U17+SFB</t>
  </si>
  <si>
    <t>Resposta_average</t>
  </si>
  <si>
    <t>Resposta_2</t>
  </si>
  <si>
    <t>Resposta_3</t>
  </si>
  <si>
    <t>Punts_preguntes</t>
  </si>
  <si>
    <t>U18+DE</t>
  </si>
  <si>
    <t>Punts_base</t>
  </si>
  <si>
    <t>Resultat_equip</t>
  </si>
  <si>
    <t>Bonus_multiplicador</t>
  </si>
  <si>
    <t>Punts_amb_bonus</t>
  </si>
  <si>
    <t>Multiplicador_capitana</t>
  </si>
  <si>
    <t>Punts_final</t>
  </si>
  <si>
    <t>Punts_totals_acumulats</t>
  </si>
  <si>
    <t>Punts_equip</t>
  </si>
  <si>
    <t>Punts_totals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</si>
</sst>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12">
    <font>
      <sz val="11.0"/>
      <color theme="1"/>
      <name val="Calibri"/>
      <scheme val="minor"/>
    </font>
    <font>
      <b/>
      <sz val="14.0"/>
      <color rgb="FFE91E63"/>
      <name val="Arial"/>
    </font>
    <font>
      <b/>
      <sz val="11.0"/>
      <color rgb="FFFFFFFF"/>
      <name val="Arial"/>
    </font>
    <font>
      <sz val="10.0"/>
      <color rgb="FF000000"/>
      <name val="Arial"/>
    </font>
    <font>
      <b/>
      <sz val="10.0"/>
      <color rgb="FFCC0000"/>
      <name val="Arial"/>
    </font>
    <font>
      <b/>
      <sz val="11.0"/>
      <color theme="1"/>
      <name val="Arial"/>
    </font>
    <font>
      <sz val="10.0"/>
      <color theme="1"/>
      <name val="Arial"/>
    </font>
    <font>
      <b/>
      <sz val="10.0"/>
      <color rgb="FF1565C0"/>
      <name val="Arial"/>
    </font>
    <font>
      <color theme="1"/>
      <name val="Calibri"/>
      <scheme val="minor"/>
    </font>
    <font>
      <b/>
      <sz val="10.0"/>
      <color rgb="FF2E7D32"/>
      <name val="Arial"/>
    </font>
    <font>
      <sz val="11.0"/>
      <color theme="1"/>
      <name val="Calibri"/>
    </font>
    <font>
      <i/>
      <sz val="9.0"/>
      <color rgb="FF808080"/>
      <name val="Arial"/>
    </font>
  </fonts>
  <fills count="3">
    <fill>
      <patternFill patternType="none"/>
    </fill>
    <fill>
      <patternFill patternType="lightGray"/>
    </fill>
    <fill>
      <patternFill patternType="solid">
        <fgColor rgb="FFE91E63"/>
        <bgColor rgb="FFE91E63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1" fillId="2" fontId="2" numFmtId="0" xfId="0" applyAlignment="1" applyBorder="1" applyFill="1" applyFont="1">
      <alignment horizontal="center" shrinkToFit="0" vertical="center" wrapText="0"/>
    </xf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shrinkToFit="0" vertical="bottom" wrapText="0"/>
    </xf>
    <xf borderId="0" fillId="0" fontId="5" numFmtId="0" xfId="0" applyAlignment="1" applyFont="1">
      <alignment shrinkToFit="0" vertical="bottom" wrapText="0"/>
    </xf>
    <xf borderId="1" fillId="2" fontId="2" numFmtId="0" xfId="0" applyAlignment="1" applyBorder="1" applyFill="1" applyFont="1">
      <alignment horizontal="center" readingOrder="0" shrinkToFit="0" vertical="center" wrapText="0"/>
    </xf>
    <xf borderId="0" fillId="0" fontId="6" numFmtId="0" xfId="0" applyAlignment="1" applyFont="1">
      <alignment shrinkToFit="0" vertical="bottom" wrapText="0"/>
    </xf>
    <xf borderId="0" fillId="0" fontId="3" numFmtId="0" xfId="0" applyAlignment="1" applyFont="1">
      <alignment readingOrder="0" shrinkToFit="0" vertical="bottom" wrapText="0"/>
    </xf>
    <xf borderId="0" fillId="0" fontId="7" numFmtId="0" xfId="0" applyAlignment="1" applyFont="1">
      <alignment shrinkToFit="0" vertical="bottom" wrapText="0"/>
    </xf>
    <xf borderId="0" fillId="0" fontId="8" numFmtId="0" xfId="0" applyAlignment="1" applyFont="1">
      <alignment readingOrder="0"/>
    </xf>
    <xf borderId="0" fillId="0" fontId="9" numFmtId="0" xfId="0" applyAlignment="1" applyFont="1">
      <alignment shrinkToFit="0" vertical="bottom" wrapText="0"/>
    </xf>
    <xf borderId="0" fillId="0" fontId="10" numFmtId="0" xfId="0" applyAlignment="1" applyFont="1">
      <alignment shrinkToFit="0" vertical="bottom" wrapText="0"/>
    </xf>
    <xf borderId="0" fillId="0" fontId="10" numFmtId="0" xfId="0" applyAlignment="1" applyFont="1">
      <alignment readingOrder="0" shrinkToFit="0" vertical="bottom" wrapText="0"/>
    </xf>
    <xf borderId="1" fillId="2" fontId="2" numFmtId="0" xfId="0" applyAlignment="1" applyBorder="1" applyFill="1" applyFont="1">
      <alignment shrinkToFit="0" vertical="bottom" wrapText="0"/>
    </xf>
    <xf borderId="0" fillId="0" fontId="11" numFmtId="0" xfId="0" applyAlignment="1" applyFont="1">
      <alignment shrinkToFit="0" vertical="bottom" wrapText="0"/>
    </xf>
    <xf borderId="0" fillId="0" fontId="10" numFmtId="0" xfId="0" applyAlignment="1" applyFont="1">
      <alignment readingOrder="0" shrinkToFit="0" vertical="bottom" wrapText="0"/>
    </xf>
    <xf borderId="0" fillId="0" fontId="10" numFmtId="164" xfId="0" applyAlignment="1" applyFont="1" applyNumberFormat="1">
      <alignment readingOrder="0" shrinkToFit="0" vertical="bottom" wrapText="0"/>
    </xf>
    <xf borderId="0" fillId="0" fontId="8" numFmtId="0" xfId="0" applyAlignment="1" applyFont="1">
      <alignment readingOrder="0"/>
    </xf>
    <xf borderId="0" fillId="0" fontId="8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2.0"/>
    <col customWidth="1" min="2" max="2" width="70.0"/>
    <col customWidth="1" min="3" max="26" width="8.71"/>
  </cols>
  <sheetData>
    <row r="1">
      <c r="A1" s="1" t="s">
        <v>0</v>
      </c>
    </row>
    <row r="3">
      <c r="A3" s="5" t="s">
        <v>2</v>
      </c>
    </row>
    <row r="4">
      <c r="A4" s="4" t="s">
        <v>47</v>
      </c>
      <c r="B4" s="7" t="s">
        <v>50</v>
      </c>
    </row>
    <row r="5">
      <c r="A5" s="4" t="s">
        <v>86</v>
      </c>
      <c r="B5" s="7" t="s">
        <v>88</v>
      </c>
    </row>
    <row r="6">
      <c r="A6" s="4" t="s">
        <v>90</v>
      </c>
      <c r="B6" s="7" t="s">
        <v>91</v>
      </c>
    </row>
    <row r="7">
      <c r="A7" s="4" t="s">
        <v>93</v>
      </c>
      <c r="B7" s="7" t="s">
        <v>94</v>
      </c>
    </row>
    <row r="8">
      <c r="A8" s="4" t="s">
        <v>95</v>
      </c>
      <c r="B8" s="7" t="s">
        <v>96</v>
      </c>
    </row>
    <row r="10">
      <c r="A10" s="5" t="s">
        <v>99</v>
      </c>
    </row>
    <row r="11">
      <c r="A11" s="9" t="s">
        <v>101</v>
      </c>
      <c r="B11" s="7" t="s">
        <v>109</v>
      </c>
    </row>
    <row r="12">
      <c r="A12" s="9" t="s">
        <v>111</v>
      </c>
      <c r="B12" s="7" t="s">
        <v>112</v>
      </c>
    </row>
    <row r="14">
      <c r="A14" s="5" t="s">
        <v>113</v>
      </c>
    </row>
    <row r="15">
      <c r="A15" s="11" t="s">
        <v>119</v>
      </c>
    </row>
    <row r="16">
      <c r="A16" s="11" t="s">
        <v>127</v>
      </c>
    </row>
    <row r="17">
      <c r="A17" s="11" t="s">
        <v>128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4.0"/>
    <col customWidth="1" min="2" max="4" width="10.0"/>
    <col customWidth="1" min="5" max="26" width="8.71"/>
  </cols>
  <sheetData>
    <row r="1" ht="15.0" customHeight="1">
      <c r="A1" s="2" t="s">
        <v>1</v>
      </c>
      <c r="B1" s="2" t="s">
        <v>3</v>
      </c>
      <c r="C1" s="2" t="s">
        <v>4</v>
      </c>
      <c r="D1" s="2" t="s">
        <v>5</v>
      </c>
    </row>
    <row r="2" ht="15.0" customHeight="1">
      <c r="A2" s="3" t="s">
        <v>6</v>
      </c>
      <c r="B2" s="3" t="s">
        <v>7</v>
      </c>
      <c r="C2" s="3" t="s">
        <v>8</v>
      </c>
      <c r="D2" s="3" t="s">
        <v>9</v>
      </c>
    </row>
    <row r="3" ht="15.0" customHeight="1">
      <c r="A3" s="3" t="s">
        <v>10</v>
      </c>
      <c r="B3" s="3" t="s">
        <v>7</v>
      </c>
      <c r="C3" s="3" t="s">
        <v>8</v>
      </c>
      <c r="D3" s="3" t="s">
        <v>9</v>
      </c>
    </row>
    <row r="4" ht="15.0" customHeight="1">
      <c r="A4" s="3" t="s">
        <v>11</v>
      </c>
      <c r="B4" s="3" t="s">
        <v>7</v>
      </c>
      <c r="C4" s="3" t="s">
        <v>8</v>
      </c>
      <c r="D4" s="3" t="s">
        <v>9</v>
      </c>
    </row>
    <row r="5" ht="15.0" customHeight="1">
      <c r="A5" s="3" t="s">
        <v>12</v>
      </c>
      <c r="B5" s="3" t="s">
        <v>7</v>
      </c>
      <c r="C5" s="3" t="s">
        <v>8</v>
      </c>
      <c r="D5" s="3" t="s">
        <v>9</v>
      </c>
    </row>
    <row r="6" ht="15.0" customHeight="1">
      <c r="A6" s="4" t="s">
        <v>13</v>
      </c>
      <c r="B6" s="4" t="s">
        <v>7</v>
      </c>
      <c r="C6" s="4" t="s">
        <v>8</v>
      </c>
      <c r="D6" s="4" t="s">
        <v>14</v>
      </c>
    </row>
    <row r="7" ht="15.0" customHeight="1">
      <c r="A7" s="3" t="s">
        <v>15</v>
      </c>
      <c r="B7" s="3" t="s">
        <v>7</v>
      </c>
      <c r="C7" s="3" t="s">
        <v>8</v>
      </c>
      <c r="D7" s="3" t="s">
        <v>9</v>
      </c>
    </row>
    <row r="8" ht="15.0" customHeight="1">
      <c r="A8" s="3" t="s">
        <v>16</v>
      </c>
      <c r="B8" s="3" t="s">
        <v>7</v>
      </c>
      <c r="C8" s="3" t="s">
        <v>17</v>
      </c>
      <c r="D8" s="3" t="s">
        <v>9</v>
      </c>
    </row>
    <row r="9" ht="15.0" customHeight="1">
      <c r="A9" s="4" t="s">
        <v>18</v>
      </c>
      <c r="B9" s="4" t="s">
        <v>7</v>
      </c>
      <c r="C9" s="4" t="s">
        <v>17</v>
      </c>
      <c r="D9" s="4" t="s">
        <v>14</v>
      </c>
    </row>
    <row r="10" ht="15.0" customHeight="1">
      <c r="A10" s="3" t="s">
        <v>19</v>
      </c>
      <c r="B10" s="3" t="s">
        <v>7</v>
      </c>
      <c r="C10" s="3" t="s">
        <v>20</v>
      </c>
      <c r="D10" s="3" t="s">
        <v>9</v>
      </c>
    </row>
    <row r="11" ht="15.0" customHeight="1">
      <c r="A11" s="3" t="s">
        <v>21</v>
      </c>
      <c r="B11" s="3" t="s">
        <v>7</v>
      </c>
      <c r="C11" s="3" t="s">
        <v>20</v>
      </c>
      <c r="D11" s="3" t="s">
        <v>9</v>
      </c>
    </row>
    <row r="12" ht="15.0" customHeight="1">
      <c r="A12" s="3" t="s">
        <v>22</v>
      </c>
      <c r="B12" s="3" t="s">
        <v>7</v>
      </c>
      <c r="C12" s="3" t="s">
        <v>20</v>
      </c>
      <c r="D12" s="3" t="s">
        <v>9</v>
      </c>
    </row>
    <row r="13" ht="15.0" customHeight="1">
      <c r="A13" s="3" t="s">
        <v>23</v>
      </c>
      <c r="B13" s="3" t="s">
        <v>24</v>
      </c>
      <c r="C13" s="3" t="s">
        <v>8</v>
      </c>
      <c r="D13" s="3" t="s">
        <v>9</v>
      </c>
    </row>
    <row r="14" ht="15.0" customHeight="1">
      <c r="A14" s="3" t="s">
        <v>25</v>
      </c>
      <c r="B14" s="3" t="s">
        <v>24</v>
      </c>
      <c r="C14" s="3" t="s">
        <v>8</v>
      </c>
      <c r="D14" s="3" t="s">
        <v>9</v>
      </c>
    </row>
    <row r="15" ht="15.0" customHeight="1">
      <c r="A15" s="3" t="s">
        <v>26</v>
      </c>
      <c r="B15" s="3" t="s">
        <v>24</v>
      </c>
      <c r="C15" s="3" t="s">
        <v>8</v>
      </c>
      <c r="D15" s="3" t="s">
        <v>9</v>
      </c>
    </row>
    <row r="16" ht="15.0" customHeight="1">
      <c r="A16" s="3" t="s">
        <v>28</v>
      </c>
      <c r="B16" s="3" t="s">
        <v>24</v>
      </c>
      <c r="C16" s="3" t="s">
        <v>8</v>
      </c>
      <c r="D16" s="3" t="s">
        <v>9</v>
      </c>
    </row>
    <row r="17" ht="15.0" customHeight="1">
      <c r="A17" s="3" t="s">
        <v>31</v>
      </c>
      <c r="B17" s="3" t="s">
        <v>24</v>
      </c>
      <c r="C17" s="3" t="s">
        <v>17</v>
      </c>
      <c r="D17" s="3" t="s">
        <v>9</v>
      </c>
    </row>
    <row r="18" ht="15.0" customHeight="1">
      <c r="A18" s="3" t="s">
        <v>33</v>
      </c>
      <c r="B18" s="3" t="s">
        <v>24</v>
      </c>
      <c r="C18" s="3" t="s">
        <v>17</v>
      </c>
      <c r="D18" s="3" t="s">
        <v>9</v>
      </c>
    </row>
    <row r="19" ht="15.0" customHeight="1">
      <c r="A19" s="3" t="s">
        <v>38</v>
      </c>
      <c r="B19" s="3" t="s">
        <v>24</v>
      </c>
      <c r="C19" s="3" t="s">
        <v>20</v>
      </c>
      <c r="D19" s="3" t="s">
        <v>9</v>
      </c>
    </row>
    <row r="20" ht="15.0" customHeight="1">
      <c r="A20" s="3" t="s">
        <v>39</v>
      </c>
      <c r="B20" s="3" t="s">
        <v>24</v>
      </c>
      <c r="C20" s="3" t="s">
        <v>20</v>
      </c>
      <c r="D20" s="3" t="s">
        <v>9</v>
      </c>
    </row>
    <row r="21" ht="15.0" customHeight="1">
      <c r="A21" s="4" t="s">
        <v>40</v>
      </c>
      <c r="B21" s="4" t="s">
        <v>24</v>
      </c>
      <c r="C21" s="4" t="s">
        <v>20</v>
      </c>
      <c r="D21" s="4" t="s">
        <v>14</v>
      </c>
    </row>
    <row r="22" ht="15.0" customHeight="1">
      <c r="A22" s="3" t="s">
        <v>43</v>
      </c>
      <c r="B22" s="3" t="s">
        <v>24</v>
      </c>
      <c r="C22" s="3" t="s">
        <v>20</v>
      </c>
      <c r="D22" s="3" t="s">
        <v>9</v>
      </c>
    </row>
    <row r="23" ht="15.0" customHeight="1">
      <c r="A23" s="3" t="s">
        <v>45</v>
      </c>
      <c r="B23" s="3" t="s">
        <v>46</v>
      </c>
      <c r="C23" s="3" t="s">
        <v>8</v>
      </c>
      <c r="D23" s="3" t="s">
        <v>9</v>
      </c>
    </row>
    <row r="24" ht="15.0" customHeight="1">
      <c r="A24" s="3" t="s">
        <v>48</v>
      </c>
      <c r="B24" s="3" t="s">
        <v>46</v>
      </c>
      <c r="C24" s="3" t="s">
        <v>8</v>
      </c>
      <c r="D24" s="3" t="s">
        <v>9</v>
      </c>
    </row>
    <row r="25" ht="15.0" customHeight="1">
      <c r="A25" s="3" t="s">
        <v>51</v>
      </c>
      <c r="B25" s="3" t="s">
        <v>46</v>
      </c>
      <c r="C25" s="3" t="s">
        <v>8</v>
      </c>
      <c r="D25" s="3" t="s">
        <v>9</v>
      </c>
    </row>
    <row r="26" ht="15.0" customHeight="1">
      <c r="A26" s="3" t="s">
        <v>52</v>
      </c>
      <c r="B26" s="3" t="s">
        <v>46</v>
      </c>
      <c r="C26" s="3" t="s">
        <v>8</v>
      </c>
      <c r="D26" s="3" t="s">
        <v>9</v>
      </c>
    </row>
    <row r="27" ht="15.0" customHeight="1">
      <c r="A27" s="3" t="s">
        <v>53</v>
      </c>
      <c r="B27" s="3" t="s">
        <v>46</v>
      </c>
      <c r="C27" s="3" t="s">
        <v>8</v>
      </c>
      <c r="D27" s="3" t="s">
        <v>9</v>
      </c>
    </row>
    <row r="28" ht="15.0" customHeight="1">
      <c r="A28" s="3" t="s">
        <v>54</v>
      </c>
      <c r="B28" s="3" t="s">
        <v>46</v>
      </c>
      <c r="C28" s="3" t="s">
        <v>17</v>
      </c>
      <c r="D28" s="3" t="s">
        <v>9</v>
      </c>
    </row>
    <row r="29" ht="15.0" customHeight="1">
      <c r="A29" s="3" t="s">
        <v>55</v>
      </c>
      <c r="B29" s="3" t="s">
        <v>46</v>
      </c>
      <c r="C29" s="3" t="s">
        <v>17</v>
      </c>
      <c r="D29" s="3" t="s">
        <v>9</v>
      </c>
    </row>
    <row r="30" ht="15.0" customHeight="1">
      <c r="A30" s="3" t="s">
        <v>56</v>
      </c>
      <c r="B30" s="3" t="s">
        <v>46</v>
      </c>
      <c r="C30" s="3" t="s">
        <v>17</v>
      </c>
      <c r="D30" s="3" t="s">
        <v>9</v>
      </c>
    </row>
    <row r="31" ht="15.0" customHeight="1">
      <c r="A31" s="4" t="s">
        <v>57</v>
      </c>
      <c r="B31" s="4" t="s">
        <v>46</v>
      </c>
      <c r="C31" s="4" t="s">
        <v>20</v>
      </c>
      <c r="D31" s="4" t="s">
        <v>14</v>
      </c>
    </row>
    <row r="32" ht="15.0" customHeight="1">
      <c r="A32" s="3" t="s">
        <v>59</v>
      </c>
      <c r="B32" s="3" t="s">
        <v>58</v>
      </c>
      <c r="C32" s="3" t="s">
        <v>8</v>
      </c>
      <c r="D32" s="3" t="s">
        <v>9</v>
      </c>
    </row>
    <row r="33" ht="15.0" customHeight="1">
      <c r="A33" s="3" t="s">
        <v>60</v>
      </c>
      <c r="B33" s="3" t="s">
        <v>58</v>
      </c>
      <c r="C33" s="3" t="s">
        <v>8</v>
      </c>
      <c r="D33" s="3" t="s">
        <v>9</v>
      </c>
    </row>
    <row r="34" ht="15.0" customHeight="1">
      <c r="A34" s="3" t="s">
        <v>61</v>
      </c>
      <c r="B34" s="3" t="s">
        <v>58</v>
      </c>
      <c r="C34" s="3" t="s">
        <v>17</v>
      </c>
      <c r="D34" s="3" t="s">
        <v>9</v>
      </c>
    </row>
    <row r="35" ht="15.0" customHeight="1">
      <c r="A35" s="4" t="s">
        <v>63</v>
      </c>
      <c r="B35" s="4" t="s">
        <v>58</v>
      </c>
      <c r="C35" s="4" t="s">
        <v>17</v>
      </c>
      <c r="D35" s="4" t="s">
        <v>14</v>
      </c>
    </row>
    <row r="36" ht="15.0" customHeight="1">
      <c r="A36" s="3" t="s">
        <v>65</v>
      </c>
      <c r="B36" s="3" t="s">
        <v>58</v>
      </c>
      <c r="C36" s="3" t="s">
        <v>20</v>
      </c>
      <c r="D36" s="3" t="s">
        <v>9</v>
      </c>
    </row>
    <row r="37" ht="15.0" customHeight="1">
      <c r="A37" s="3" t="s">
        <v>68</v>
      </c>
      <c r="B37" s="3" t="s">
        <v>58</v>
      </c>
      <c r="C37" s="3" t="s">
        <v>20</v>
      </c>
      <c r="D37" s="3" t="s">
        <v>9</v>
      </c>
    </row>
    <row r="38" ht="15.0" customHeight="1">
      <c r="A38" s="3" t="s">
        <v>72</v>
      </c>
      <c r="B38" s="3" t="s">
        <v>58</v>
      </c>
      <c r="C38" s="3" t="s">
        <v>20</v>
      </c>
      <c r="D38" s="3" t="s">
        <v>9</v>
      </c>
    </row>
    <row r="39" ht="15.0" customHeight="1">
      <c r="A39" s="3" t="s">
        <v>76</v>
      </c>
      <c r="B39" s="3" t="s">
        <v>58</v>
      </c>
      <c r="C39" s="3" t="s">
        <v>20</v>
      </c>
      <c r="D39" s="3" t="s">
        <v>9</v>
      </c>
    </row>
    <row r="40" ht="15.0" customHeight="1">
      <c r="A40" s="3" t="s">
        <v>78</v>
      </c>
      <c r="B40" s="3" t="s">
        <v>71</v>
      </c>
      <c r="C40" s="3" t="s">
        <v>8</v>
      </c>
      <c r="D40" s="3" t="s">
        <v>9</v>
      </c>
    </row>
    <row r="41" ht="15.0" customHeight="1">
      <c r="A41" s="3" t="s">
        <v>80</v>
      </c>
      <c r="B41" s="3" t="s">
        <v>71</v>
      </c>
      <c r="C41" s="3" t="s">
        <v>8</v>
      </c>
      <c r="D41" s="3" t="s">
        <v>9</v>
      </c>
    </row>
    <row r="42" ht="15.0" customHeight="1">
      <c r="A42" s="3" t="s">
        <v>81</v>
      </c>
      <c r="B42" s="3" t="s">
        <v>71</v>
      </c>
      <c r="C42" s="3" t="s">
        <v>8</v>
      </c>
      <c r="D42" s="3" t="s">
        <v>9</v>
      </c>
    </row>
    <row r="43" ht="15.0" customHeight="1">
      <c r="A43" s="3" t="s">
        <v>82</v>
      </c>
      <c r="B43" s="3" t="s">
        <v>71</v>
      </c>
      <c r="C43" s="3" t="s">
        <v>8</v>
      </c>
      <c r="D43" s="3" t="s">
        <v>9</v>
      </c>
    </row>
    <row r="44" ht="15.0" customHeight="1">
      <c r="A44" s="3" t="s">
        <v>84</v>
      </c>
      <c r="B44" s="3" t="s">
        <v>71</v>
      </c>
      <c r="C44" s="3" t="s">
        <v>8</v>
      </c>
      <c r="D44" s="3" t="s">
        <v>9</v>
      </c>
    </row>
    <row r="45" ht="15.0" customHeight="1">
      <c r="A45" s="3" t="s">
        <v>85</v>
      </c>
      <c r="B45" s="3" t="s">
        <v>71</v>
      </c>
      <c r="C45" s="3" t="s">
        <v>8</v>
      </c>
      <c r="D45" s="3" t="s">
        <v>9</v>
      </c>
    </row>
    <row r="46" ht="15.0" customHeight="1">
      <c r="A46" s="4" t="s">
        <v>69</v>
      </c>
      <c r="B46" s="4" t="s">
        <v>71</v>
      </c>
      <c r="C46" s="4" t="s">
        <v>17</v>
      </c>
      <c r="D46" s="4" t="s">
        <v>14</v>
      </c>
    </row>
    <row r="47" ht="15.0" customHeight="1">
      <c r="A47" s="3" t="s">
        <v>87</v>
      </c>
      <c r="B47" s="3" t="s">
        <v>71</v>
      </c>
      <c r="C47" s="3" t="s">
        <v>17</v>
      </c>
      <c r="D47" s="3" t="s">
        <v>9</v>
      </c>
    </row>
    <row r="48" ht="15.0" customHeight="1">
      <c r="A48" s="3" t="s">
        <v>89</v>
      </c>
      <c r="B48" s="3" t="s">
        <v>71</v>
      </c>
      <c r="C48" s="3" t="s">
        <v>20</v>
      </c>
      <c r="D48" s="3" t="s">
        <v>9</v>
      </c>
    </row>
    <row r="49" ht="15.0" customHeight="1">
      <c r="A49" s="3" t="s">
        <v>92</v>
      </c>
      <c r="B49" s="3" t="s">
        <v>71</v>
      </c>
      <c r="C49" s="3" t="s">
        <v>20</v>
      </c>
      <c r="D49" s="3" t="s">
        <v>9</v>
      </c>
    </row>
    <row r="50" ht="15.0" customHeight="1">
      <c r="A50" s="3" t="s">
        <v>97</v>
      </c>
      <c r="B50" s="3" t="s">
        <v>71</v>
      </c>
      <c r="C50" s="3" t="s">
        <v>20</v>
      </c>
      <c r="D50" s="3" t="s">
        <v>9</v>
      </c>
    </row>
    <row r="51" ht="15.0" customHeight="1">
      <c r="A51" s="3" t="s">
        <v>100</v>
      </c>
      <c r="B51" s="8" t="s">
        <v>74</v>
      </c>
      <c r="C51" s="3" t="s">
        <v>8</v>
      </c>
      <c r="D51" s="3" t="s">
        <v>9</v>
      </c>
    </row>
    <row r="52" ht="15.0" customHeight="1">
      <c r="A52" s="3" t="s">
        <v>103</v>
      </c>
      <c r="B52" s="8" t="s">
        <v>74</v>
      </c>
      <c r="C52" s="3" t="s">
        <v>8</v>
      </c>
      <c r="D52" s="3" t="s">
        <v>9</v>
      </c>
    </row>
    <row r="53" ht="15.0" customHeight="1">
      <c r="A53" s="3" t="s">
        <v>104</v>
      </c>
      <c r="B53" s="8" t="s">
        <v>74</v>
      </c>
      <c r="C53" s="3" t="s">
        <v>8</v>
      </c>
      <c r="D53" s="3" t="s">
        <v>9</v>
      </c>
    </row>
    <row r="54" ht="15.0" customHeight="1">
      <c r="A54" s="3" t="s">
        <v>105</v>
      </c>
      <c r="B54" s="8" t="s">
        <v>74</v>
      </c>
      <c r="C54" s="3" t="s">
        <v>8</v>
      </c>
      <c r="D54" s="3" t="s">
        <v>9</v>
      </c>
    </row>
    <row r="55" ht="15.0" customHeight="1">
      <c r="A55" s="4" t="s">
        <v>106</v>
      </c>
      <c r="B55" s="8" t="s">
        <v>74</v>
      </c>
      <c r="C55" s="4" t="s">
        <v>17</v>
      </c>
      <c r="D55" s="4" t="s">
        <v>14</v>
      </c>
    </row>
    <row r="56" ht="15.0" customHeight="1">
      <c r="A56" s="3" t="s">
        <v>107</v>
      </c>
      <c r="B56" s="8" t="s">
        <v>74</v>
      </c>
      <c r="C56" s="3" t="s">
        <v>17</v>
      </c>
      <c r="D56" s="3" t="s">
        <v>9</v>
      </c>
    </row>
    <row r="57" ht="15.0" customHeight="1">
      <c r="A57" s="3" t="s">
        <v>108</v>
      </c>
      <c r="B57" s="8" t="s">
        <v>74</v>
      </c>
      <c r="C57" s="3" t="s">
        <v>20</v>
      </c>
      <c r="D57" s="3" t="s">
        <v>9</v>
      </c>
    </row>
    <row r="58" ht="15.0" customHeight="1">
      <c r="A58" s="3" t="s">
        <v>110</v>
      </c>
      <c r="B58" s="8" t="s">
        <v>74</v>
      </c>
      <c r="C58" s="3" t="s">
        <v>20</v>
      </c>
      <c r="D58" s="3" t="s">
        <v>9</v>
      </c>
    </row>
    <row r="59" ht="15.0" customHeight="1">
      <c r="A59" s="3" t="s">
        <v>114</v>
      </c>
      <c r="B59" s="8" t="s">
        <v>115</v>
      </c>
      <c r="C59" s="3" t="s">
        <v>8</v>
      </c>
      <c r="D59" s="3" t="s">
        <v>9</v>
      </c>
    </row>
    <row r="60" ht="15.0" customHeight="1">
      <c r="A60" s="3" t="s">
        <v>116</v>
      </c>
      <c r="B60" s="8" t="s">
        <v>115</v>
      </c>
      <c r="C60" s="3" t="s">
        <v>8</v>
      </c>
      <c r="D60" s="3" t="s">
        <v>9</v>
      </c>
    </row>
    <row r="61" ht="15.0" customHeight="1">
      <c r="A61" s="3" t="s">
        <v>117</v>
      </c>
      <c r="B61" s="8" t="s">
        <v>115</v>
      </c>
      <c r="C61" s="3" t="s">
        <v>8</v>
      </c>
      <c r="D61" s="3" t="s">
        <v>9</v>
      </c>
    </row>
    <row r="62" ht="15.0" customHeight="1">
      <c r="A62" s="3" t="s">
        <v>118</v>
      </c>
      <c r="B62" s="8" t="s">
        <v>115</v>
      </c>
      <c r="C62" s="3" t="s">
        <v>8</v>
      </c>
      <c r="D62" s="3" t="s">
        <v>9</v>
      </c>
    </row>
    <row r="63" ht="15.0" customHeight="1">
      <c r="A63" s="3" t="s">
        <v>120</v>
      </c>
      <c r="B63" s="8" t="s">
        <v>115</v>
      </c>
      <c r="C63" s="3" t="s">
        <v>8</v>
      </c>
      <c r="D63" s="3" t="s">
        <v>9</v>
      </c>
    </row>
    <row r="64" ht="15.0" customHeight="1">
      <c r="A64" s="4" t="s">
        <v>121</v>
      </c>
      <c r="B64" s="8" t="s">
        <v>115</v>
      </c>
      <c r="C64" s="4" t="s">
        <v>8</v>
      </c>
      <c r="D64" s="4" t="s">
        <v>14</v>
      </c>
    </row>
    <row r="65" ht="15.0" customHeight="1">
      <c r="A65" s="3" t="s">
        <v>122</v>
      </c>
      <c r="B65" s="8" t="s">
        <v>115</v>
      </c>
      <c r="C65" s="3" t="s">
        <v>17</v>
      </c>
      <c r="D65" s="3" t="s">
        <v>9</v>
      </c>
    </row>
    <row r="66" ht="15.0" customHeight="1">
      <c r="A66" s="3" t="s">
        <v>123</v>
      </c>
      <c r="B66" s="8" t="s">
        <v>115</v>
      </c>
      <c r="C66" s="3" t="s">
        <v>17</v>
      </c>
      <c r="D66" s="3" t="s">
        <v>9</v>
      </c>
    </row>
    <row r="67" ht="15.0" customHeight="1">
      <c r="A67" s="3" t="s">
        <v>124</v>
      </c>
      <c r="B67" s="8" t="s">
        <v>115</v>
      </c>
      <c r="C67" s="3" t="s">
        <v>20</v>
      </c>
      <c r="D67" s="3" t="s">
        <v>9</v>
      </c>
    </row>
    <row r="68" ht="15.0" customHeight="1">
      <c r="A68" s="3" t="s">
        <v>125</v>
      </c>
      <c r="B68" s="8" t="s">
        <v>115</v>
      </c>
      <c r="C68" s="3" t="s">
        <v>20</v>
      </c>
      <c r="D68" s="3" t="s">
        <v>9</v>
      </c>
    </row>
    <row r="69" ht="15.0" customHeight="1">
      <c r="A69" s="4" t="s">
        <v>126</v>
      </c>
      <c r="B69" s="8" t="s">
        <v>115</v>
      </c>
      <c r="C69" s="4" t="s">
        <v>20</v>
      </c>
      <c r="D69" s="4" t="s">
        <v>14</v>
      </c>
    </row>
    <row r="70" ht="15.75" customHeight="1">
      <c r="A70" s="13"/>
      <c r="B70" s="13"/>
      <c r="C70" s="13"/>
      <c r="D70" s="13"/>
    </row>
    <row r="71" ht="15.75" customHeight="1">
      <c r="A71" s="13"/>
      <c r="B71" s="13"/>
      <c r="C71" s="13"/>
      <c r="D71" s="13"/>
    </row>
    <row r="72" ht="15.75" customHeight="1">
      <c r="A72" s="13"/>
      <c r="B72" s="13"/>
      <c r="C72" s="13"/>
      <c r="D72" s="13"/>
    </row>
    <row r="73" ht="15.75" customHeight="1">
      <c r="A73" s="13"/>
      <c r="B73" s="13"/>
      <c r="C73" s="13"/>
      <c r="D73" s="13"/>
    </row>
    <row r="74" ht="15.75" customHeight="1">
      <c r="A74" s="13"/>
      <c r="B74" s="13"/>
      <c r="C74" s="13"/>
      <c r="D74" s="13"/>
    </row>
    <row r="75" ht="15.75" customHeight="1">
      <c r="A75" s="13"/>
      <c r="B75" s="13"/>
      <c r="C75" s="13"/>
      <c r="D75" s="13"/>
    </row>
    <row r="76" ht="15.75" customHeight="1">
      <c r="A76" s="13"/>
      <c r="B76" s="13"/>
      <c r="C76" s="13"/>
      <c r="D76" s="13"/>
    </row>
    <row r="77" ht="15.75" customHeight="1">
      <c r="A77" s="13"/>
      <c r="B77" s="13"/>
      <c r="C77" s="13"/>
      <c r="D77" s="13"/>
    </row>
    <row r="78" ht="15.75" customHeight="1">
      <c r="A78" s="13"/>
      <c r="B78" s="13"/>
      <c r="C78" s="13"/>
      <c r="D78" s="13"/>
    </row>
    <row r="79" ht="15.75" customHeight="1">
      <c r="A79" s="13"/>
      <c r="B79" s="13"/>
      <c r="C79" s="13"/>
      <c r="D79" s="13"/>
    </row>
    <row r="80" ht="15.75" customHeight="1">
      <c r="A80" s="13"/>
      <c r="B80" s="13"/>
      <c r="C80" s="13"/>
      <c r="D80" s="13"/>
    </row>
    <row r="81" ht="15.75" customHeight="1">
      <c r="A81" s="13"/>
      <c r="B81" s="13"/>
      <c r="C81" s="13"/>
      <c r="D81" s="13"/>
    </row>
    <row r="82" ht="15.75" customHeight="1">
      <c r="A82" s="12"/>
      <c r="B82" s="12"/>
      <c r="C82" s="12"/>
      <c r="D82" s="12"/>
    </row>
    <row r="83" ht="15.75" customHeight="1">
      <c r="A83" s="12"/>
      <c r="B83" s="12"/>
      <c r="C83" s="12"/>
      <c r="D83" s="12"/>
    </row>
    <row r="84" ht="15.75" customHeight="1">
      <c r="A84" s="12"/>
      <c r="B84" s="12"/>
      <c r="C84" s="12"/>
      <c r="D84" s="12"/>
    </row>
    <row r="85" ht="15.75" customHeight="1">
      <c r="A85" s="12"/>
      <c r="B85" s="12"/>
      <c r="C85" s="12"/>
      <c r="D85" s="12"/>
    </row>
    <row r="86" ht="15.75" customHeight="1">
      <c r="A86" s="12"/>
      <c r="B86" s="12"/>
      <c r="C86" s="12"/>
      <c r="D86" s="12"/>
    </row>
    <row r="87" ht="15.75" customHeight="1">
      <c r="A87" s="12"/>
      <c r="B87" s="12"/>
      <c r="C87" s="12"/>
      <c r="D87" s="12"/>
    </row>
    <row r="88" ht="15.75" customHeight="1">
      <c r="A88" s="12"/>
      <c r="B88" s="12"/>
      <c r="C88" s="12"/>
      <c r="D88" s="12"/>
    </row>
    <row r="89" ht="15.75" customHeight="1">
      <c r="A89" s="12"/>
      <c r="B89" s="12"/>
      <c r="C89" s="12"/>
      <c r="D89" s="12"/>
    </row>
    <row r="90" ht="15.75" customHeight="1">
      <c r="A90" s="12"/>
      <c r="B90" s="12"/>
      <c r="C90" s="12"/>
      <c r="D90" s="12"/>
    </row>
    <row r="91" ht="15.75" customHeight="1">
      <c r="A91" s="12"/>
      <c r="B91" s="12"/>
      <c r="C91" s="12"/>
      <c r="D91" s="12"/>
    </row>
    <row r="92" ht="15.75" customHeight="1">
      <c r="A92" s="12"/>
      <c r="B92" s="12"/>
      <c r="C92" s="12"/>
      <c r="D92" s="12"/>
    </row>
    <row r="93" ht="15.75" customHeight="1">
      <c r="A93" s="12"/>
      <c r="B93" s="12"/>
      <c r="C93" s="12"/>
      <c r="D93" s="12"/>
    </row>
    <row r="94" ht="15.75" customHeight="1">
      <c r="A94" s="12"/>
      <c r="B94" s="12"/>
      <c r="C94" s="12"/>
      <c r="D94" s="12"/>
    </row>
    <row r="95" ht="15.75" customHeight="1">
      <c r="A95" s="12"/>
      <c r="B95" s="12"/>
      <c r="C95" s="12"/>
      <c r="D95" s="12"/>
    </row>
    <row r="96" ht="15.75" customHeight="1">
      <c r="A96" s="12"/>
      <c r="B96" s="12"/>
      <c r="C96" s="12"/>
      <c r="D96" s="12"/>
    </row>
    <row r="97" ht="15.75" customHeight="1">
      <c r="A97" s="12"/>
      <c r="B97" s="12"/>
      <c r="C97" s="12"/>
      <c r="D97" s="12"/>
    </row>
    <row r="98" ht="15.75" customHeight="1">
      <c r="A98" s="12"/>
      <c r="B98" s="12"/>
      <c r="C98" s="12"/>
      <c r="D98" s="12"/>
    </row>
    <row r="99" ht="15.75" customHeight="1">
      <c r="A99" s="12"/>
      <c r="B99" s="12"/>
      <c r="C99" s="12"/>
      <c r="D99" s="12"/>
    </row>
    <row r="100" ht="15.75" customHeight="1">
      <c r="A100" s="12"/>
      <c r="B100" s="12"/>
      <c r="C100" s="12"/>
      <c r="D100" s="12"/>
    </row>
    <row r="101" ht="15.75" customHeight="1">
      <c r="A101" s="12"/>
      <c r="B101" s="12"/>
      <c r="C101" s="12"/>
      <c r="D101" s="12"/>
    </row>
    <row r="102" ht="15.75" customHeight="1">
      <c r="A102" s="12"/>
      <c r="B102" s="12"/>
      <c r="C102" s="12"/>
      <c r="D102" s="12"/>
    </row>
    <row r="103" ht="15.75" customHeight="1">
      <c r="A103" s="12"/>
      <c r="B103" s="12"/>
      <c r="C103" s="12"/>
      <c r="D103" s="12"/>
    </row>
    <row r="104" ht="15.75" customHeight="1">
      <c r="A104" s="12"/>
      <c r="B104" s="12"/>
      <c r="C104" s="12"/>
      <c r="D104" s="12"/>
    </row>
    <row r="105" ht="15.75" customHeight="1">
      <c r="A105" s="12"/>
      <c r="B105" s="12"/>
      <c r="C105" s="12"/>
      <c r="D105" s="12"/>
    </row>
    <row r="106" ht="15.75" customHeight="1">
      <c r="A106" s="12"/>
      <c r="B106" s="12"/>
      <c r="C106" s="12"/>
      <c r="D106" s="12"/>
    </row>
    <row r="107" ht="15.75" customHeight="1">
      <c r="A107" s="12"/>
      <c r="B107" s="12"/>
      <c r="C107" s="12"/>
      <c r="D107" s="12"/>
    </row>
    <row r="108" ht="15.75" customHeight="1">
      <c r="A108" s="12"/>
      <c r="B108" s="12"/>
      <c r="C108" s="12"/>
      <c r="D108" s="12"/>
    </row>
    <row r="109" ht="15.75" customHeight="1">
      <c r="A109" s="12"/>
      <c r="B109" s="12"/>
      <c r="C109" s="12"/>
      <c r="D109" s="12"/>
    </row>
    <row r="110" ht="15.75" customHeight="1">
      <c r="A110" s="12"/>
      <c r="B110" s="12"/>
      <c r="C110" s="12"/>
      <c r="D110" s="12"/>
    </row>
    <row r="111" ht="15.75" customHeight="1">
      <c r="A111" s="12"/>
      <c r="B111" s="12"/>
      <c r="C111" s="12"/>
      <c r="D111" s="12"/>
    </row>
    <row r="112" ht="15.75" customHeight="1">
      <c r="A112" s="12"/>
      <c r="B112" s="12"/>
      <c r="C112" s="12"/>
      <c r="D112" s="12"/>
    </row>
    <row r="113" ht="15.75" customHeight="1">
      <c r="A113" s="12"/>
      <c r="B113" s="12"/>
      <c r="C113" s="12"/>
      <c r="D113" s="12"/>
    </row>
    <row r="114" ht="15.75" customHeight="1">
      <c r="A114" s="12"/>
      <c r="B114" s="12"/>
      <c r="C114" s="12"/>
      <c r="D114" s="12"/>
    </row>
    <row r="115" ht="15.75" customHeight="1">
      <c r="A115" s="12"/>
      <c r="B115" s="12"/>
      <c r="C115" s="12"/>
      <c r="D115" s="12"/>
    </row>
    <row r="116" ht="15.75" customHeight="1">
      <c r="A116" s="12"/>
      <c r="B116" s="12"/>
      <c r="C116" s="12"/>
      <c r="D116" s="12"/>
    </row>
    <row r="117" ht="15.75" customHeight="1">
      <c r="A117" s="12"/>
      <c r="B117" s="12"/>
      <c r="C117" s="12"/>
      <c r="D117" s="12"/>
    </row>
    <row r="118" ht="15.75" customHeight="1">
      <c r="A118" s="12"/>
      <c r="B118" s="12"/>
      <c r="C118" s="12"/>
      <c r="D118" s="12"/>
    </row>
    <row r="119" ht="15.75" customHeight="1">
      <c r="A119" s="12"/>
      <c r="B119" s="12"/>
      <c r="C119" s="12"/>
      <c r="D119" s="12"/>
    </row>
    <row r="120" ht="15.75" customHeight="1">
      <c r="A120" s="12"/>
      <c r="B120" s="12"/>
      <c r="C120" s="12"/>
      <c r="D120" s="12"/>
    </row>
    <row r="121" ht="15.75" customHeight="1">
      <c r="A121" s="12"/>
      <c r="B121" s="12"/>
      <c r="C121" s="12"/>
      <c r="D121" s="12"/>
    </row>
    <row r="122" ht="15.75" customHeight="1">
      <c r="A122" s="12"/>
      <c r="B122" s="12"/>
      <c r="C122" s="12"/>
      <c r="D122" s="12"/>
    </row>
    <row r="123" ht="15.75" customHeight="1">
      <c r="A123" s="12"/>
      <c r="B123" s="12"/>
      <c r="C123" s="12"/>
      <c r="D123" s="12"/>
    </row>
    <row r="124" ht="15.75" customHeight="1">
      <c r="A124" s="12"/>
      <c r="B124" s="12"/>
      <c r="C124" s="12"/>
      <c r="D124" s="12"/>
    </row>
    <row r="125" ht="15.75" customHeight="1">
      <c r="A125" s="12"/>
      <c r="B125" s="12"/>
      <c r="C125" s="12"/>
      <c r="D125" s="12"/>
    </row>
    <row r="126" ht="15.75" customHeight="1">
      <c r="A126" s="12"/>
      <c r="B126" s="12"/>
      <c r="C126" s="12"/>
      <c r="D126" s="12"/>
    </row>
    <row r="127" ht="15.75" customHeight="1">
      <c r="A127" s="12"/>
      <c r="B127" s="12"/>
      <c r="C127" s="12"/>
      <c r="D127" s="12"/>
    </row>
    <row r="128" ht="15.75" customHeight="1">
      <c r="A128" s="12"/>
      <c r="B128" s="12"/>
      <c r="C128" s="12"/>
      <c r="D128" s="12"/>
    </row>
    <row r="129" ht="15.75" customHeight="1">
      <c r="A129" s="12"/>
      <c r="B129" s="12"/>
      <c r="C129" s="12"/>
      <c r="D129" s="12"/>
    </row>
    <row r="130" ht="15.75" customHeight="1">
      <c r="A130" s="12"/>
      <c r="B130" s="12"/>
      <c r="C130" s="12"/>
      <c r="D130" s="12"/>
    </row>
    <row r="131" ht="15.75" customHeight="1">
      <c r="A131" s="12"/>
      <c r="B131" s="12"/>
      <c r="C131" s="12"/>
      <c r="D131" s="12"/>
    </row>
    <row r="132" ht="15.75" customHeight="1">
      <c r="A132" s="12"/>
      <c r="B132" s="12"/>
      <c r="C132" s="12"/>
      <c r="D132" s="12"/>
    </row>
    <row r="133" ht="15.75" customHeight="1">
      <c r="A133" s="12"/>
      <c r="B133" s="12"/>
      <c r="C133" s="12"/>
      <c r="D133" s="12"/>
    </row>
    <row r="134" ht="15.75" customHeight="1">
      <c r="A134" s="12"/>
      <c r="B134" s="12"/>
      <c r="C134" s="12"/>
      <c r="D134" s="12"/>
    </row>
    <row r="135" ht="15.75" customHeight="1">
      <c r="A135" s="12"/>
      <c r="B135" s="12"/>
      <c r="C135" s="12"/>
      <c r="D135" s="12"/>
    </row>
    <row r="136" ht="15.75" customHeight="1">
      <c r="A136" s="12"/>
      <c r="B136" s="12"/>
      <c r="C136" s="12"/>
      <c r="D136" s="12"/>
    </row>
    <row r="137" ht="15.75" customHeight="1">
      <c r="A137" s="12"/>
      <c r="B137" s="12"/>
      <c r="C137" s="12"/>
      <c r="D137" s="12"/>
    </row>
    <row r="138" ht="15.75" customHeight="1">
      <c r="A138" s="12"/>
      <c r="B138" s="12"/>
      <c r="C138" s="12"/>
      <c r="D138" s="12"/>
    </row>
    <row r="139" ht="15.75" customHeight="1">
      <c r="A139" s="12"/>
      <c r="B139" s="12"/>
      <c r="C139" s="12"/>
      <c r="D139" s="12"/>
    </row>
    <row r="140" ht="15.75" customHeight="1">
      <c r="A140" s="12"/>
      <c r="B140" s="12"/>
      <c r="C140" s="12"/>
      <c r="D140" s="12"/>
    </row>
    <row r="141" ht="15.75" customHeight="1">
      <c r="A141" s="12"/>
      <c r="B141" s="12"/>
      <c r="C141" s="12"/>
      <c r="D141" s="12"/>
    </row>
    <row r="142" ht="15.75" customHeight="1">
      <c r="A142" s="12"/>
      <c r="B142" s="12"/>
      <c r="C142" s="12"/>
      <c r="D142" s="12"/>
    </row>
    <row r="143" ht="15.75" customHeight="1">
      <c r="A143" s="12"/>
      <c r="B143" s="12"/>
      <c r="C143" s="12"/>
      <c r="D143" s="12"/>
    </row>
    <row r="144" ht="15.75" customHeight="1">
      <c r="A144" s="12"/>
      <c r="B144" s="12"/>
      <c r="C144" s="12"/>
      <c r="D144" s="12"/>
    </row>
    <row r="145" ht="15.75" customHeight="1">
      <c r="A145" s="12"/>
      <c r="B145" s="12"/>
      <c r="C145" s="12"/>
      <c r="D145" s="12"/>
    </row>
    <row r="146" ht="15.75" customHeight="1">
      <c r="A146" s="12"/>
      <c r="B146" s="12"/>
      <c r="C146" s="12"/>
      <c r="D146" s="12"/>
    </row>
    <row r="147" ht="15.75" customHeight="1">
      <c r="A147" s="12"/>
      <c r="B147" s="12"/>
      <c r="C147" s="12"/>
      <c r="D147" s="12"/>
    </row>
    <row r="148" ht="15.75" customHeight="1">
      <c r="A148" s="12"/>
      <c r="B148" s="12"/>
      <c r="C148" s="12"/>
      <c r="D148" s="12"/>
    </row>
    <row r="149" ht="15.75" customHeight="1">
      <c r="A149" s="12"/>
      <c r="B149" s="12"/>
      <c r="C149" s="12"/>
      <c r="D149" s="12"/>
    </row>
    <row r="150" ht="15.75" customHeight="1">
      <c r="A150" s="12"/>
      <c r="B150" s="12"/>
      <c r="C150" s="12"/>
      <c r="D150" s="12"/>
    </row>
    <row r="151" ht="15.75" customHeight="1">
      <c r="A151" s="12"/>
      <c r="B151" s="12"/>
      <c r="C151" s="12"/>
      <c r="D151" s="12"/>
    </row>
    <row r="152" ht="15.75" customHeight="1">
      <c r="A152" s="12"/>
      <c r="B152" s="12"/>
      <c r="C152" s="12"/>
      <c r="D152" s="12"/>
    </row>
    <row r="153" ht="15.75" customHeight="1">
      <c r="A153" s="12"/>
      <c r="B153" s="12"/>
      <c r="C153" s="12"/>
      <c r="D153" s="12"/>
    </row>
    <row r="154" ht="15.75" customHeight="1">
      <c r="A154" s="12"/>
      <c r="B154" s="12"/>
      <c r="C154" s="12"/>
      <c r="D154" s="12"/>
    </row>
    <row r="155" ht="15.75" customHeight="1">
      <c r="A155" s="12"/>
      <c r="B155" s="12"/>
      <c r="C155" s="12"/>
      <c r="D155" s="12"/>
    </row>
    <row r="156" ht="15.75" customHeight="1">
      <c r="A156" s="12"/>
      <c r="B156" s="12"/>
      <c r="C156" s="12"/>
      <c r="D156" s="12"/>
    </row>
    <row r="157" ht="15.75" customHeight="1">
      <c r="A157" s="12"/>
      <c r="B157" s="12"/>
      <c r="C157" s="12"/>
      <c r="D157" s="12"/>
    </row>
    <row r="158" ht="15.75" customHeight="1">
      <c r="A158" s="12"/>
      <c r="B158" s="12"/>
      <c r="C158" s="12"/>
      <c r="D158" s="12"/>
    </row>
    <row r="159" ht="15.75" customHeight="1">
      <c r="A159" s="12"/>
      <c r="B159" s="12"/>
      <c r="C159" s="12"/>
      <c r="D159" s="12"/>
    </row>
    <row r="160" ht="15.75" customHeight="1">
      <c r="A160" s="12"/>
      <c r="B160" s="12"/>
      <c r="C160" s="12"/>
      <c r="D160" s="12"/>
    </row>
    <row r="161" ht="15.75" customHeight="1">
      <c r="A161" s="12"/>
      <c r="B161" s="12"/>
      <c r="C161" s="12"/>
      <c r="D161" s="12"/>
    </row>
    <row r="162" ht="15.75" customHeight="1">
      <c r="A162" s="12"/>
      <c r="B162" s="12"/>
      <c r="C162" s="12"/>
      <c r="D162" s="12"/>
    </row>
    <row r="163" ht="15.75" customHeight="1">
      <c r="A163" s="12"/>
      <c r="B163" s="12"/>
      <c r="C163" s="12"/>
      <c r="D163" s="12"/>
    </row>
    <row r="164" ht="15.75" customHeight="1">
      <c r="A164" s="12"/>
      <c r="B164" s="12"/>
      <c r="C164" s="12"/>
      <c r="D164" s="12"/>
    </row>
    <row r="165" ht="15.75" customHeight="1">
      <c r="A165" s="12"/>
      <c r="B165" s="12"/>
      <c r="C165" s="12"/>
      <c r="D165" s="12"/>
    </row>
    <row r="166" ht="15.75" customHeight="1">
      <c r="A166" s="12"/>
      <c r="B166" s="12"/>
      <c r="C166" s="12"/>
      <c r="D166" s="12"/>
    </row>
    <row r="167" ht="15.75" customHeight="1">
      <c r="A167" s="12"/>
      <c r="B167" s="12"/>
      <c r="C167" s="12"/>
      <c r="D167" s="12"/>
    </row>
    <row r="168" ht="15.75" customHeight="1">
      <c r="A168" s="12"/>
      <c r="B168" s="12"/>
      <c r="C168" s="12"/>
      <c r="D168" s="12"/>
    </row>
    <row r="169" ht="15.75" customHeight="1">
      <c r="A169" s="12"/>
      <c r="B169" s="12"/>
      <c r="C169" s="12"/>
      <c r="D169" s="12"/>
    </row>
    <row r="170" ht="15.75" customHeight="1">
      <c r="A170" s="12"/>
      <c r="B170" s="12"/>
      <c r="C170" s="12"/>
      <c r="D170" s="12"/>
    </row>
    <row r="171" ht="15.75" customHeight="1">
      <c r="A171" s="12"/>
      <c r="B171" s="12"/>
      <c r="C171" s="12"/>
      <c r="D171" s="12"/>
    </row>
    <row r="172" ht="15.75" customHeight="1">
      <c r="A172" s="12"/>
      <c r="B172" s="12"/>
      <c r="C172" s="12"/>
      <c r="D172" s="12"/>
    </row>
    <row r="173" ht="15.75" customHeight="1">
      <c r="A173" s="12"/>
      <c r="B173" s="12"/>
      <c r="C173" s="12"/>
      <c r="D173" s="12"/>
    </row>
    <row r="174" ht="15.75" customHeight="1">
      <c r="A174" s="12"/>
      <c r="B174" s="12"/>
      <c r="C174" s="12"/>
      <c r="D174" s="12"/>
    </row>
    <row r="175" ht="15.75" customHeight="1">
      <c r="A175" s="12"/>
      <c r="B175" s="12"/>
      <c r="C175" s="12"/>
      <c r="D175" s="12"/>
    </row>
    <row r="176" ht="15.75" customHeight="1">
      <c r="A176" s="12"/>
      <c r="B176" s="12"/>
      <c r="C176" s="12"/>
      <c r="D176" s="12"/>
    </row>
    <row r="177" ht="15.75" customHeight="1">
      <c r="A177" s="12"/>
      <c r="B177" s="12"/>
      <c r="C177" s="12"/>
      <c r="D177" s="12"/>
    </row>
    <row r="178" ht="15.75" customHeight="1">
      <c r="A178" s="12"/>
      <c r="B178" s="12"/>
      <c r="C178" s="12"/>
      <c r="D178" s="12"/>
    </row>
    <row r="179" ht="15.75" customHeight="1">
      <c r="A179" s="12"/>
      <c r="B179" s="12"/>
      <c r="C179" s="12"/>
      <c r="D179" s="12"/>
    </row>
    <row r="180" ht="15.75" customHeight="1">
      <c r="A180" s="12"/>
      <c r="B180" s="12"/>
      <c r="C180" s="12"/>
      <c r="D180" s="12"/>
    </row>
    <row r="181" ht="15.75" customHeight="1">
      <c r="A181" s="12"/>
      <c r="B181" s="12"/>
      <c r="C181" s="12"/>
      <c r="D181" s="12"/>
    </row>
    <row r="182" ht="15.75" customHeight="1">
      <c r="A182" s="12"/>
      <c r="B182" s="12"/>
      <c r="C182" s="12"/>
      <c r="D182" s="12"/>
    </row>
    <row r="183" ht="15.75" customHeight="1">
      <c r="A183" s="12"/>
      <c r="B183" s="12"/>
      <c r="C183" s="12"/>
      <c r="D183" s="12"/>
    </row>
    <row r="184" ht="15.75" customHeight="1">
      <c r="A184" s="12"/>
      <c r="B184" s="12"/>
      <c r="C184" s="12"/>
      <c r="D184" s="12"/>
    </row>
    <row r="185" ht="15.75" customHeight="1">
      <c r="A185" s="12"/>
      <c r="B185" s="12"/>
      <c r="C185" s="12"/>
      <c r="D185" s="12"/>
    </row>
    <row r="186" ht="15.75" customHeight="1">
      <c r="A186" s="12"/>
      <c r="B186" s="12"/>
      <c r="C186" s="12"/>
      <c r="D186" s="12"/>
    </row>
    <row r="187" ht="15.75" customHeight="1">
      <c r="A187" s="12"/>
      <c r="B187" s="12"/>
      <c r="C187" s="12"/>
      <c r="D187" s="12"/>
    </row>
    <row r="188" ht="15.75" customHeight="1">
      <c r="A188" s="12"/>
      <c r="B188" s="12"/>
      <c r="C188" s="12"/>
      <c r="D188" s="12"/>
    </row>
    <row r="189" ht="15.75" customHeight="1">
      <c r="A189" s="12"/>
      <c r="B189" s="12"/>
      <c r="C189" s="12"/>
      <c r="D189" s="12"/>
    </row>
    <row r="190" ht="15.75" customHeight="1">
      <c r="A190" s="12"/>
      <c r="B190" s="12"/>
      <c r="C190" s="12"/>
      <c r="D190" s="12"/>
    </row>
    <row r="191" ht="15.75" customHeight="1">
      <c r="A191" s="12"/>
      <c r="B191" s="12"/>
      <c r="C191" s="12"/>
      <c r="D191" s="12"/>
    </row>
    <row r="192" ht="15.75" customHeight="1">
      <c r="A192" s="12"/>
      <c r="B192" s="12"/>
      <c r="C192" s="12"/>
      <c r="D192" s="12"/>
    </row>
    <row r="193" ht="15.75" customHeight="1">
      <c r="A193" s="12"/>
      <c r="B193" s="12"/>
      <c r="C193" s="12"/>
      <c r="D193" s="12"/>
    </row>
    <row r="194" ht="15.75" customHeight="1">
      <c r="A194" s="12"/>
      <c r="B194" s="12"/>
      <c r="C194" s="12"/>
      <c r="D194" s="12"/>
    </row>
    <row r="195" ht="15.75" customHeight="1">
      <c r="A195" s="12"/>
      <c r="B195" s="12"/>
      <c r="C195" s="12"/>
      <c r="D195" s="12"/>
    </row>
    <row r="196" ht="15.75" customHeight="1">
      <c r="A196" s="12"/>
      <c r="B196" s="12"/>
      <c r="C196" s="12"/>
      <c r="D196" s="12"/>
    </row>
    <row r="197" ht="15.75" customHeight="1">
      <c r="A197" s="12"/>
      <c r="B197" s="12"/>
      <c r="C197" s="12"/>
      <c r="D197" s="12"/>
    </row>
    <row r="198" ht="15.75" customHeight="1">
      <c r="A198" s="12"/>
      <c r="B198" s="12"/>
      <c r="C198" s="12"/>
      <c r="D198" s="12"/>
    </row>
    <row r="199" ht="15.75" customHeight="1">
      <c r="A199" s="12"/>
      <c r="B199" s="12"/>
      <c r="C199" s="12"/>
      <c r="D199" s="12"/>
    </row>
    <row r="200" ht="15.75" customHeight="1">
      <c r="A200" s="12"/>
      <c r="B200" s="12"/>
      <c r="C200" s="12"/>
      <c r="D200" s="12"/>
    </row>
    <row r="201" ht="15.75" customHeight="1">
      <c r="A201" s="12"/>
      <c r="B201" s="12"/>
      <c r="C201" s="12"/>
      <c r="D201" s="12"/>
    </row>
    <row r="202" ht="15.75" customHeight="1">
      <c r="A202" s="12"/>
      <c r="B202" s="12"/>
      <c r="C202" s="12"/>
      <c r="D202" s="12"/>
    </row>
    <row r="203" ht="15.75" customHeight="1">
      <c r="A203" s="12"/>
      <c r="B203" s="12"/>
      <c r="C203" s="12"/>
      <c r="D203" s="12"/>
    </row>
    <row r="204" ht="15.75" customHeight="1">
      <c r="A204" s="12"/>
      <c r="B204" s="12"/>
      <c r="C204" s="12"/>
      <c r="D204" s="12"/>
    </row>
    <row r="205" ht="15.75" customHeight="1">
      <c r="A205" s="12"/>
      <c r="B205" s="12"/>
      <c r="C205" s="12"/>
      <c r="D205" s="12"/>
    </row>
    <row r="206" ht="15.75" customHeight="1">
      <c r="A206" s="12"/>
      <c r="B206" s="12"/>
      <c r="C206" s="12"/>
      <c r="D206" s="12"/>
    </row>
    <row r="207" ht="15.75" customHeight="1">
      <c r="A207" s="12"/>
      <c r="B207" s="12"/>
      <c r="C207" s="12"/>
      <c r="D207" s="12"/>
    </row>
    <row r="208" ht="15.75" customHeight="1">
      <c r="A208" s="12"/>
      <c r="B208" s="12"/>
      <c r="C208" s="12"/>
      <c r="D208" s="12"/>
    </row>
    <row r="209" ht="15.75" customHeight="1">
      <c r="A209" s="12"/>
      <c r="B209" s="12"/>
      <c r="C209" s="12"/>
      <c r="D209" s="12"/>
    </row>
    <row r="210" ht="15.75" customHeight="1">
      <c r="A210" s="12"/>
      <c r="B210" s="12"/>
      <c r="C210" s="12"/>
      <c r="D210" s="12"/>
    </row>
    <row r="211" ht="15.75" customHeight="1">
      <c r="A211" s="12"/>
      <c r="B211" s="12"/>
      <c r="C211" s="12"/>
      <c r="D211" s="12"/>
    </row>
    <row r="212" ht="15.75" customHeight="1">
      <c r="A212" s="12"/>
      <c r="B212" s="12"/>
      <c r="C212" s="12"/>
      <c r="D212" s="12"/>
    </row>
    <row r="213" ht="15.75" customHeight="1">
      <c r="A213" s="12"/>
      <c r="B213" s="12"/>
      <c r="C213" s="12"/>
      <c r="D213" s="12"/>
    </row>
    <row r="214" ht="15.75" customHeight="1">
      <c r="A214" s="12"/>
      <c r="B214" s="12"/>
      <c r="C214" s="12"/>
      <c r="D214" s="12"/>
    </row>
    <row r="215" ht="15.75" customHeight="1">
      <c r="A215" s="12"/>
      <c r="B215" s="12"/>
      <c r="C215" s="12"/>
      <c r="D215" s="12"/>
    </row>
    <row r="216" ht="15.75" customHeight="1">
      <c r="A216" s="12"/>
      <c r="B216" s="12"/>
      <c r="C216" s="12"/>
      <c r="D216" s="12"/>
    </row>
    <row r="217" ht="15.75" customHeight="1">
      <c r="A217" s="12"/>
      <c r="B217" s="12"/>
      <c r="C217" s="12"/>
      <c r="D217" s="12"/>
    </row>
    <row r="218" ht="15.75" customHeight="1">
      <c r="A218" s="12"/>
      <c r="B218" s="12"/>
      <c r="C218" s="12"/>
      <c r="D218" s="12"/>
    </row>
    <row r="219" ht="15.75" customHeight="1">
      <c r="A219" s="12"/>
      <c r="B219" s="12"/>
      <c r="C219" s="12"/>
      <c r="D219" s="12"/>
    </row>
    <row r="220" ht="15.75" customHeight="1">
      <c r="A220" s="12"/>
      <c r="B220" s="12"/>
      <c r="C220" s="12"/>
      <c r="D220" s="12"/>
    </row>
    <row r="221" ht="15.75" customHeight="1">
      <c r="A221" s="12"/>
      <c r="B221" s="12"/>
      <c r="C221" s="12"/>
      <c r="D221" s="12"/>
    </row>
    <row r="222" ht="15.75" customHeight="1">
      <c r="A222" s="12"/>
      <c r="B222" s="12"/>
      <c r="C222" s="12"/>
      <c r="D222" s="12"/>
    </row>
    <row r="223" ht="15.75" customHeight="1">
      <c r="A223" s="12"/>
      <c r="B223" s="12"/>
      <c r="C223" s="12"/>
      <c r="D223" s="12"/>
    </row>
    <row r="224" ht="15.75" customHeight="1">
      <c r="A224" s="12"/>
      <c r="B224" s="12"/>
      <c r="C224" s="12"/>
      <c r="D224" s="12"/>
    </row>
    <row r="225" ht="15.75" customHeight="1">
      <c r="A225" s="12"/>
      <c r="B225" s="12"/>
      <c r="C225" s="12"/>
      <c r="D225" s="12"/>
    </row>
    <row r="226" ht="15.75" customHeight="1">
      <c r="A226" s="12"/>
      <c r="B226" s="12"/>
      <c r="C226" s="12"/>
      <c r="D226" s="12"/>
    </row>
    <row r="227" ht="15.75" customHeight="1">
      <c r="A227" s="12"/>
      <c r="B227" s="12"/>
      <c r="C227" s="12"/>
      <c r="D227" s="12"/>
    </row>
    <row r="228" ht="15.75" customHeight="1">
      <c r="A228" s="12"/>
      <c r="B228" s="12"/>
      <c r="C228" s="12"/>
      <c r="D228" s="12"/>
    </row>
    <row r="229" ht="15.75" customHeight="1">
      <c r="A229" s="12"/>
      <c r="B229" s="12"/>
      <c r="C229" s="12"/>
      <c r="D229" s="12"/>
    </row>
    <row r="230" ht="15.75" customHeight="1">
      <c r="A230" s="12"/>
      <c r="B230" s="12"/>
      <c r="C230" s="12"/>
      <c r="D230" s="12"/>
    </row>
    <row r="231" ht="15.75" customHeight="1">
      <c r="A231" s="12"/>
      <c r="B231" s="12"/>
      <c r="C231" s="12"/>
      <c r="D231" s="12"/>
    </row>
    <row r="232" ht="15.75" customHeight="1">
      <c r="A232" s="12"/>
      <c r="B232" s="12"/>
      <c r="C232" s="12"/>
      <c r="D232" s="12"/>
    </row>
    <row r="233" ht="15.75" customHeight="1">
      <c r="A233" s="12"/>
      <c r="B233" s="12"/>
      <c r="C233" s="12"/>
      <c r="D233" s="12"/>
    </row>
    <row r="234" ht="15.75" customHeight="1">
      <c r="A234" s="12"/>
      <c r="B234" s="12"/>
      <c r="C234" s="12"/>
      <c r="D234" s="12"/>
    </row>
    <row r="235" ht="15.75" customHeight="1">
      <c r="A235" s="12"/>
      <c r="B235" s="12"/>
      <c r="C235" s="12"/>
      <c r="D235" s="12"/>
    </row>
    <row r="236" ht="15.75" customHeight="1">
      <c r="A236" s="12"/>
      <c r="B236" s="12"/>
      <c r="C236" s="12"/>
      <c r="D236" s="12"/>
    </row>
    <row r="237" ht="15.75" customHeight="1">
      <c r="A237" s="12"/>
      <c r="B237" s="12"/>
      <c r="C237" s="12"/>
      <c r="D237" s="12"/>
    </row>
    <row r="238" ht="15.75" customHeight="1">
      <c r="A238" s="12"/>
      <c r="B238" s="12"/>
      <c r="C238" s="12"/>
      <c r="D238" s="12"/>
    </row>
    <row r="239" ht="15.75" customHeight="1">
      <c r="A239" s="12"/>
      <c r="B239" s="12"/>
      <c r="C239" s="12"/>
      <c r="D239" s="12"/>
    </row>
    <row r="240" ht="15.75" customHeight="1">
      <c r="A240" s="12"/>
      <c r="B240" s="12"/>
      <c r="C240" s="12"/>
      <c r="D240" s="12"/>
    </row>
    <row r="241" ht="15.75" customHeight="1">
      <c r="A241" s="12"/>
      <c r="B241" s="12"/>
      <c r="C241" s="12"/>
      <c r="D241" s="12"/>
    </row>
    <row r="242" ht="15.75" customHeight="1">
      <c r="A242" s="12"/>
      <c r="B242" s="12"/>
      <c r="C242" s="12"/>
      <c r="D242" s="12"/>
    </row>
    <row r="243" ht="15.75" customHeight="1">
      <c r="A243" s="12"/>
      <c r="B243" s="12"/>
      <c r="C243" s="12"/>
      <c r="D243" s="12"/>
    </row>
    <row r="244" ht="15.75" customHeight="1">
      <c r="A244" s="12"/>
      <c r="B244" s="12"/>
      <c r="C244" s="12"/>
      <c r="D244" s="12"/>
    </row>
    <row r="245" ht="15.75" customHeight="1">
      <c r="A245" s="12"/>
      <c r="B245" s="12"/>
      <c r="C245" s="12"/>
      <c r="D245" s="12"/>
    </row>
    <row r="246" ht="15.75" customHeight="1">
      <c r="A246" s="12"/>
      <c r="B246" s="12"/>
      <c r="C246" s="12"/>
      <c r="D246" s="12"/>
    </row>
    <row r="247" ht="15.75" customHeight="1">
      <c r="A247" s="12"/>
      <c r="B247" s="12"/>
      <c r="C247" s="12"/>
      <c r="D247" s="12"/>
    </row>
    <row r="248" ht="15.75" customHeight="1">
      <c r="A248" s="12"/>
      <c r="B248" s="12"/>
      <c r="C248" s="12"/>
      <c r="D248" s="12"/>
    </row>
    <row r="249" ht="15.75" customHeight="1">
      <c r="A249" s="12"/>
      <c r="B249" s="12"/>
      <c r="C249" s="12"/>
      <c r="D249" s="12"/>
    </row>
    <row r="250" ht="15.75" customHeight="1">
      <c r="A250" s="12"/>
      <c r="B250" s="12"/>
      <c r="C250" s="12"/>
      <c r="D250" s="12"/>
    </row>
    <row r="251" ht="15.75" customHeight="1">
      <c r="A251" s="12"/>
      <c r="B251" s="12"/>
      <c r="C251" s="12"/>
      <c r="D251" s="12"/>
    </row>
    <row r="252" ht="15.75" customHeight="1">
      <c r="A252" s="12"/>
      <c r="B252" s="12"/>
      <c r="C252" s="12"/>
      <c r="D252" s="12"/>
    </row>
    <row r="253" ht="15.75" customHeight="1">
      <c r="A253" s="12"/>
      <c r="B253" s="12"/>
      <c r="C253" s="12"/>
      <c r="D253" s="12"/>
    </row>
    <row r="254" ht="15.75" customHeight="1">
      <c r="A254" s="12"/>
      <c r="B254" s="12"/>
      <c r="C254" s="12"/>
      <c r="D254" s="12"/>
    </row>
    <row r="255" ht="15.75" customHeight="1">
      <c r="A255" s="12"/>
      <c r="B255" s="12"/>
      <c r="C255" s="12"/>
      <c r="D255" s="12"/>
    </row>
    <row r="256" ht="15.75" customHeight="1">
      <c r="A256" s="12"/>
      <c r="B256" s="12"/>
      <c r="C256" s="12"/>
      <c r="D256" s="12"/>
    </row>
    <row r="257" ht="15.75" customHeight="1">
      <c r="A257" s="12"/>
      <c r="B257" s="12"/>
      <c r="C257" s="12"/>
      <c r="D257" s="12"/>
    </row>
    <row r="258" ht="15.75" customHeight="1">
      <c r="A258" s="12"/>
      <c r="B258" s="12"/>
      <c r="C258" s="12"/>
      <c r="D258" s="12"/>
    </row>
    <row r="259" ht="15.75" customHeight="1">
      <c r="A259" s="12"/>
      <c r="B259" s="12"/>
      <c r="C259" s="12"/>
      <c r="D259" s="12"/>
    </row>
    <row r="260" ht="15.75" customHeight="1">
      <c r="A260" s="12"/>
      <c r="B260" s="12"/>
      <c r="C260" s="12"/>
      <c r="D260" s="12"/>
    </row>
    <row r="261" ht="15.75" customHeight="1">
      <c r="A261" s="12"/>
      <c r="B261" s="12"/>
      <c r="C261" s="12"/>
      <c r="D261" s="12"/>
    </row>
    <row r="262" ht="15.75" customHeight="1">
      <c r="A262" s="12"/>
      <c r="B262" s="12"/>
      <c r="C262" s="12"/>
      <c r="D262" s="12"/>
    </row>
    <row r="263" ht="15.75" customHeight="1">
      <c r="A263" s="12"/>
      <c r="B263" s="12"/>
      <c r="C263" s="12"/>
      <c r="D263" s="12"/>
    </row>
    <row r="264" ht="15.75" customHeight="1">
      <c r="A264" s="12"/>
      <c r="B264" s="12"/>
      <c r="C264" s="12"/>
      <c r="D264" s="12"/>
    </row>
    <row r="265" ht="15.75" customHeight="1">
      <c r="A265" s="12"/>
      <c r="B265" s="12"/>
      <c r="C265" s="12"/>
      <c r="D265" s="12"/>
    </row>
    <row r="266" ht="15.75" customHeight="1">
      <c r="A266" s="12"/>
      <c r="B266" s="12"/>
      <c r="C266" s="12"/>
      <c r="D266" s="12"/>
    </row>
    <row r="267" ht="15.75" customHeight="1">
      <c r="A267" s="12"/>
      <c r="B267" s="12"/>
      <c r="C267" s="12"/>
      <c r="D267" s="12"/>
    </row>
    <row r="268" ht="15.75" customHeight="1">
      <c r="A268" s="12"/>
      <c r="B268" s="12"/>
      <c r="C268" s="12"/>
      <c r="D268" s="12"/>
    </row>
    <row r="269" ht="15.75" customHeight="1">
      <c r="A269" s="12"/>
      <c r="B269" s="12"/>
      <c r="C269" s="12"/>
      <c r="D269" s="12"/>
    </row>
    <row r="270" ht="15.75" customHeight="1">
      <c r="A270" s="12"/>
      <c r="B270" s="12"/>
      <c r="C270" s="12"/>
      <c r="D270" s="12"/>
    </row>
    <row r="271" ht="15.75" customHeight="1">
      <c r="A271" s="12"/>
      <c r="B271" s="12"/>
      <c r="C271" s="12"/>
      <c r="D271" s="12"/>
    </row>
    <row r="272" ht="15.75" customHeight="1">
      <c r="A272" s="12"/>
      <c r="B272" s="12"/>
      <c r="C272" s="12"/>
      <c r="D272" s="12"/>
    </row>
    <row r="273" ht="15.75" customHeight="1">
      <c r="A273" s="12"/>
      <c r="B273" s="12"/>
      <c r="C273" s="12"/>
      <c r="D273" s="12"/>
    </row>
    <row r="274" ht="15.75" customHeight="1">
      <c r="A274" s="12"/>
      <c r="B274" s="12"/>
      <c r="C274" s="12"/>
      <c r="D274" s="12"/>
    </row>
    <row r="275" ht="15.75" customHeight="1">
      <c r="A275" s="12"/>
      <c r="B275" s="12"/>
      <c r="C275" s="12"/>
      <c r="D275" s="12"/>
    </row>
    <row r="276" ht="15.75" customHeight="1">
      <c r="A276" s="12"/>
      <c r="B276" s="12"/>
      <c r="C276" s="12"/>
      <c r="D276" s="12"/>
    </row>
    <row r="277" ht="15.75" customHeight="1">
      <c r="A277" s="12"/>
      <c r="B277" s="12"/>
      <c r="C277" s="12"/>
      <c r="D277" s="12"/>
    </row>
    <row r="278" ht="15.75" customHeight="1">
      <c r="A278" s="12"/>
      <c r="B278" s="12"/>
      <c r="C278" s="12"/>
      <c r="D278" s="12"/>
    </row>
    <row r="279" ht="15.75" customHeight="1">
      <c r="A279" s="12"/>
      <c r="B279" s="12"/>
      <c r="C279" s="12"/>
      <c r="D279" s="12"/>
    </row>
    <row r="280" ht="15.75" customHeight="1">
      <c r="A280" s="12"/>
      <c r="B280" s="12"/>
      <c r="C280" s="12"/>
      <c r="D280" s="12"/>
    </row>
    <row r="281" ht="15.75" customHeight="1">
      <c r="A281" s="12"/>
      <c r="B281" s="12"/>
      <c r="C281" s="12"/>
      <c r="D281" s="12"/>
    </row>
    <row r="282" ht="15.75" customHeight="1">
      <c r="A282" s="12"/>
      <c r="B282" s="12"/>
      <c r="C282" s="12"/>
      <c r="D282" s="12"/>
    </row>
    <row r="283" ht="15.75" customHeight="1">
      <c r="A283" s="12"/>
      <c r="B283" s="12"/>
      <c r="C283" s="12"/>
      <c r="D283" s="12"/>
    </row>
    <row r="284" ht="15.75" customHeight="1">
      <c r="A284" s="12"/>
      <c r="B284" s="12"/>
      <c r="C284" s="12"/>
      <c r="D284" s="12"/>
    </row>
    <row r="285" ht="15.75" customHeight="1">
      <c r="A285" s="12"/>
      <c r="B285" s="12"/>
      <c r="C285" s="12"/>
      <c r="D285" s="12"/>
    </row>
    <row r="286" ht="15.75" customHeight="1">
      <c r="A286" s="12"/>
      <c r="B286" s="12"/>
      <c r="C286" s="12"/>
      <c r="D286" s="12"/>
    </row>
    <row r="287" ht="15.75" customHeight="1">
      <c r="A287" s="12"/>
      <c r="B287" s="12"/>
      <c r="C287" s="12"/>
      <c r="D287" s="12"/>
    </row>
    <row r="288" ht="15.75" customHeight="1">
      <c r="A288" s="12"/>
      <c r="B288" s="12"/>
      <c r="C288" s="12"/>
      <c r="D288" s="12"/>
    </row>
    <row r="289" ht="15.75" customHeight="1">
      <c r="A289" s="12"/>
      <c r="B289" s="12"/>
      <c r="C289" s="12"/>
      <c r="D289" s="12"/>
    </row>
    <row r="290" ht="15.75" customHeight="1">
      <c r="A290" s="12"/>
      <c r="B290" s="12"/>
      <c r="C290" s="12"/>
      <c r="D290" s="12"/>
    </row>
    <row r="291" ht="15.75" customHeight="1">
      <c r="A291" s="12"/>
      <c r="B291" s="12"/>
      <c r="C291" s="12"/>
      <c r="D291" s="12"/>
    </row>
    <row r="292" ht="15.75" customHeight="1">
      <c r="A292" s="12"/>
      <c r="B292" s="12"/>
      <c r="C292" s="12"/>
      <c r="D292" s="12"/>
    </row>
    <row r="293" ht="15.75" customHeight="1">
      <c r="A293" s="12"/>
      <c r="B293" s="12"/>
      <c r="C293" s="12"/>
      <c r="D293" s="12"/>
    </row>
    <row r="294" ht="15.75" customHeight="1">
      <c r="A294" s="12"/>
      <c r="B294" s="12"/>
      <c r="C294" s="12"/>
      <c r="D294" s="12"/>
    </row>
    <row r="295" ht="15.75" customHeight="1">
      <c r="A295" s="12"/>
      <c r="B295" s="12"/>
      <c r="C295" s="12"/>
      <c r="D295" s="12"/>
    </row>
    <row r="296" ht="15.75" customHeight="1">
      <c r="A296" s="12"/>
      <c r="B296" s="12"/>
      <c r="C296" s="12"/>
      <c r="D296" s="12"/>
    </row>
    <row r="297" ht="15.75" customHeight="1">
      <c r="A297" s="12"/>
      <c r="B297" s="12"/>
      <c r="C297" s="12"/>
      <c r="D297" s="12"/>
    </row>
    <row r="298" ht="15.75" customHeight="1">
      <c r="A298" s="12"/>
      <c r="B298" s="12"/>
      <c r="C298" s="12"/>
      <c r="D298" s="12"/>
    </row>
    <row r="299" ht="15.75" customHeight="1">
      <c r="A299" s="12"/>
      <c r="B299" s="12"/>
      <c r="C299" s="12"/>
      <c r="D299" s="12"/>
    </row>
    <row r="300" ht="15.75" customHeight="1">
      <c r="A300" s="12"/>
      <c r="B300" s="12"/>
      <c r="C300" s="12"/>
      <c r="D300" s="12"/>
    </row>
    <row r="301" ht="15.75" customHeight="1">
      <c r="A301" s="12"/>
      <c r="B301" s="12"/>
      <c r="C301" s="12"/>
      <c r="D301" s="12"/>
    </row>
    <row r="302" ht="15.75" customHeight="1">
      <c r="A302" s="12"/>
      <c r="B302" s="12"/>
      <c r="C302" s="12"/>
      <c r="D302" s="12"/>
    </row>
    <row r="303" ht="15.75" customHeight="1">
      <c r="A303" s="12"/>
      <c r="B303" s="12"/>
      <c r="C303" s="12"/>
      <c r="D303" s="12"/>
    </row>
    <row r="304" ht="15.75" customHeight="1">
      <c r="A304" s="12"/>
      <c r="B304" s="12"/>
      <c r="C304" s="12"/>
      <c r="D304" s="12"/>
    </row>
    <row r="305" ht="15.75" customHeight="1">
      <c r="A305" s="12"/>
      <c r="B305" s="12"/>
      <c r="C305" s="12"/>
      <c r="D305" s="12"/>
    </row>
    <row r="306" ht="15.75" customHeight="1">
      <c r="A306" s="12"/>
      <c r="B306" s="12"/>
      <c r="C306" s="12"/>
      <c r="D306" s="12"/>
    </row>
    <row r="307" ht="15.75" customHeight="1">
      <c r="A307" s="12"/>
      <c r="B307" s="12"/>
      <c r="C307" s="12"/>
      <c r="D307" s="12"/>
    </row>
    <row r="308" ht="15.75" customHeight="1">
      <c r="A308" s="12"/>
      <c r="B308" s="12"/>
      <c r="C308" s="12"/>
      <c r="D308" s="12"/>
    </row>
    <row r="309" ht="15.75" customHeight="1">
      <c r="A309" s="12"/>
      <c r="B309" s="12"/>
      <c r="C309" s="12"/>
      <c r="D309" s="12"/>
    </row>
    <row r="310" ht="15.75" customHeight="1">
      <c r="A310" s="12"/>
      <c r="B310" s="12"/>
      <c r="C310" s="12"/>
      <c r="D310" s="12"/>
    </row>
    <row r="311" ht="15.75" customHeight="1">
      <c r="A311" s="12"/>
      <c r="B311" s="12"/>
      <c r="C311" s="12"/>
      <c r="D311" s="12"/>
    </row>
    <row r="312" ht="15.75" customHeight="1">
      <c r="A312" s="12"/>
      <c r="B312" s="12"/>
      <c r="C312" s="12"/>
      <c r="D312" s="12"/>
    </row>
    <row r="313" ht="15.75" customHeight="1">
      <c r="A313" s="12"/>
      <c r="B313" s="12"/>
      <c r="C313" s="12"/>
      <c r="D313" s="12"/>
    </row>
    <row r="314" ht="15.75" customHeight="1">
      <c r="A314" s="12"/>
      <c r="B314" s="12"/>
      <c r="C314" s="12"/>
      <c r="D314" s="12"/>
    </row>
    <row r="315" ht="15.75" customHeight="1">
      <c r="A315" s="12"/>
      <c r="B315" s="12"/>
      <c r="C315" s="12"/>
      <c r="D315" s="12"/>
    </row>
    <row r="316" ht="15.75" customHeight="1">
      <c r="A316" s="12"/>
      <c r="B316" s="12"/>
      <c r="C316" s="12"/>
      <c r="D316" s="12"/>
    </row>
    <row r="317" ht="15.75" customHeight="1">
      <c r="A317" s="12"/>
      <c r="B317" s="12"/>
      <c r="C317" s="12"/>
      <c r="D317" s="12"/>
    </row>
    <row r="318" ht="15.75" customHeight="1">
      <c r="A318" s="12"/>
      <c r="B318" s="12"/>
      <c r="C318" s="12"/>
      <c r="D318" s="12"/>
    </row>
    <row r="319" ht="15.75" customHeight="1">
      <c r="A319" s="12"/>
      <c r="B319" s="12"/>
      <c r="C319" s="12"/>
      <c r="D319" s="12"/>
    </row>
    <row r="320" ht="15.75" customHeight="1">
      <c r="A320" s="12"/>
      <c r="B320" s="12"/>
      <c r="C320" s="12"/>
      <c r="D320" s="12"/>
    </row>
    <row r="321" ht="15.75" customHeight="1">
      <c r="A321" s="12"/>
      <c r="B321" s="12"/>
      <c r="C321" s="12"/>
      <c r="D321" s="12"/>
    </row>
    <row r="322" ht="15.75" customHeight="1">
      <c r="A322" s="12"/>
      <c r="B322" s="12"/>
      <c r="C322" s="12"/>
      <c r="D322" s="12"/>
    </row>
    <row r="323" ht="15.75" customHeight="1">
      <c r="A323" s="12"/>
      <c r="B323" s="12"/>
      <c r="C323" s="12"/>
      <c r="D323" s="12"/>
    </row>
    <row r="324" ht="15.75" customHeight="1">
      <c r="A324" s="12"/>
      <c r="B324" s="12"/>
      <c r="C324" s="12"/>
      <c r="D324" s="12"/>
    </row>
    <row r="325" ht="15.75" customHeight="1">
      <c r="A325" s="12"/>
      <c r="B325" s="12"/>
      <c r="C325" s="12"/>
      <c r="D325" s="12"/>
    </row>
    <row r="326" ht="15.75" customHeight="1">
      <c r="A326" s="12"/>
      <c r="B326" s="12"/>
      <c r="C326" s="12"/>
      <c r="D326" s="12"/>
    </row>
    <row r="327" ht="15.75" customHeight="1">
      <c r="A327" s="12"/>
      <c r="B327" s="12"/>
      <c r="C327" s="12"/>
      <c r="D327" s="12"/>
    </row>
    <row r="328" ht="15.75" customHeight="1">
      <c r="A328" s="12"/>
      <c r="B328" s="12"/>
      <c r="C328" s="12"/>
      <c r="D328" s="12"/>
    </row>
    <row r="329" ht="15.75" customHeight="1">
      <c r="A329" s="12"/>
      <c r="B329" s="12"/>
      <c r="C329" s="12"/>
      <c r="D329" s="12"/>
    </row>
    <row r="330" ht="15.75" customHeight="1">
      <c r="A330" s="12"/>
      <c r="B330" s="12"/>
      <c r="C330" s="12"/>
      <c r="D330" s="12"/>
    </row>
    <row r="331" ht="15.75" customHeight="1">
      <c r="A331" s="12"/>
      <c r="B331" s="12"/>
      <c r="C331" s="12"/>
      <c r="D331" s="12"/>
    </row>
    <row r="332" ht="15.75" customHeight="1">
      <c r="A332" s="12"/>
      <c r="B332" s="12"/>
      <c r="C332" s="12"/>
      <c r="D332" s="12"/>
    </row>
    <row r="333" ht="15.75" customHeight="1">
      <c r="A333" s="12"/>
      <c r="B333" s="12"/>
      <c r="C333" s="12"/>
      <c r="D333" s="12"/>
    </row>
    <row r="334" ht="15.75" customHeight="1">
      <c r="A334" s="12"/>
      <c r="B334" s="12"/>
      <c r="C334" s="12"/>
      <c r="D334" s="12"/>
    </row>
    <row r="335" ht="15.75" customHeight="1">
      <c r="A335" s="12"/>
      <c r="B335" s="12"/>
      <c r="C335" s="12"/>
      <c r="D335" s="12"/>
    </row>
    <row r="336" ht="15.75" customHeight="1">
      <c r="A336" s="12"/>
      <c r="B336" s="12"/>
      <c r="C336" s="12"/>
      <c r="D336" s="12"/>
    </row>
    <row r="337" ht="15.75" customHeight="1">
      <c r="A337" s="12"/>
      <c r="B337" s="12"/>
      <c r="C337" s="12"/>
      <c r="D337" s="12"/>
    </row>
    <row r="338" ht="15.75" customHeight="1">
      <c r="A338" s="12"/>
      <c r="B338" s="12"/>
      <c r="C338" s="12"/>
      <c r="D338" s="12"/>
    </row>
    <row r="339" ht="15.75" customHeight="1">
      <c r="A339" s="12"/>
      <c r="B339" s="12"/>
      <c r="C339" s="12"/>
      <c r="D339" s="12"/>
    </row>
    <row r="340" ht="15.75" customHeight="1">
      <c r="A340" s="12"/>
      <c r="B340" s="12"/>
      <c r="C340" s="12"/>
      <c r="D340" s="12"/>
    </row>
    <row r="341" ht="15.75" customHeight="1">
      <c r="A341" s="12"/>
      <c r="B341" s="12"/>
      <c r="C341" s="12"/>
      <c r="D341" s="12"/>
    </row>
    <row r="342" ht="15.75" customHeight="1">
      <c r="A342" s="12"/>
      <c r="B342" s="12"/>
      <c r="C342" s="12"/>
      <c r="D342" s="12"/>
    </row>
    <row r="343" ht="15.75" customHeight="1">
      <c r="A343" s="12"/>
      <c r="B343" s="12"/>
      <c r="C343" s="12"/>
      <c r="D343" s="12"/>
    </row>
    <row r="344" ht="15.75" customHeight="1">
      <c r="A344" s="12"/>
      <c r="B344" s="12"/>
      <c r="C344" s="12"/>
      <c r="D344" s="12"/>
    </row>
    <row r="345" ht="15.75" customHeight="1">
      <c r="A345" s="12"/>
      <c r="B345" s="12"/>
      <c r="C345" s="12"/>
      <c r="D345" s="12"/>
    </row>
    <row r="346" ht="15.75" customHeight="1">
      <c r="A346" s="12"/>
      <c r="B346" s="12"/>
      <c r="C346" s="12"/>
      <c r="D346" s="12"/>
    </row>
    <row r="347" ht="15.75" customHeight="1">
      <c r="A347" s="12"/>
      <c r="B347" s="12"/>
      <c r="C347" s="12"/>
      <c r="D347" s="12"/>
    </row>
    <row r="348" ht="15.75" customHeight="1">
      <c r="A348" s="12"/>
      <c r="B348" s="12"/>
      <c r="C348" s="12"/>
      <c r="D348" s="12"/>
    </row>
    <row r="349" ht="15.75" customHeight="1">
      <c r="A349" s="12"/>
      <c r="B349" s="12"/>
      <c r="C349" s="12"/>
      <c r="D349" s="12"/>
    </row>
    <row r="350" ht="15.75" customHeight="1">
      <c r="A350" s="12"/>
      <c r="B350" s="12"/>
      <c r="C350" s="12"/>
      <c r="D350" s="12"/>
    </row>
    <row r="351" ht="15.75" customHeight="1">
      <c r="A351" s="12"/>
      <c r="B351" s="12"/>
      <c r="C351" s="12"/>
      <c r="D351" s="12"/>
    </row>
    <row r="352" ht="15.75" customHeight="1">
      <c r="A352" s="12"/>
      <c r="B352" s="12"/>
      <c r="C352" s="12"/>
      <c r="D352" s="12"/>
    </row>
    <row r="353" ht="15.75" customHeight="1">
      <c r="A353" s="12"/>
      <c r="B353" s="12"/>
      <c r="C353" s="12"/>
      <c r="D353" s="12"/>
    </row>
    <row r="354" ht="15.75" customHeight="1">
      <c r="A354" s="12"/>
      <c r="B354" s="12"/>
      <c r="C354" s="12"/>
      <c r="D354" s="12"/>
    </row>
    <row r="355" ht="15.75" customHeight="1">
      <c r="A355" s="12"/>
      <c r="B355" s="12"/>
      <c r="C355" s="12"/>
      <c r="D355" s="12"/>
    </row>
    <row r="356" ht="15.75" customHeight="1">
      <c r="A356" s="12"/>
      <c r="B356" s="12"/>
      <c r="C356" s="12"/>
      <c r="D356" s="12"/>
    </row>
    <row r="357" ht="15.75" customHeight="1">
      <c r="A357" s="12"/>
      <c r="B357" s="12"/>
      <c r="C357" s="12"/>
      <c r="D357" s="12"/>
    </row>
    <row r="358" ht="15.75" customHeight="1">
      <c r="A358" s="12"/>
      <c r="B358" s="12"/>
      <c r="C358" s="12"/>
      <c r="D358" s="12"/>
    </row>
    <row r="359" ht="15.75" customHeight="1">
      <c r="A359" s="12"/>
      <c r="B359" s="12"/>
      <c r="C359" s="12"/>
      <c r="D359" s="12"/>
    </row>
    <row r="360" ht="15.75" customHeight="1">
      <c r="A360" s="12"/>
      <c r="B360" s="12"/>
      <c r="C360" s="12"/>
      <c r="D360" s="12"/>
    </row>
    <row r="361" ht="15.75" customHeight="1">
      <c r="A361" s="12"/>
      <c r="B361" s="12"/>
      <c r="C361" s="12"/>
      <c r="D361" s="12"/>
    </row>
    <row r="362" ht="15.75" customHeight="1">
      <c r="A362" s="12"/>
      <c r="B362" s="12"/>
      <c r="C362" s="12"/>
      <c r="D362" s="12"/>
    </row>
    <row r="363" ht="15.75" customHeight="1">
      <c r="A363" s="12"/>
      <c r="B363" s="12"/>
      <c r="C363" s="12"/>
      <c r="D363" s="12"/>
    </row>
    <row r="364" ht="15.75" customHeight="1">
      <c r="A364" s="12"/>
      <c r="B364" s="12"/>
      <c r="C364" s="12"/>
      <c r="D364" s="12"/>
    </row>
    <row r="365" ht="15.75" customHeight="1">
      <c r="A365" s="12"/>
      <c r="B365" s="12"/>
      <c r="C365" s="12"/>
      <c r="D365" s="12"/>
    </row>
    <row r="366" ht="15.75" customHeight="1">
      <c r="A366" s="12"/>
      <c r="B366" s="12"/>
      <c r="C366" s="12"/>
      <c r="D366" s="12"/>
    </row>
    <row r="367" ht="15.75" customHeight="1">
      <c r="A367" s="12"/>
      <c r="B367" s="12"/>
      <c r="C367" s="12"/>
      <c r="D367" s="12"/>
    </row>
    <row r="368" ht="15.75" customHeight="1">
      <c r="A368" s="12"/>
      <c r="B368" s="12"/>
      <c r="C368" s="12"/>
      <c r="D368" s="12"/>
    </row>
    <row r="369" ht="15.75" customHeight="1">
      <c r="A369" s="12"/>
      <c r="B369" s="12"/>
      <c r="C369" s="12"/>
      <c r="D369" s="12"/>
    </row>
    <row r="370" ht="15.75" customHeight="1">
      <c r="A370" s="12"/>
      <c r="B370" s="12"/>
      <c r="C370" s="12"/>
      <c r="D370" s="12"/>
    </row>
    <row r="371" ht="15.75" customHeight="1">
      <c r="A371" s="12"/>
      <c r="B371" s="12"/>
      <c r="C371" s="12"/>
      <c r="D371" s="12"/>
    </row>
    <row r="372" ht="15.75" customHeight="1">
      <c r="A372" s="12"/>
      <c r="B372" s="12"/>
      <c r="C372" s="12"/>
      <c r="D372" s="12"/>
    </row>
    <row r="373" ht="15.75" customHeight="1">
      <c r="A373" s="12"/>
      <c r="B373" s="12"/>
      <c r="C373" s="12"/>
      <c r="D373" s="12"/>
    </row>
    <row r="374" ht="15.75" customHeight="1">
      <c r="A374" s="12"/>
      <c r="B374" s="12"/>
      <c r="C374" s="12"/>
      <c r="D374" s="12"/>
    </row>
    <row r="375" ht="15.75" customHeight="1">
      <c r="A375" s="12"/>
      <c r="B375" s="12"/>
      <c r="C375" s="12"/>
      <c r="D375" s="12"/>
    </row>
    <row r="376" ht="15.75" customHeight="1">
      <c r="A376" s="12"/>
      <c r="B376" s="12"/>
      <c r="C376" s="12"/>
      <c r="D376" s="12"/>
    </row>
    <row r="377" ht="15.75" customHeight="1">
      <c r="A377" s="12"/>
      <c r="B377" s="12"/>
      <c r="C377" s="12"/>
      <c r="D377" s="12"/>
    </row>
    <row r="378" ht="15.75" customHeight="1">
      <c r="A378" s="12"/>
      <c r="B378" s="12"/>
      <c r="C378" s="12"/>
      <c r="D378" s="12"/>
    </row>
    <row r="379" ht="15.75" customHeight="1">
      <c r="A379" s="12"/>
      <c r="B379" s="12"/>
      <c r="C379" s="12"/>
      <c r="D379" s="12"/>
    </row>
    <row r="380" ht="15.75" customHeight="1">
      <c r="A380" s="12"/>
      <c r="B380" s="12"/>
      <c r="C380" s="12"/>
      <c r="D380" s="12"/>
    </row>
    <row r="381" ht="15.75" customHeight="1">
      <c r="A381" s="12"/>
      <c r="B381" s="12"/>
      <c r="C381" s="12"/>
      <c r="D381" s="12"/>
    </row>
    <row r="382" ht="15.75" customHeight="1">
      <c r="A382" s="12"/>
      <c r="B382" s="12"/>
      <c r="C382" s="12"/>
      <c r="D382" s="12"/>
    </row>
    <row r="383" ht="15.75" customHeight="1">
      <c r="A383" s="12"/>
      <c r="B383" s="12"/>
      <c r="C383" s="12"/>
      <c r="D383" s="12"/>
    </row>
    <row r="384" ht="15.75" customHeight="1">
      <c r="A384" s="12"/>
      <c r="B384" s="12"/>
      <c r="C384" s="12"/>
      <c r="D384" s="12"/>
    </row>
    <row r="385" ht="15.75" customHeight="1">
      <c r="A385" s="12"/>
      <c r="B385" s="12"/>
      <c r="C385" s="12"/>
      <c r="D385" s="12"/>
    </row>
    <row r="386" ht="15.75" customHeight="1">
      <c r="A386" s="12"/>
      <c r="B386" s="12"/>
      <c r="C386" s="12"/>
      <c r="D386" s="12"/>
    </row>
    <row r="387" ht="15.75" customHeight="1">
      <c r="A387" s="12"/>
      <c r="B387" s="12"/>
      <c r="C387" s="12"/>
      <c r="D387" s="12"/>
    </row>
    <row r="388" ht="15.75" customHeight="1">
      <c r="A388" s="12"/>
      <c r="B388" s="12"/>
      <c r="C388" s="12"/>
      <c r="D388" s="12"/>
    </row>
    <row r="389" ht="15.75" customHeight="1">
      <c r="A389" s="12"/>
      <c r="B389" s="12"/>
      <c r="C389" s="12"/>
      <c r="D389" s="12"/>
    </row>
    <row r="390" ht="15.75" customHeight="1">
      <c r="A390" s="12"/>
      <c r="B390" s="12"/>
      <c r="C390" s="12"/>
      <c r="D390" s="12"/>
    </row>
    <row r="391" ht="15.75" customHeight="1">
      <c r="A391" s="12"/>
      <c r="B391" s="12"/>
      <c r="C391" s="12"/>
      <c r="D391" s="12"/>
    </row>
    <row r="392" ht="15.75" customHeight="1">
      <c r="A392" s="12"/>
      <c r="B392" s="12"/>
      <c r="C392" s="12"/>
      <c r="D392" s="12"/>
    </row>
    <row r="393" ht="15.75" customHeight="1">
      <c r="A393" s="12"/>
      <c r="B393" s="12"/>
      <c r="C393" s="12"/>
      <c r="D393" s="12"/>
    </row>
    <row r="394" ht="15.75" customHeight="1">
      <c r="A394" s="12"/>
      <c r="B394" s="12"/>
      <c r="C394" s="12"/>
      <c r="D394" s="12"/>
    </row>
    <row r="395" ht="15.75" customHeight="1">
      <c r="A395" s="12"/>
      <c r="B395" s="12"/>
      <c r="C395" s="12"/>
      <c r="D395" s="12"/>
    </row>
    <row r="396" ht="15.75" customHeight="1">
      <c r="A396" s="12"/>
      <c r="B396" s="12"/>
      <c r="C396" s="12"/>
      <c r="D396" s="12"/>
    </row>
    <row r="397" ht="15.75" customHeight="1">
      <c r="A397" s="12"/>
      <c r="B397" s="12"/>
      <c r="C397" s="12"/>
      <c r="D397" s="12"/>
    </row>
    <row r="398" ht="15.75" customHeight="1">
      <c r="A398" s="12"/>
      <c r="B398" s="12"/>
      <c r="C398" s="12"/>
      <c r="D398" s="12"/>
    </row>
    <row r="399" ht="15.75" customHeight="1">
      <c r="A399" s="12"/>
      <c r="B399" s="12"/>
      <c r="C399" s="12"/>
      <c r="D399" s="12"/>
    </row>
    <row r="400" ht="15.75" customHeight="1">
      <c r="A400" s="12"/>
      <c r="B400" s="12"/>
      <c r="C400" s="12"/>
      <c r="D400" s="12"/>
    </row>
    <row r="401" ht="15.75" customHeight="1">
      <c r="A401" s="12"/>
      <c r="B401" s="12"/>
      <c r="C401" s="12"/>
      <c r="D401" s="12"/>
    </row>
    <row r="402" ht="15.75" customHeight="1">
      <c r="A402" s="12"/>
      <c r="B402" s="12"/>
      <c r="C402" s="12"/>
      <c r="D402" s="12"/>
    </row>
    <row r="403" ht="15.75" customHeight="1">
      <c r="A403" s="12"/>
      <c r="B403" s="12"/>
      <c r="C403" s="12"/>
      <c r="D403" s="12"/>
    </row>
    <row r="404" ht="15.75" customHeight="1">
      <c r="A404" s="12"/>
      <c r="B404" s="12"/>
      <c r="C404" s="12"/>
      <c r="D404" s="12"/>
    </row>
    <row r="405" ht="15.75" customHeight="1">
      <c r="A405" s="12"/>
      <c r="B405" s="12"/>
      <c r="C405" s="12"/>
      <c r="D405" s="12"/>
    </row>
    <row r="406" ht="15.75" customHeight="1">
      <c r="A406" s="12"/>
      <c r="B406" s="12"/>
      <c r="C406" s="12"/>
      <c r="D406" s="12"/>
    </row>
    <row r="407" ht="15.75" customHeight="1">
      <c r="A407" s="12"/>
      <c r="B407" s="12"/>
      <c r="C407" s="12"/>
      <c r="D407" s="12"/>
    </row>
    <row r="408" ht="15.75" customHeight="1">
      <c r="A408" s="12"/>
      <c r="B408" s="12"/>
      <c r="C408" s="12"/>
      <c r="D408" s="12"/>
    </row>
    <row r="409" ht="15.75" customHeight="1">
      <c r="A409" s="12"/>
      <c r="B409" s="12"/>
      <c r="C409" s="12"/>
      <c r="D409" s="12"/>
    </row>
    <row r="410" ht="15.75" customHeight="1">
      <c r="A410" s="12"/>
      <c r="B410" s="12"/>
      <c r="C410" s="12"/>
      <c r="D410" s="12"/>
    </row>
    <row r="411" ht="15.75" customHeight="1">
      <c r="A411" s="12"/>
      <c r="B411" s="12"/>
      <c r="C411" s="12"/>
      <c r="D411" s="12"/>
    </row>
    <row r="412" ht="15.75" customHeight="1">
      <c r="A412" s="12"/>
      <c r="B412" s="12"/>
      <c r="C412" s="12"/>
      <c r="D412" s="12"/>
    </row>
    <row r="413" ht="15.75" customHeight="1">
      <c r="A413" s="12"/>
      <c r="B413" s="12"/>
      <c r="C413" s="12"/>
      <c r="D413" s="12"/>
    </row>
    <row r="414" ht="15.75" customHeight="1">
      <c r="A414" s="12"/>
      <c r="B414" s="12"/>
      <c r="C414" s="12"/>
      <c r="D414" s="12"/>
    </row>
    <row r="415" ht="15.75" customHeight="1">
      <c r="A415" s="12"/>
      <c r="B415" s="12"/>
      <c r="C415" s="12"/>
      <c r="D415" s="12"/>
    </row>
    <row r="416" ht="15.75" customHeight="1">
      <c r="A416" s="12"/>
      <c r="B416" s="12"/>
      <c r="C416" s="12"/>
      <c r="D416" s="12"/>
    </row>
    <row r="417" ht="15.75" customHeight="1">
      <c r="A417" s="12"/>
      <c r="B417" s="12"/>
      <c r="C417" s="12"/>
      <c r="D417" s="12"/>
    </row>
    <row r="418" ht="15.75" customHeight="1">
      <c r="A418" s="12"/>
      <c r="B418" s="12"/>
      <c r="C418" s="12"/>
      <c r="D418" s="12"/>
    </row>
    <row r="419" ht="15.75" customHeight="1">
      <c r="A419" s="12"/>
      <c r="B419" s="12"/>
      <c r="C419" s="12"/>
      <c r="D419" s="12"/>
    </row>
    <row r="420" ht="15.75" customHeight="1">
      <c r="A420" s="12"/>
      <c r="B420" s="12"/>
      <c r="C420" s="12"/>
      <c r="D420" s="12"/>
    </row>
    <row r="421" ht="15.75" customHeight="1">
      <c r="A421" s="12"/>
      <c r="B421" s="12"/>
      <c r="C421" s="12"/>
      <c r="D421" s="12"/>
    </row>
    <row r="422" ht="15.75" customHeight="1">
      <c r="A422" s="12"/>
      <c r="B422" s="12"/>
      <c r="C422" s="12"/>
      <c r="D422" s="12"/>
    </row>
    <row r="423" ht="15.75" customHeight="1">
      <c r="A423" s="12"/>
      <c r="B423" s="12"/>
      <c r="C423" s="12"/>
      <c r="D423" s="12"/>
    </row>
    <row r="424" ht="15.75" customHeight="1">
      <c r="A424" s="12"/>
      <c r="B424" s="12"/>
      <c r="C424" s="12"/>
      <c r="D424" s="12"/>
    </row>
    <row r="425" ht="15.75" customHeight="1">
      <c r="A425" s="12"/>
      <c r="B425" s="12"/>
      <c r="C425" s="12"/>
      <c r="D425" s="12"/>
    </row>
    <row r="426" ht="15.75" customHeight="1">
      <c r="A426" s="12"/>
      <c r="B426" s="12"/>
      <c r="C426" s="12"/>
      <c r="D426" s="12"/>
    </row>
    <row r="427" ht="15.75" customHeight="1">
      <c r="A427" s="12"/>
      <c r="B427" s="12"/>
      <c r="C427" s="12"/>
      <c r="D427" s="12"/>
    </row>
    <row r="428" ht="15.75" customHeight="1">
      <c r="A428" s="12"/>
      <c r="B428" s="12"/>
      <c r="C428" s="12"/>
      <c r="D428" s="12"/>
    </row>
    <row r="429" ht="15.75" customHeight="1">
      <c r="A429" s="12"/>
      <c r="B429" s="12"/>
      <c r="C429" s="12"/>
      <c r="D429" s="12"/>
    </row>
    <row r="430" ht="15.75" customHeight="1">
      <c r="A430" s="12"/>
      <c r="B430" s="12"/>
      <c r="C430" s="12"/>
      <c r="D430" s="12"/>
    </row>
    <row r="431" ht="15.75" customHeight="1">
      <c r="A431" s="12"/>
      <c r="B431" s="12"/>
      <c r="C431" s="12"/>
      <c r="D431" s="12"/>
    </row>
    <row r="432" ht="15.75" customHeight="1">
      <c r="A432" s="12"/>
      <c r="B432" s="12"/>
      <c r="C432" s="12"/>
      <c r="D432" s="12"/>
    </row>
    <row r="433" ht="15.75" customHeight="1">
      <c r="A433" s="12"/>
      <c r="B433" s="12"/>
      <c r="C433" s="12"/>
      <c r="D433" s="12"/>
    </row>
    <row r="434" ht="15.75" customHeight="1">
      <c r="A434" s="12"/>
      <c r="B434" s="12"/>
      <c r="C434" s="12"/>
      <c r="D434" s="12"/>
    </row>
    <row r="435" ht="15.75" customHeight="1">
      <c r="A435" s="12"/>
      <c r="B435" s="12"/>
      <c r="C435" s="12"/>
      <c r="D435" s="12"/>
    </row>
    <row r="436" ht="15.75" customHeight="1">
      <c r="A436" s="12"/>
      <c r="B436" s="12"/>
      <c r="C436" s="12"/>
      <c r="D436" s="12"/>
    </row>
    <row r="437" ht="15.75" customHeight="1">
      <c r="A437" s="12"/>
      <c r="B437" s="12"/>
      <c r="C437" s="12"/>
      <c r="D437" s="12"/>
    </row>
    <row r="438" ht="15.75" customHeight="1">
      <c r="A438" s="12"/>
      <c r="B438" s="12"/>
      <c r="C438" s="12"/>
      <c r="D438" s="12"/>
    </row>
    <row r="439" ht="15.75" customHeight="1">
      <c r="A439" s="12"/>
      <c r="B439" s="12"/>
      <c r="C439" s="12"/>
      <c r="D439" s="12"/>
    </row>
    <row r="440" ht="15.75" customHeight="1">
      <c r="A440" s="12"/>
      <c r="B440" s="12"/>
      <c r="C440" s="12"/>
      <c r="D440" s="12"/>
    </row>
    <row r="441" ht="15.75" customHeight="1">
      <c r="A441" s="12"/>
      <c r="B441" s="12"/>
      <c r="C441" s="12"/>
      <c r="D441" s="12"/>
    </row>
    <row r="442" ht="15.75" customHeight="1">
      <c r="A442" s="12"/>
      <c r="B442" s="12"/>
      <c r="C442" s="12"/>
      <c r="D442" s="12"/>
    </row>
    <row r="443" ht="15.75" customHeight="1">
      <c r="A443" s="12"/>
      <c r="B443" s="12"/>
      <c r="C443" s="12"/>
      <c r="D443" s="12"/>
    </row>
    <row r="444" ht="15.75" customHeight="1">
      <c r="A444" s="12"/>
      <c r="B444" s="12"/>
      <c r="C444" s="12"/>
      <c r="D444" s="12"/>
    </row>
    <row r="445" ht="15.75" customHeight="1">
      <c r="A445" s="12"/>
      <c r="B445" s="12"/>
      <c r="C445" s="12"/>
      <c r="D445" s="12"/>
    </row>
    <row r="446" ht="15.75" customHeight="1">
      <c r="A446" s="12"/>
      <c r="B446" s="12"/>
      <c r="C446" s="12"/>
      <c r="D446" s="12"/>
    </row>
    <row r="447" ht="15.75" customHeight="1">
      <c r="A447" s="12"/>
      <c r="B447" s="12"/>
      <c r="C447" s="12"/>
      <c r="D447" s="12"/>
    </row>
    <row r="448" ht="15.75" customHeight="1">
      <c r="A448" s="12"/>
      <c r="B448" s="12"/>
      <c r="C448" s="12"/>
      <c r="D448" s="12"/>
    </row>
    <row r="449" ht="15.75" customHeight="1">
      <c r="A449" s="12"/>
      <c r="B449" s="12"/>
      <c r="C449" s="12"/>
      <c r="D449" s="12"/>
    </row>
    <row r="450" ht="15.75" customHeight="1">
      <c r="A450" s="12"/>
      <c r="B450" s="12"/>
      <c r="C450" s="12"/>
      <c r="D450" s="12"/>
    </row>
    <row r="451" ht="15.75" customHeight="1">
      <c r="A451" s="12"/>
      <c r="B451" s="12"/>
      <c r="C451" s="12"/>
      <c r="D451" s="12"/>
    </row>
    <row r="452" ht="15.75" customHeight="1">
      <c r="A452" s="12"/>
      <c r="B452" s="12"/>
      <c r="C452" s="12"/>
      <c r="D452" s="12"/>
    </row>
    <row r="453" ht="15.75" customHeight="1">
      <c r="A453" s="12"/>
      <c r="B453" s="12"/>
      <c r="C453" s="12"/>
      <c r="D453" s="12"/>
    </row>
    <row r="454" ht="15.75" customHeight="1">
      <c r="A454" s="12"/>
      <c r="B454" s="12"/>
      <c r="C454" s="12"/>
      <c r="D454" s="12"/>
    </row>
    <row r="455" ht="15.75" customHeight="1">
      <c r="A455" s="12"/>
      <c r="B455" s="12"/>
      <c r="C455" s="12"/>
      <c r="D455" s="12"/>
    </row>
    <row r="456" ht="15.75" customHeight="1">
      <c r="A456" s="12"/>
      <c r="B456" s="12"/>
      <c r="C456" s="12"/>
      <c r="D456" s="12"/>
    </row>
    <row r="457" ht="15.75" customHeight="1">
      <c r="A457" s="12"/>
      <c r="B457" s="12"/>
      <c r="C457" s="12"/>
      <c r="D457" s="12"/>
    </row>
    <row r="458" ht="15.75" customHeight="1">
      <c r="A458" s="12"/>
      <c r="B458" s="12"/>
      <c r="C458" s="12"/>
      <c r="D458" s="12"/>
    </row>
    <row r="459" ht="15.75" customHeight="1">
      <c r="A459" s="12"/>
      <c r="B459" s="12"/>
      <c r="C459" s="12"/>
      <c r="D459" s="12"/>
    </row>
    <row r="460" ht="15.75" customHeight="1">
      <c r="A460" s="12"/>
      <c r="B460" s="12"/>
      <c r="C460" s="12"/>
      <c r="D460" s="12"/>
    </row>
    <row r="461" ht="15.75" customHeight="1">
      <c r="A461" s="12"/>
      <c r="B461" s="12"/>
      <c r="C461" s="12"/>
      <c r="D461" s="12"/>
    </row>
    <row r="462" ht="15.75" customHeight="1">
      <c r="A462" s="12"/>
      <c r="B462" s="12"/>
      <c r="C462" s="12"/>
      <c r="D462" s="12"/>
    </row>
    <row r="463" ht="15.75" customHeight="1">
      <c r="A463" s="12"/>
      <c r="B463" s="12"/>
      <c r="C463" s="12"/>
      <c r="D463" s="12"/>
    </row>
    <row r="464" ht="15.75" customHeight="1">
      <c r="A464" s="12"/>
      <c r="B464" s="12"/>
      <c r="C464" s="12"/>
      <c r="D464" s="12"/>
    </row>
    <row r="465" ht="15.75" customHeight="1">
      <c r="A465" s="12"/>
      <c r="B465" s="12"/>
      <c r="C465" s="12"/>
      <c r="D465" s="12"/>
    </row>
    <row r="466" ht="15.75" customHeight="1">
      <c r="A466" s="12"/>
      <c r="B466" s="12"/>
      <c r="C466" s="12"/>
      <c r="D466" s="12"/>
    </row>
    <row r="467" ht="15.75" customHeight="1">
      <c r="A467" s="12"/>
      <c r="B467" s="12"/>
      <c r="C467" s="12"/>
      <c r="D467" s="12"/>
    </row>
    <row r="468" ht="15.75" customHeight="1">
      <c r="A468" s="12"/>
      <c r="B468" s="12"/>
      <c r="C468" s="12"/>
      <c r="D468" s="12"/>
    </row>
    <row r="469" ht="15.75" customHeight="1">
      <c r="A469" s="12"/>
      <c r="B469" s="12"/>
      <c r="C469" s="12"/>
      <c r="D469" s="12"/>
    </row>
    <row r="470" ht="15.75" customHeight="1">
      <c r="A470" s="12"/>
      <c r="B470" s="12"/>
      <c r="C470" s="12"/>
      <c r="D470" s="12"/>
    </row>
    <row r="471" ht="15.75" customHeight="1">
      <c r="A471" s="12"/>
      <c r="B471" s="12"/>
      <c r="C471" s="12"/>
      <c r="D471" s="12"/>
    </row>
    <row r="472" ht="15.75" customHeight="1">
      <c r="A472" s="12"/>
      <c r="B472" s="12"/>
      <c r="C472" s="12"/>
      <c r="D472" s="12"/>
    </row>
    <row r="473" ht="15.75" customHeight="1">
      <c r="A473" s="12"/>
      <c r="B473" s="12"/>
      <c r="C473" s="12"/>
      <c r="D473" s="12"/>
    </row>
    <row r="474" ht="15.75" customHeight="1">
      <c r="A474" s="12"/>
      <c r="B474" s="12"/>
      <c r="C474" s="12"/>
      <c r="D474" s="12"/>
    </row>
    <row r="475" ht="15.75" customHeight="1">
      <c r="A475" s="12"/>
      <c r="B475" s="12"/>
      <c r="C475" s="12"/>
      <c r="D475" s="12"/>
    </row>
    <row r="476" ht="15.75" customHeight="1">
      <c r="A476" s="12"/>
      <c r="B476" s="12"/>
      <c r="C476" s="12"/>
      <c r="D476" s="12"/>
    </row>
    <row r="477" ht="15.75" customHeight="1">
      <c r="A477" s="12"/>
      <c r="B477" s="12"/>
      <c r="C477" s="12"/>
      <c r="D477" s="12"/>
    </row>
    <row r="478" ht="15.75" customHeight="1">
      <c r="A478" s="12"/>
      <c r="B478" s="12"/>
      <c r="C478" s="12"/>
      <c r="D478" s="12"/>
    </row>
    <row r="479" ht="15.75" customHeight="1">
      <c r="A479" s="12"/>
      <c r="B479" s="12"/>
      <c r="C479" s="12"/>
      <c r="D479" s="12"/>
    </row>
    <row r="480" ht="15.75" customHeight="1">
      <c r="A480" s="12"/>
      <c r="B480" s="12"/>
      <c r="C480" s="12"/>
      <c r="D480" s="12"/>
    </row>
    <row r="481" ht="15.75" customHeight="1">
      <c r="A481" s="12"/>
      <c r="B481" s="12"/>
      <c r="C481" s="12"/>
      <c r="D481" s="12"/>
    </row>
    <row r="482" ht="15.75" customHeight="1">
      <c r="A482" s="12"/>
      <c r="B482" s="12"/>
      <c r="C482" s="12"/>
      <c r="D482" s="12"/>
    </row>
    <row r="483" ht="15.75" customHeight="1">
      <c r="A483" s="12"/>
      <c r="B483" s="12"/>
      <c r="C483" s="12"/>
      <c r="D483" s="12"/>
    </row>
    <row r="484" ht="15.75" customHeight="1">
      <c r="A484" s="12"/>
      <c r="B484" s="12"/>
      <c r="C484" s="12"/>
      <c r="D484" s="12"/>
    </row>
    <row r="485" ht="15.75" customHeight="1">
      <c r="A485" s="12"/>
      <c r="B485" s="12"/>
      <c r="C485" s="12"/>
      <c r="D485" s="12"/>
    </row>
    <row r="486" ht="15.75" customHeight="1">
      <c r="A486" s="12"/>
      <c r="B486" s="12"/>
      <c r="C486" s="12"/>
      <c r="D486" s="12"/>
    </row>
    <row r="487" ht="15.75" customHeight="1">
      <c r="A487" s="12"/>
      <c r="B487" s="12"/>
      <c r="C487" s="12"/>
      <c r="D487" s="12"/>
    </row>
    <row r="488" ht="15.75" customHeight="1">
      <c r="A488" s="12"/>
      <c r="B488" s="12"/>
      <c r="C488" s="12"/>
      <c r="D488" s="12"/>
    </row>
    <row r="489" ht="15.75" customHeight="1">
      <c r="A489" s="12"/>
      <c r="B489" s="12"/>
      <c r="C489" s="12"/>
      <c r="D489" s="12"/>
    </row>
    <row r="490" ht="15.75" customHeight="1">
      <c r="A490" s="12"/>
      <c r="B490" s="12"/>
      <c r="C490" s="12"/>
      <c r="D490" s="12"/>
    </row>
    <row r="491" ht="15.75" customHeight="1">
      <c r="A491" s="12"/>
      <c r="B491" s="12"/>
      <c r="C491" s="12"/>
      <c r="D491" s="12"/>
    </row>
    <row r="492" ht="15.75" customHeight="1">
      <c r="A492" s="12"/>
      <c r="B492" s="12"/>
      <c r="C492" s="12"/>
      <c r="D492" s="12"/>
    </row>
    <row r="493" ht="15.75" customHeight="1">
      <c r="A493" s="12"/>
      <c r="B493" s="12"/>
      <c r="C493" s="12"/>
      <c r="D493" s="12"/>
    </row>
    <row r="494" ht="15.75" customHeight="1">
      <c r="A494" s="12"/>
      <c r="B494" s="12"/>
      <c r="C494" s="12"/>
      <c r="D494" s="12"/>
    </row>
    <row r="495" ht="15.75" customHeight="1">
      <c r="A495" s="12"/>
      <c r="B495" s="12"/>
      <c r="C495" s="12"/>
      <c r="D495" s="12"/>
    </row>
    <row r="496" ht="15.75" customHeight="1">
      <c r="A496" s="12"/>
      <c r="B496" s="12"/>
      <c r="C496" s="12"/>
      <c r="D496" s="12"/>
    </row>
    <row r="497" ht="15.75" customHeight="1">
      <c r="A497" s="12"/>
      <c r="B497" s="12"/>
      <c r="C497" s="12"/>
      <c r="D497" s="12"/>
    </row>
    <row r="498" ht="15.75" customHeight="1">
      <c r="A498" s="12"/>
      <c r="B498" s="12"/>
      <c r="C498" s="12"/>
      <c r="D498" s="12"/>
    </row>
    <row r="499" ht="15.75" customHeight="1">
      <c r="A499" s="12"/>
      <c r="B499" s="12"/>
      <c r="C499" s="12"/>
      <c r="D499" s="12"/>
    </row>
    <row r="500" ht="15.75" customHeight="1">
      <c r="A500" s="12"/>
      <c r="B500" s="12"/>
      <c r="C500" s="12"/>
      <c r="D500" s="12"/>
    </row>
    <row r="501" ht="15.75" customHeight="1">
      <c r="A501" s="12"/>
      <c r="B501" s="12"/>
      <c r="C501" s="12"/>
      <c r="D501" s="12"/>
    </row>
    <row r="502" ht="15.75" customHeight="1">
      <c r="A502" s="12"/>
      <c r="B502" s="12"/>
      <c r="C502" s="12"/>
      <c r="D502" s="12"/>
    </row>
    <row r="503" ht="15.75" customHeight="1">
      <c r="A503" s="12"/>
      <c r="B503" s="12"/>
      <c r="C503" s="12"/>
      <c r="D503" s="12"/>
    </row>
    <row r="504" ht="15.75" customHeight="1">
      <c r="A504" s="12"/>
      <c r="B504" s="12"/>
      <c r="C504" s="12"/>
      <c r="D504" s="12"/>
    </row>
    <row r="505" ht="15.75" customHeight="1">
      <c r="A505" s="12"/>
      <c r="B505" s="12"/>
      <c r="C505" s="12"/>
      <c r="D505" s="12"/>
    </row>
    <row r="506" ht="15.75" customHeight="1">
      <c r="A506" s="12"/>
      <c r="B506" s="12"/>
      <c r="C506" s="12"/>
      <c r="D506" s="12"/>
    </row>
    <row r="507" ht="15.75" customHeight="1">
      <c r="A507" s="12"/>
      <c r="B507" s="12"/>
      <c r="C507" s="12"/>
      <c r="D507" s="12"/>
    </row>
    <row r="508" ht="15.75" customHeight="1">
      <c r="A508" s="12"/>
      <c r="B508" s="12"/>
      <c r="C508" s="12"/>
      <c r="D508" s="12"/>
    </row>
    <row r="509" ht="15.75" customHeight="1">
      <c r="A509" s="12"/>
      <c r="B509" s="12"/>
      <c r="C509" s="12"/>
      <c r="D509" s="12"/>
    </row>
    <row r="510" ht="15.75" customHeight="1">
      <c r="A510" s="12"/>
      <c r="B510" s="12"/>
      <c r="C510" s="12"/>
      <c r="D510" s="12"/>
    </row>
    <row r="511" ht="15.75" customHeight="1">
      <c r="A511" s="12"/>
      <c r="B511" s="12"/>
      <c r="C511" s="12"/>
      <c r="D511" s="12"/>
    </row>
    <row r="512" ht="15.75" customHeight="1">
      <c r="A512" s="12"/>
      <c r="B512" s="12"/>
      <c r="C512" s="12"/>
      <c r="D512" s="12"/>
    </row>
    <row r="513" ht="15.75" customHeight="1">
      <c r="A513" s="12"/>
      <c r="B513" s="12"/>
      <c r="C513" s="12"/>
      <c r="D513" s="12"/>
    </row>
    <row r="514" ht="15.75" customHeight="1">
      <c r="A514" s="12"/>
      <c r="B514" s="12"/>
      <c r="C514" s="12"/>
      <c r="D514" s="12"/>
    </row>
    <row r="515" ht="15.75" customHeight="1">
      <c r="A515" s="12"/>
      <c r="B515" s="12"/>
      <c r="C515" s="12"/>
      <c r="D515" s="12"/>
    </row>
    <row r="516" ht="15.75" customHeight="1">
      <c r="A516" s="12"/>
      <c r="B516" s="12"/>
      <c r="C516" s="12"/>
      <c r="D516" s="12"/>
    </row>
    <row r="517" ht="15.75" customHeight="1">
      <c r="A517" s="12"/>
      <c r="B517" s="12"/>
      <c r="C517" s="12"/>
      <c r="D517" s="12"/>
    </row>
    <row r="518" ht="15.75" customHeight="1">
      <c r="A518" s="12"/>
      <c r="B518" s="12"/>
      <c r="C518" s="12"/>
      <c r="D518" s="12"/>
    </row>
    <row r="519" ht="15.75" customHeight="1">
      <c r="A519" s="12"/>
      <c r="B519" s="12"/>
      <c r="C519" s="12"/>
      <c r="D519" s="12"/>
    </row>
    <row r="520" ht="15.75" customHeight="1">
      <c r="A520" s="12"/>
      <c r="B520" s="12"/>
      <c r="C520" s="12"/>
      <c r="D520" s="12"/>
    </row>
    <row r="521" ht="15.75" customHeight="1">
      <c r="A521" s="12"/>
      <c r="B521" s="12"/>
      <c r="C521" s="12"/>
      <c r="D521" s="12"/>
    </row>
    <row r="522" ht="15.75" customHeight="1">
      <c r="A522" s="12"/>
      <c r="B522" s="12"/>
      <c r="C522" s="12"/>
      <c r="D522" s="12"/>
    </row>
    <row r="523" ht="15.75" customHeight="1">
      <c r="A523" s="12"/>
      <c r="B523" s="12"/>
      <c r="C523" s="12"/>
      <c r="D523" s="12"/>
    </row>
    <row r="524" ht="15.75" customHeight="1">
      <c r="A524" s="12"/>
      <c r="B524" s="12"/>
      <c r="C524" s="12"/>
      <c r="D524" s="12"/>
    </row>
    <row r="525" ht="15.75" customHeight="1">
      <c r="A525" s="12"/>
      <c r="B525" s="12"/>
      <c r="C525" s="12"/>
      <c r="D525" s="12"/>
    </row>
    <row r="526" ht="15.75" customHeight="1">
      <c r="A526" s="12"/>
      <c r="B526" s="12"/>
      <c r="C526" s="12"/>
      <c r="D526" s="12"/>
    </row>
    <row r="527" ht="15.75" customHeight="1">
      <c r="A527" s="12"/>
      <c r="B527" s="12"/>
      <c r="C527" s="12"/>
      <c r="D527" s="12"/>
    </row>
    <row r="528" ht="15.75" customHeight="1">
      <c r="A528" s="12"/>
      <c r="B528" s="12"/>
      <c r="C528" s="12"/>
      <c r="D528" s="12"/>
    </row>
    <row r="529" ht="15.75" customHeight="1">
      <c r="A529" s="12"/>
      <c r="B529" s="12"/>
      <c r="C529" s="12"/>
      <c r="D529" s="12"/>
    </row>
    <row r="530" ht="15.75" customHeight="1">
      <c r="A530" s="12"/>
      <c r="B530" s="12"/>
      <c r="C530" s="12"/>
      <c r="D530" s="12"/>
    </row>
    <row r="531" ht="15.75" customHeight="1">
      <c r="A531" s="12"/>
      <c r="B531" s="12"/>
      <c r="C531" s="12"/>
      <c r="D531" s="12"/>
    </row>
    <row r="532" ht="15.75" customHeight="1">
      <c r="A532" s="12"/>
      <c r="B532" s="12"/>
      <c r="C532" s="12"/>
      <c r="D532" s="12"/>
    </row>
    <row r="533" ht="15.75" customHeight="1">
      <c r="A533" s="12"/>
      <c r="B533" s="12"/>
      <c r="C533" s="12"/>
      <c r="D533" s="12"/>
    </row>
    <row r="534" ht="15.75" customHeight="1">
      <c r="A534" s="12"/>
      <c r="B534" s="12"/>
      <c r="C534" s="12"/>
      <c r="D534" s="12"/>
    </row>
    <row r="535" ht="15.75" customHeight="1">
      <c r="A535" s="12"/>
      <c r="B535" s="12"/>
      <c r="C535" s="12"/>
      <c r="D535" s="12"/>
    </row>
    <row r="536" ht="15.75" customHeight="1">
      <c r="A536" s="12"/>
      <c r="B536" s="12"/>
      <c r="C536" s="12"/>
      <c r="D536" s="12"/>
    </row>
    <row r="537" ht="15.75" customHeight="1">
      <c r="A537" s="12"/>
      <c r="B537" s="12"/>
      <c r="C537" s="12"/>
      <c r="D537" s="12"/>
    </row>
    <row r="538" ht="15.75" customHeight="1">
      <c r="A538" s="12"/>
      <c r="B538" s="12"/>
      <c r="C538" s="12"/>
      <c r="D538" s="12"/>
    </row>
    <row r="539" ht="15.75" customHeight="1">
      <c r="A539" s="12"/>
      <c r="B539" s="12"/>
      <c r="C539" s="12"/>
      <c r="D539" s="12"/>
    </row>
    <row r="540" ht="15.75" customHeight="1">
      <c r="A540" s="12"/>
      <c r="B540" s="12"/>
      <c r="C540" s="12"/>
      <c r="D540" s="12"/>
    </row>
    <row r="541" ht="15.75" customHeight="1">
      <c r="A541" s="12"/>
      <c r="B541" s="12"/>
      <c r="C541" s="12"/>
      <c r="D541" s="12"/>
    </row>
    <row r="542" ht="15.75" customHeight="1">
      <c r="A542" s="12"/>
      <c r="B542" s="12"/>
      <c r="C542" s="12"/>
      <c r="D542" s="12"/>
    </row>
    <row r="543" ht="15.75" customHeight="1">
      <c r="A543" s="12"/>
      <c r="B543" s="12"/>
      <c r="C543" s="12"/>
      <c r="D543" s="12"/>
    </row>
    <row r="544" ht="15.75" customHeight="1">
      <c r="A544" s="12"/>
      <c r="B544" s="12"/>
      <c r="C544" s="12"/>
      <c r="D544" s="12"/>
    </row>
    <row r="545" ht="15.75" customHeight="1">
      <c r="A545" s="12"/>
      <c r="B545" s="12"/>
      <c r="C545" s="12"/>
      <c r="D545" s="12"/>
    </row>
    <row r="546" ht="15.75" customHeight="1">
      <c r="A546" s="12"/>
      <c r="B546" s="12"/>
      <c r="C546" s="12"/>
      <c r="D546" s="12"/>
    </row>
    <row r="547" ht="15.75" customHeight="1">
      <c r="A547" s="12"/>
      <c r="B547" s="12"/>
      <c r="C547" s="12"/>
      <c r="D547" s="12"/>
    </row>
    <row r="548" ht="15.75" customHeight="1">
      <c r="A548" s="12"/>
      <c r="B548" s="12"/>
      <c r="C548" s="12"/>
      <c r="D548" s="12"/>
    </row>
    <row r="549" ht="15.75" customHeight="1">
      <c r="A549" s="12"/>
      <c r="B549" s="12"/>
      <c r="C549" s="12"/>
      <c r="D549" s="12"/>
    </row>
    <row r="550" ht="15.75" customHeight="1">
      <c r="A550" s="12"/>
      <c r="B550" s="12"/>
      <c r="C550" s="12"/>
      <c r="D550" s="12"/>
    </row>
    <row r="551" ht="15.75" customHeight="1">
      <c r="A551" s="12"/>
      <c r="B551" s="12"/>
      <c r="C551" s="12"/>
      <c r="D551" s="12"/>
    </row>
    <row r="552" ht="15.75" customHeight="1">
      <c r="A552" s="12"/>
      <c r="B552" s="12"/>
      <c r="C552" s="12"/>
      <c r="D552" s="12"/>
    </row>
    <row r="553" ht="15.75" customHeight="1">
      <c r="A553" s="12"/>
      <c r="B553" s="12"/>
      <c r="C553" s="12"/>
      <c r="D553" s="12"/>
    </row>
    <row r="554" ht="15.75" customHeight="1">
      <c r="A554" s="12"/>
      <c r="B554" s="12"/>
      <c r="C554" s="12"/>
      <c r="D554" s="12"/>
    </row>
    <row r="555" ht="15.75" customHeight="1">
      <c r="A555" s="12"/>
      <c r="B555" s="12"/>
      <c r="C555" s="12"/>
      <c r="D555" s="12"/>
    </row>
    <row r="556" ht="15.75" customHeight="1">
      <c r="A556" s="12"/>
      <c r="B556" s="12"/>
      <c r="C556" s="12"/>
      <c r="D556" s="12"/>
    </row>
    <row r="557" ht="15.75" customHeight="1">
      <c r="A557" s="12"/>
      <c r="B557" s="12"/>
      <c r="C557" s="12"/>
      <c r="D557" s="12"/>
    </row>
    <row r="558" ht="15.75" customHeight="1">
      <c r="A558" s="12"/>
      <c r="B558" s="12"/>
      <c r="C558" s="12"/>
      <c r="D558" s="12"/>
    </row>
    <row r="559" ht="15.75" customHeight="1">
      <c r="A559" s="12"/>
      <c r="B559" s="12"/>
      <c r="C559" s="12"/>
      <c r="D559" s="12"/>
    </row>
    <row r="560" ht="15.75" customHeight="1">
      <c r="A560" s="12"/>
      <c r="B560" s="12"/>
      <c r="C560" s="12"/>
      <c r="D560" s="12"/>
    </row>
    <row r="561" ht="15.75" customHeight="1">
      <c r="A561" s="12"/>
      <c r="B561" s="12"/>
      <c r="C561" s="12"/>
      <c r="D561" s="12"/>
    </row>
    <row r="562" ht="15.75" customHeight="1">
      <c r="A562" s="12"/>
      <c r="B562" s="12"/>
      <c r="C562" s="12"/>
      <c r="D562" s="12"/>
    </row>
    <row r="563" ht="15.75" customHeight="1">
      <c r="A563" s="12"/>
      <c r="B563" s="12"/>
      <c r="C563" s="12"/>
      <c r="D563" s="12"/>
    </row>
    <row r="564" ht="15.75" customHeight="1">
      <c r="A564" s="12"/>
      <c r="B564" s="12"/>
      <c r="C564" s="12"/>
      <c r="D564" s="12"/>
    </row>
    <row r="565" ht="15.75" customHeight="1">
      <c r="A565" s="12"/>
      <c r="B565" s="12"/>
      <c r="C565" s="12"/>
      <c r="D565" s="12"/>
    </row>
    <row r="566" ht="15.75" customHeight="1">
      <c r="A566" s="12"/>
      <c r="B566" s="12"/>
      <c r="C566" s="12"/>
      <c r="D566" s="12"/>
    </row>
    <row r="567" ht="15.75" customHeight="1">
      <c r="A567" s="12"/>
      <c r="B567" s="12"/>
      <c r="C567" s="12"/>
      <c r="D567" s="12"/>
    </row>
    <row r="568" ht="15.75" customHeight="1">
      <c r="A568" s="12"/>
      <c r="B568" s="12"/>
      <c r="C568" s="12"/>
      <c r="D568" s="12"/>
    </row>
    <row r="569" ht="15.75" customHeight="1">
      <c r="A569" s="12"/>
      <c r="B569" s="12"/>
      <c r="C569" s="12"/>
      <c r="D569" s="12"/>
    </row>
    <row r="570" ht="15.75" customHeight="1">
      <c r="A570" s="12"/>
      <c r="B570" s="12"/>
      <c r="C570" s="12"/>
      <c r="D570" s="12"/>
    </row>
    <row r="571" ht="15.75" customHeight="1">
      <c r="A571" s="12"/>
      <c r="B571" s="12"/>
      <c r="C571" s="12"/>
      <c r="D571" s="12"/>
    </row>
    <row r="572" ht="15.75" customHeight="1">
      <c r="A572" s="12"/>
      <c r="B572" s="12"/>
      <c r="C572" s="12"/>
      <c r="D572" s="12"/>
    </row>
    <row r="573" ht="15.75" customHeight="1">
      <c r="A573" s="12"/>
      <c r="B573" s="12"/>
      <c r="C573" s="12"/>
      <c r="D573" s="12"/>
    </row>
    <row r="574" ht="15.75" customHeight="1">
      <c r="A574" s="12"/>
      <c r="B574" s="12"/>
      <c r="C574" s="12"/>
      <c r="D574" s="12"/>
    </row>
    <row r="575" ht="15.75" customHeight="1">
      <c r="A575" s="12"/>
      <c r="B575" s="12"/>
      <c r="C575" s="12"/>
      <c r="D575" s="12"/>
    </row>
    <row r="576" ht="15.75" customHeight="1">
      <c r="A576" s="12"/>
      <c r="B576" s="12"/>
      <c r="C576" s="12"/>
      <c r="D576" s="12"/>
    </row>
    <row r="577" ht="15.75" customHeight="1">
      <c r="A577" s="12"/>
      <c r="B577" s="12"/>
      <c r="C577" s="12"/>
      <c r="D577" s="12"/>
    </row>
    <row r="578" ht="15.75" customHeight="1">
      <c r="A578" s="12"/>
      <c r="B578" s="12"/>
      <c r="C578" s="12"/>
      <c r="D578" s="12"/>
    </row>
    <row r="579" ht="15.75" customHeight="1">
      <c r="A579" s="12"/>
      <c r="B579" s="12"/>
      <c r="C579" s="12"/>
      <c r="D579" s="12"/>
    </row>
    <row r="580" ht="15.75" customHeight="1">
      <c r="A580" s="12"/>
      <c r="B580" s="12"/>
      <c r="C580" s="12"/>
      <c r="D580" s="12"/>
    </row>
    <row r="581" ht="15.75" customHeight="1">
      <c r="A581" s="12"/>
      <c r="B581" s="12"/>
      <c r="C581" s="12"/>
      <c r="D581" s="12"/>
    </row>
    <row r="582" ht="15.75" customHeight="1">
      <c r="A582" s="12"/>
      <c r="B582" s="12"/>
      <c r="C582" s="12"/>
      <c r="D582" s="12"/>
    </row>
    <row r="583" ht="15.75" customHeight="1">
      <c r="A583" s="12"/>
      <c r="B583" s="12"/>
      <c r="C583" s="12"/>
      <c r="D583" s="12"/>
    </row>
    <row r="584" ht="15.75" customHeight="1">
      <c r="A584" s="12"/>
      <c r="B584" s="12"/>
      <c r="C584" s="12"/>
      <c r="D584" s="12"/>
    </row>
    <row r="585" ht="15.75" customHeight="1">
      <c r="A585" s="12"/>
      <c r="B585" s="12"/>
      <c r="C585" s="12"/>
      <c r="D585" s="12"/>
    </row>
    <row r="586" ht="15.75" customHeight="1">
      <c r="A586" s="12"/>
      <c r="B586" s="12"/>
      <c r="C586" s="12"/>
      <c r="D586" s="12"/>
    </row>
    <row r="587" ht="15.75" customHeight="1">
      <c r="A587" s="12"/>
      <c r="B587" s="12"/>
      <c r="C587" s="12"/>
      <c r="D587" s="12"/>
    </row>
    <row r="588" ht="15.75" customHeight="1">
      <c r="A588" s="12"/>
      <c r="B588" s="12"/>
      <c r="C588" s="12"/>
      <c r="D588" s="12"/>
    </row>
    <row r="589" ht="15.75" customHeight="1">
      <c r="A589" s="12"/>
      <c r="B589" s="12"/>
      <c r="C589" s="12"/>
      <c r="D589" s="12"/>
    </row>
    <row r="590" ht="15.75" customHeight="1">
      <c r="A590" s="12"/>
      <c r="B590" s="12"/>
      <c r="C590" s="12"/>
      <c r="D590" s="12"/>
    </row>
    <row r="591" ht="15.75" customHeight="1">
      <c r="A591" s="12"/>
      <c r="B591" s="12"/>
      <c r="C591" s="12"/>
      <c r="D591" s="12"/>
    </row>
    <row r="592" ht="15.75" customHeight="1">
      <c r="A592" s="12"/>
      <c r="B592" s="12"/>
      <c r="C592" s="12"/>
      <c r="D592" s="12"/>
    </row>
    <row r="593" ht="15.75" customHeight="1">
      <c r="A593" s="12"/>
      <c r="B593" s="12"/>
      <c r="C593" s="12"/>
      <c r="D593" s="12"/>
    </row>
    <row r="594" ht="15.75" customHeight="1">
      <c r="A594" s="12"/>
      <c r="B594" s="12"/>
      <c r="C594" s="12"/>
      <c r="D594" s="12"/>
    </row>
    <row r="595" ht="15.75" customHeight="1">
      <c r="A595" s="12"/>
      <c r="B595" s="12"/>
      <c r="C595" s="12"/>
      <c r="D595" s="12"/>
    </row>
    <row r="596" ht="15.75" customHeight="1">
      <c r="A596" s="12"/>
      <c r="B596" s="12"/>
      <c r="C596" s="12"/>
      <c r="D596" s="12"/>
    </row>
    <row r="597" ht="15.75" customHeight="1">
      <c r="A597" s="12"/>
      <c r="B597" s="12"/>
      <c r="C597" s="12"/>
      <c r="D597" s="12"/>
    </row>
    <row r="598" ht="15.75" customHeight="1">
      <c r="A598" s="12"/>
      <c r="B598" s="12"/>
      <c r="C598" s="12"/>
      <c r="D598" s="12"/>
    </row>
    <row r="599" ht="15.75" customHeight="1">
      <c r="A599" s="12"/>
      <c r="B599" s="12"/>
      <c r="C599" s="12"/>
      <c r="D599" s="12"/>
    </row>
    <row r="600" ht="15.75" customHeight="1">
      <c r="A600" s="12"/>
      <c r="B600" s="12"/>
      <c r="C600" s="12"/>
      <c r="D600" s="12"/>
    </row>
    <row r="601" ht="15.75" customHeight="1">
      <c r="A601" s="12"/>
      <c r="B601" s="12"/>
      <c r="C601" s="12"/>
      <c r="D601" s="12"/>
    </row>
    <row r="602" ht="15.75" customHeight="1">
      <c r="A602" s="12"/>
      <c r="B602" s="12"/>
      <c r="C602" s="12"/>
      <c r="D602" s="12"/>
    </row>
    <row r="603" ht="15.75" customHeight="1">
      <c r="A603" s="12"/>
      <c r="B603" s="12"/>
      <c r="C603" s="12"/>
      <c r="D603" s="12"/>
    </row>
    <row r="604" ht="15.75" customHeight="1">
      <c r="A604" s="12"/>
      <c r="B604" s="12"/>
      <c r="C604" s="12"/>
      <c r="D604" s="12"/>
    </row>
    <row r="605" ht="15.75" customHeight="1">
      <c r="A605" s="12"/>
      <c r="B605" s="12"/>
      <c r="C605" s="12"/>
      <c r="D605" s="12"/>
    </row>
    <row r="606" ht="15.75" customHeight="1">
      <c r="A606" s="12"/>
      <c r="B606" s="12"/>
      <c r="C606" s="12"/>
      <c r="D606" s="12"/>
    </row>
    <row r="607" ht="15.75" customHeight="1">
      <c r="A607" s="12"/>
      <c r="B607" s="12"/>
      <c r="C607" s="12"/>
      <c r="D607" s="12"/>
    </row>
    <row r="608" ht="15.75" customHeight="1">
      <c r="A608" s="12"/>
      <c r="B608" s="12"/>
      <c r="C608" s="12"/>
      <c r="D608" s="12"/>
    </row>
    <row r="609" ht="15.75" customHeight="1">
      <c r="A609" s="12"/>
      <c r="B609" s="12"/>
      <c r="C609" s="12"/>
      <c r="D609" s="12"/>
    </row>
    <row r="610" ht="15.75" customHeight="1">
      <c r="A610" s="12"/>
      <c r="B610" s="12"/>
      <c r="C610" s="12"/>
      <c r="D610" s="12"/>
    </row>
    <row r="611" ht="15.75" customHeight="1">
      <c r="A611" s="12"/>
      <c r="B611" s="12"/>
      <c r="C611" s="12"/>
      <c r="D611" s="12"/>
    </row>
    <row r="612" ht="15.75" customHeight="1">
      <c r="A612" s="12"/>
      <c r="B612" s="12"/>
      <c r="C612" s="12"/>
      <c r="D612" s="12"/>
    </row>
    <row r="613" ht="15.75" customHeight="1">
      <c r="A613" s="12"/>
      <c r="B613" s="12"/>
      <c r="C613" s="12"/>
      <c r="D613" s="12"/>
    </row>
    <row r="614" ht="15.75" customHeight="1">
      <c r="A614" s="12"/>
      <c r="B614" s="12"/>
      <c r="C614" s="12"/>
      <c r="D614" s="12"/>
    </row>
    <row r="615" ht="15.75" customHeight="1">
      <c r="A615" s="12"/>
      <c r="B615" s="12"/>
      <c r="C615" s="12"/>
      <c r="D615" s="12"/>
    </row>
    <row r="616" ht="15.75" customHeight="1">
      <c r="A616" s="12"/>
      <c r="B616" s="12"/>
      <c r="C616" s="12"/>
      <c r="D616" s="12"/>
    </row>
    <row r="617" ht="15.75" customHeight="1">
      <c r="A617" s="12"/>
      <c r="B617" s="12"/>
      <c r="C617" s="12"/>
      <c r="D617" s="12"/>
    </row>
    <row r="618" ht="15.75" customHeight="1">
      <c r="A618" s="12"/>
      <c r="B618" s="12"/>
      <c r="C618" s="12"/>
      <c r="D618" s="12"/>
    </row>
    <row r="619" ht="15.75" customHeight="1">
      <c r="A619" s="12"/>
      <c r="B619" s="12"/>
      <c r="C619" s="12"/>
      <c r="D619" s="12"/>
    </row>
    <row r="620" ht="15.75" customHeight="1">
      <c r="A620" s="12"/>
      <c r="B620" s="12"/>
      <c r="C620" s="12"/>
      <c r="D620" s="12"/>
    </row>
    <row r="621" ht="15.75" customHeight="1">
      <c r="A621" s="12"/>
      <c r="B621" s="12"/>
      <c r="C621" s="12"/>
      <c r="D621" s="12"/>
    </row>
    <row r="622" ht="15.75" customHeight="1">
      <c r="A622" s="12"/>
      <c r="B622" s="12"/>
      <c r="C622" s="12"/>
      <c r="D622" s="12"/>
    </row>
    <row r="623" ht="15.75" customHeight="1">
      <c r="A623" s="12"/>
      <c r="B623" s="12"/>
      <c r="C623" s="12"/>
      <c r="D623" s="12"/>
    </row>
    <row r="624" ht="15.75" customHeight="1">
      <c r="A624" s="12"/>
      <c r="B624" s="12"/>
      <c r="C624" s="12"/>
      <c r="D624" s="12"/>
    </row>
    <row r="625" ht="15.75" customHeight="1">
      <c r="A625" s="12"/>
      <c r="B625" s="12"/>
      <c r="C625" s="12"/>
      <c r="D625" s="12"/>
    </row>
    <row r="626" ht="15.75" customHeight="1">
      <c r="A626" s="12"/>
      <c r="B626" s="12"/>
      <c r="C626" s="12"/>
      <c r="D626" s="12"/>
    </row>
    <row r="627" ht="15.75" customHeight="1">
      <c r="A627" s="12"/>
      <c r="B627" s="12"/>
      <c r="C627" s="12"/>
      <c r="D627" s="12"/>
    </row>
    <row r="628" ht="15.75" customHeight="1">
      <c r="A628" s="12"/>
      <c r="B628" s="12"/>
      <c r="C628" s="12"/>
      <c r="D628" s="12"/>
    </row>
    <row r="629" ht="15.75" customHeight="1">
      <c r="A629" s="12"/>
      <c r="B629" s="12"/>
      <c r="C629" s="12"/>
      <c r="D629" s="12"/>
    </row>
    <row r="630" ht="15.75" customHeight="1">
      <c r="A630" s="12"/>
      <c r="B630" s="12"/>
      <c r="C630" s="12"/>
      <c r="D630" s="12"/>
    </row>
    <row r="631" ht="15.75" customHeight="1">
      <c r="A631" s="12"/>
      <c r="B631" s="12"/>
      <c r="C631" s="12"/>
      <c r="D631" s="12"/>
    </row>
    <row r="632" ht="15.75" customHeight="1">
      <c r="A632" s="12"/>
      <c r="B632" s="12"/>
      <c r="C632" s="12"/>
      <c r="D632" s="12"/>
    </row>
    <row r="633" ht="15.75" customHeight="1">
      <c r="A633" s="12"/>
      <c r="B633" s="12"/>
      <c r="C633" s="12"/>
      <c r="D633" s="12"/>
    </row>
    <row r="634" ht="15.75" customHeight="1">
      <c r="A634" s="12"/>
      <c r="B634" s="12"/>
      <c r="C634" s="12"/>
      <c r="D634" s="12"/>
    </row>
    <row r="635" ht="15.75" customHeight="1">
      <c r="A635" s="12"/>
      <c r="B635" s="12"/>
      <c r="C635" s="12"/>
      <c r="D635" s="12"/>
    </row>
    <row r="636" ht="15.75" customHeight="1">
      <c r="A636" s="12"/>
      <c r="B636" s="12"/>
      <c r="C636" s="12"/>
      <c r="D636" s="12"/>
    </row>
    <row r="637" ht="15.75" customHeight="1">
      <c r="A637" s="12"/>
      <c r="B637" s="12"/>
      <c r="C637" s="12"/>
      <c r="D637" s="12"/>
    </row>
    <row r="638" ht="15.75" customHeight="1">
      <c r="A638" s="12"/>
      <c r="B638" s="12"/>
      <c r="C638" s="12"/>
      <c r="D638" s="12"/>
    </row>
    <row r="639" ht="15.75" customHeight="1">
      <c r="A639" s="12"/>
      <c r="B639" s="12"/>
      <c r="C639" s="12"/>
      <c r="D639" s="12"/>
    </row>
    <row r="640" ht="15.75" customHeight="1">
      <c r="A640" s="12"/>
      <c r="B640" s="12"/>
      <c r="C640" s="12"/>
      <c r="D640" s="12"/>
    </row>
    <row r="641" ht="15.75" customHeight="1">
      <c r="A641" s="12"/>
      <c r="B641" s="12"/>
      <c r="C641" s="12"/>
      <c r="D641" s="12"/>
    </row>
    <row r="642" ht="15.75" customHeight="1">
      <c r="A642" s="12"/>
      <c r="B642" s="12"/>
      <c r="C642" s="12"/>
      <c r="D642" s="12"/>
    </row>
    <row r="643" ht="15.75" customHeight="1">
      <c r="A643" s="12"/>
      <c r="B643" s="12"/>
      <c r="C643" s="12"/>
      <c r="D643" s="12"/>
    </row>
    <row r="644" ht="15.75" customHeight="1">
      <c r="A644" s="12"/>
      <c r="B644" s="12"/>
      <c r="C644" s="12"/>
      <c r="D644" s="12"/>
    </row>
    <row r="645" ht="15.75" customHeight="1">
      <c r="A645" s="12"/>
      <c r="B645" s="12"/>
      <c r="C645" s="12"/>
      <c r="D645" s="12"/>
    </row>
    <row r="646" ht="15.75" customHeight="1">
      <c r="A646" s="12"/>
      <c r="B646" s="12"/>
      <c r="C646" s="12"/>
      <c r="D646" s="12"/>
    </row>
    <row r="647" ht="15.75" customHeight="1">
      <c r="A647" s="12"/>
      <c r="B647" s="12"/>
      <c r="C647" s="12"/>
      <c r="D647" s="12"/>
    </row>
    <row r="648" ht="15.75" customHeight="1">
      <c r="A648" s="12"/>
      <c r="B648" s="12"/>
      <c r="C648" s="12"/>
      <c r="D648" s="12"/>
    </row>
    <row r="649" ht="15.75" customHeight="1">
      <c r="A649" s="12"/>
      <c r="B649" s="12"/>
      <c r="C649" s="12"/>
      <c r="D649" s="12"/>
    </row>
    <row r="650" ht="15.75" customHeight="1">
      <c r="A650" s="12"/>
      <c r="B650" s="12"/>
      <c r="C650" s="12"/>
      <c r="D650" s="12"/>
    </row>
    <row r="651" ht="15.75" customHeight="1">
      <c r="A651" s="12"/>
      <c r="B651" s="12"/>
      <c r="C651" s="12"/>
      <c r="D651" s="12"/>
    </row>
    <row r="652" ht="15.75" customHeight="1">
      <c r="A652" s="12"/>
      <c r="B652" s="12"/>
      <c r="C652" s="12"/>
      <c r="D652" s="12"/>
    </row>
    <row r="653" ht="15.75" customHeight="1">
      <c r="A653" s="12"/>
      <c r="B653" s="12"/>
      <c r="C653" s="12"/>
      <c r="D653" s="12"/>
    </row>
    <row r="654" ht="15.75" customHeight="1">
      <c r="A654" s="12"/>
      <c r="B654" s="12"/>
      <c r="C654" s="12"/>
      <c r="D654" s="12"/>
    </row>
    <row r="655" ht="15.75" customHeight="1">
      <c r="A655" s="12"/>
      <c r="B655" s="12"/>
      <c r="C655" s="12"/>
      <c r="D655" s="12"/>
    </row>
    <row r="656" ht="15.75" customHeight="1">
      <c r="A656" s="12"/>
      <c r="B656" s="12"/>
      <c r="C656" s="12"/>
      <c r="D656" s="12"/>
    </row>
    <row r="657" ht="15.75" customHeight="1">
      <c r="A657" s="12"/>
      <c r="B657" s="12"/>
      <c r="C657" s="12"/>
      <c r="D657" s="12"/>
    </row>
    <row r="658" ht="15.75" customHeight="1">
      <c r="A658" s="12"/>
      <c r="B658" s="12"/>
      <c r="C658" s="12"/>
      <c r="D658" s="12"/>
    </row>
    <row r="659" ht="15.75" customHeight="1">
      <c r="A659" s="12"/>
      <c r="B659" s="12"/>
      <c r="C659" s="12"/>
      <c r="D659" s="12"/>
    </row>
    <row r="660" ht="15.75" customHeight="1">
      <c r="A660" s="12"/>
      <c r="B660" s="12"/>
      <c r="C660" s="12"/>
      <c r="D660" s="12"/>
    </row>
    <row r="661" ht="15.75" customHeight="1">
      <c r="A661" s="12"/>
      <c r="B661" s="12"/>
      <c r="C661" s="12"/>
      <c r="D661" s="12"/>
    </row>
    <row r="662" ht="15.75" customHeight="1">
      <c r="A662" s="12"/>
      <c r="B662" s="12"/>
      <c r="C662" s="12"/>
      <c r="D662" s="12"/>
    </row>
    <row r="663" ht="15.75" customHeight="1">
      <c r="A663" s="12"/>
      <c r="B663" s="12"/>
      <c r="C663" s="12"/>
      <c r="D663" s="12"/>
    </row>
    <row r="664" ht="15.75" customHeight="1">
      <c r="A664" s="12"/>
      <c r="B664" s="12"/>
      <c r="C664" s="12"/>
      <c r="D664" s="12"/>
    </row>
    <row r="665" ht="15.75" customHeight="1">
      <c r="A665" s="12"/>
      <c r="B665" s="12"/>
      <c r="C665" s="12"/>
      <c r="D665" s="12"/>
    </row>
    <row r="666" ht="15.75" customHeight="1">
      <c r="A666" s="12"/>
      <c r="B666" s="12"/>
      <c r="C666" s="12"/>
      <c r="D666" s="12"/>
    </row>
    <row r="667" ht="15.75" customHeight="1">
      <c r="A667" s="12"/>
      <c r="B667" s="12"/>
      <c r="C667" s="12"/>
      <c r="D667" s="12"/>
    </row>
    <row r="668" ht="15.75" customHeight="1">
      <c r="A668" s="12"/>
      <c r="B668" s="12"/>
      <c r="C668" s="12"/>
      <c r="D668" s="12"/>
    </row>
    <row r="669" ht="15.75" customHeight="1">
      <c r="A669" s="12"/>
      <c r="B669" s="12"/>
      <c r="C669" s="12"/>
      <c r="D669" s="12"/>
    </row>
    <row r="670" ht="15.75" customHeight="1">
      <c r="A670" s="12"/>
      <c r="B670" s="12"/>
      <c r="C670" s="12"/>
      <c r="D670" s="12"/>
    </row>
    <row r="671" ht="15.75" customHeight="1">
      <c r="A671" s="12"/>
      <c r="B671" s="12"/>
      <c r="C671" s="12"/>
      <c r="D671" s="12"/>
    </row>
    <row r="672" ht="15.75" customHeight="1">
      <c r="A672" s="12"/>
      <c r="B672" s="12"/>
      <c r="C672" s="12"/>
      <c r="D672" s="12"/>
    </row>
    <row r="673" ht="15.75" customHeight="1">
      <c r="A673" s="12"/>
      <c r="B673" s="12"/>
      <c r="C673" s="12"/>
      <c r="D673" s="12"/>
    </row>
    <row r="674" ht="15.75" customHeight="1">
      <c r="A674" s="12"/>
      <c r="B674" s="12"/>
      <c r="C674" s="12"/>
      <c r="D674" s="12"/>
    </row>
    <row r="675" ht="15.75" customHeight="1">
      <c r="A675" s="12"/>
      <c r="B675" s="12"/>
      <c r="C675" s="12"/>
      <c r="D675" s="12"/>
    </row>
    <row r="676" ht="15.75" customHeight="1">
      <c r="A676" s="12"/>
      <c r="B676" s="12"/>
      <c r="C676" s="12"/>
      <c r="D676" s="12"/>
    </row>
    <row r="677" ht="15.75" customHeight="1">
      <c r="A677" s="12"/>
      <c r="B677" s="12"/>
      <c r="C677" s="12"/>
      <c r="D677" s="12"/>
    </row>
    <row r="678" ht="15.75" customHeight="1">
      <c r="A678" s="12"/>
      <c r="B678" s="12"/>
      <c r="C678" s="12"/>
      <c r="D678" s="12"/>
    </row>
    <row r="679" ht="15.75" customHeight="1">
      <c r="A679" s="12"/>
      <c r="B679" s="12"/>
      <c r="C679" s="12"/>
      <c r="D679" s="12"/>
    </row>
    <row r="680" ht="15.75" customHeight="1">
      <c r="A680" s="12"/>
      <c r="B680" s="12"/>
      <c r="C680" s="12"/>
      <c r="D680" s="12"/>
    </row>
    <row r="681" ht="15.75" customHeight="1">
      <c r="A681" s="12"/>
      <c r="B681" s="12"/>
      <c r="C681" s="12"/>
      <c r="D681" s="12"/>
    </row>
    <row r="682" ht="15.75" customHeight="1">
      <c r="A682" s="12"/>
      <c r="B682" s="12"/>
      <c r="C682" s="12"/>
      <c r="D682" s="12"/>
    </row>
    <row r="683" ht="15.75" customHeight="1">
      <c r="A683" s="12"/>
      <c r="B683" s="12"/>
      <c r="C683" s="12"/>
      <c r="D683" s="12"/>
    </row>
    <row r="684" ht="15.75" customHeight="1">
      <c r="A684" s="12"/>
      <c r="B684" s="12"/>
      <c r="C684" s="12"/>
      <c r="D684" s="12"/>
    </row>
    <row r="685" ht="15.75" customHeight="1">
      <c r="A685" s="12"/>
      <c r="B685" s="12"/>
      <c r="C685" s="12"/>
      <c r="D685" s="12"/>
    </row>
    <row r="686" ht="15.75" customHeight="1">
      <c r="A686" s="12"/>
      <c r="B686" s="12"/>
      <c r="C686" s="12"/>
      <c r="D686" s="12"/>
    </row>
    <row r="687" ht="15.75" customHeight="1">
      <c r="A687" s="12"/>
      <c r="B687" s="12"/>
      <c r="C687" s="12"/>
      <c r="D687" s="12"/>
    </row>
    <row r="688" ht="15.75" customHeight="1">
      <c r="A688" s="12"/>
      <c r="B688" s="12"/>
      <c r="C688" s="12"/>
      <c r="D688" s="12"/>
    </row>
    <row r="689" ht="15.75" customHeight="1">
      <c r="A689" s="12"/>
      <c r="B689" s="12"/>
      <c r="C689" s="12"/>
      <c r="D689" s="12"/>
    </row>
    <row r="690" ht="15.75" customHeight="1">
      <c r="A690" s="12"/>
      <c r="B690" s="12"/>
      <c r="C690" s="12"/>
      <c r="D690" s="12"/>
    </row>
    <row r="691" ht="15.75" customHeight="1">
      <c r="A691" s="12"/>
      <c r="B691" s="12"/>
      <c r="C691" s="12"/>
      <c r="D691" s="12"/>
    </row>
    <row r="692" ht="15.75" customHeight="1">
      <c r="A692" s="12"/>
      <c r="B692" s="12"/>
      <c r="C692" s="12"/>
      <c r="D692" s="12"/>
    </row>
    <row r="693" ht="15.75" customHeight="1">
      <c r="A693" s="12"/>
      <c r="B693" s="12"/>
      <c r="C693" s="12"/>
      <c r="D693" s="12"/>
    </row>
    <row r="694" ht="15.75" customHeight="1">
      <c r="A694" s="12"/>
      <c r="B694" s="12"/>
      <c r="C694" s="12"/>
      <c r="D694" s="12"/>
    </row>
    <row r="695" ht="15.75" customHeight="1">
      <c r="A695" s="12"/>
      <c r="B695" s="12"/>
      <c r="C695" s="12"/>
      <c r="D695" s="12"/>
    </row>
    <row r="696" ht="15.75" customHeight="1">
      <c r="A696" s="12"/>
      <c r="B696" s="12"/>
      <c r="C696" s="12"/>
      <c r="D696" s="12"/>
    </row>
    <row r="697" ht="15.75" customHeight="1">
      <c r="A697" s="12"/>
      <c r="B697" s="12"/>
      <c r="C697" s="12"/>
      <c r="D697" s="12"/>
    </row>
    <row r="698" ht="15.75" customHeight="1">
      <c r="A698" s="12"/>
      <c r="B698" s="12"/>
      <c r="C698" s="12"/>
      <c r="D698" s="12"/>
    </row>
    <row r="699" ht="15.75" customHeight="1">
      <c r="A699" s="12"/>
      <c r="B699" s="12"/>
      <c r="C699" s="12"/>
      <c r="D699" s="12"/>
    </row>
    <row r="700" ht="15.75" customHeight="1">
      <c r="A700" s="12"/>
      <c r="B700" s="12"/>
      <c r="C700" s="12"/>
      <c r="D700" s="12"/>
    </row>
    <row r="701" ht="15.75" customHeight="1">
      <c r="A701" s="12"/>
      <c r="B701" s="12"/>
      <c r="C701" s="12"/>
      <c r="D701" s="12"/>
    </row>
    <row r="702" ht="15.75" customHeight="1">
      <c r="A702" s="12"/>
      <c r="B702" s="12"/>
      <c r="C702" s="12"/>
      <c r="D702" s="12"/>
    </row>
    <row r="703" ht="15.75" customHeight="1">
      <c r="A703" s="12"/>
      <c r="B703" s="12"/>
      <c r="C703" s="12"/>
      <c r="D703" s="12"/>
    </row>
    <row r="704" ht="15.75" customHeight="1">
      <c r="A704" s="12"/>
      <c r="B704" s="12"/>
      <c r="C704" s="12"/>
      <c r="D704" s="12"/>
    </row>
    <row r="705" ht="15.75" customHeight="1">
      <c r="A705" s="12"/>
      <c r="B705" s="12"/>
      <c r="C705" s="12"/>
      <c r="D705" s="12"/>
    </row>
    <row r="706" ht="15.75" customHeight="1">
      <c r="A706" s="12"/>
      <c r="B706" s="12"/>
      <c r="C706" s="12"/>
      <c r="D706" s="12"/>
    </row>
    <row r="707" ht="15.75" customHeight="1">
      <c r="A707" s="12"/>
      <c r="B707" s="12"/>
      <c r="C707" s="12"/>
      <c r="D707" s="12"/>
    </row>
    <row r="708" ht="15.75" customHeight="1">
      <c r="A708" s="12"/>
      <c r="B708" s="12"/>
      <c r="C708" s="12"/>
      <c r="D708" s="12"/>
    </row>
    <row r="709" ht="15.75" customHeight="1">
      <c r="A709" s="12"/>
      <c r="B709" s="12"/>
      <c r="C709" s="12"/>
      <c r="D709" s="12"/>
    </row>
    <row r="710" ht="15.75" customHeight="1">
      <c r="A710" s="12"/>
      <c r="B710" s="12"/>
      <c r="C710" s="12"/>
      <c r="D710" s="12"/>
    </row>
    <row r="711" ht="15.75" customHeight="1">
      <c r="A711" s="12"/>
      <c r="B711" s="12"/>
      <c r="C711" s="12"/>
      <c r="D711" s="12"/>
    </row>
    <row r="712" ht="15.75" customHeight="1">
      <c r="A712" s="12"/>
      <c r="B712" s="12"/>
      <c r="C712" s="12"/>
      <c r="D712" s="12"/>
    </row>
    <row r="713" ht="15.75" customHeight="1">
      <c r="A713" s="12"/>
      <c r="B713" s="12"/>
      <c r="C713" s="12"/>
      <c r="D713" s="12"/>
    </row>
    <row r="714" ht="15.75" customHeight="1">
      <c r="A714" s="12"/>
      <c r="B714" s="12"/>
      <c r="C714" s="12"/>
      <c r="D714" s="12"/>
    </row>
    <row r="715" ht="15.75" customHeight="1">
      <c r="A715" s="12"/>
      <c r="B715" s="12"/>
      <c r="C715" s="12"/>
      <c r="D715" s="12"/>
    </row>
    <row r="716" ht="15.75" customHeight="1">
      <c r="A716" s="12"/>
      <c r="B716" s="12"/>
      <c r="C716" s="12"/>
      <c r="D716" s="12"/>
    </row>
    <row r="717" ht="15.75" customHeight="1">
      <c r="A717" s="12"/>
      <c r="B717" s="12"/>
      <c r="C717" s="12"/>
      <c r="D717" s="12"/>
    </row>
    <row r="718" ht="15.75" customHeight="1">
      <c r="A718" s="12"/>
      <c r="B718" s="12"/>
      <c r="C718" s="12"/>
      <c r="D718" s="12"/>
    </row>
    <row r="719" ht="15.75" customHeight="1">
      <c r="A719" s="12"/>
      <c r="B719" s="12"/>
      <c r="C719" s="12"/>
      <c r="D719" s="12"/>
    </row>
    <row r="720" ht="15.75" customHeight="1">
      <c r="A720" s="12"/>
      <c r="B720" s="12"/>
      <c r="C720" s="12"/>
      <c r="D720" s="12"/>
    </row>
    <row r="721" ht="15.75" customHeight="1">
      <c r="A721" s="12"/>
      <c r="B721" s="12"/>
      <c r="C721" s="12"/>
      <c r="D721" s="12"/>
    </row>
    <row r="722" ht="15.75" customHeight="1">
      <c r="A722" s="12"/>
      <c r="B722" s="12"/>
      <c r="C722" s="12"/>
      <c r="D722" s="12"/>
    </row>
    <row r="723" ht="15.75" customHeight="1">
      <c r="A723" s="12"/>
      <c r="B723" s="12"/>
      <c r="C723" s="12"/>
      <c r="D723" s="12"/>
    </row>
    <row r="724" ht="15.75" customHeight="1">
      <c r="A724" s="12"/>
      <c r="B724" s="12"/>
      <c r="C724" s="12"/>
      <c r="D724" s="12"/>
    </row>
    <row r="725" ht="15.75" customHeight="1">
      <c r="A725" s="12"/>
      <c r="B725" s="12"/>
      <c r="C725" s="12"/>
      <c r="D725" s="12"/>
    </row>
    <row r="726" ht="15.75" customHeight="1">
      <c r="A726" s="12"/>
      <c r="B726" s="12"/>
      <c r="C726" s="12"/>
      <c r="D726" s="12"/>
    </row>
    <row r="727" ht="15.75" customHeight="1">
      <c r="A727" s="12"/>
      <c r="B727" s="12"/>
      <c r="C727" s="12"/>
      <c r="D727" s="12"/>
    </row>
    <row r="728" ht="15.75" customHeight="1">
      <c r="A728" s="12"/>
      <c r="B728" s="12"/>
      <c r="C728" s="12"/>
      <c r="D728" s="12"/>
    </row>
    <row r="729" ht="15.75" customHeight="1">
      <c r="A729" s="12"/>
      <c r="B729" s="12"/>
      <c r="C729" s="12"/>
      <c r="D729" s="12"/>
    </row>
    <row r="730" ht="15.75" customHeight="1">
      <c r="A730" s="12"/>
      <c r="B730" s="12"/>
      <c r="C730" s="12"/>
      <c r="D730" s="12"/>
    </row>
    <row r="731" ht="15.75" customHeight="1">
      <c r="A731" s="12"/>
      <c r="B731" s="12"/>
      <c r="C731" s="12"/>
      <c r="D731" s="12"/>
    </row>
    <row r="732" ht="15.75" customHeight="1">
      <c r="A732" s="12"/>
      <c r="B732" s="12"/>
      <c r="C732" s="12"/>
      <c r="D732" s="12"/>
    </row>
    <row r="733" ht="15.75" customHeight="1">
      <c r="A733" s="12"/>
      <c r="B733" s="12"/>
      <c r="C733" s="12"/>
      <c r="D733" s="12"/>
    </row>
    <row r="734" ht="15.75" customHeight="1">
      <c r="A734" s="12"/>
      <c r="B734" s="12"/>
      <c r="C734" s="12"/>
      <c r="D734" s="12"/>
    </row>
    <row r="735" ht="15.75" customHeight="1">
      <c r="A735" s="12"/>
      <c r="B735" s="12"/>
      <c r="C735" s="12"/>
      <c r="D735" s="12"/>
    </row>
    <row r="736" ht="15.75" customHeight="1">
      <c r="A736" s="12"/>
      <c r="B736" s="12"/>
      <c r="C736" s="12"/>
      <c r="D736" s="12"/>
    </row>
    <row r="737" ht="15.75" customHeight="1">
      <c r="A737" s="12"/>
      <c r="B737" s="12"/>
      <c r="C737" s="12"/>
      <c r="D737" s="12"/>
    </row>
    <row r="738" ht="15.75" customHeight="1">
      <c r="A738" s="12"/>
      <c r="B738" s="12"/>
      <c r="C738" s="12"/>
      <c r="D738" s="12"/>
    </row>
    <row r="739" ht="15.75" customHeight="1">
      <c r="A739" s="12"/>
      <c r="B739" s="12"/>
      <c r="C739" s="12"/>
      <c r="D739" s="12"/>
    </row>
    <row r="740" ht="15.75" customHeight="1">
      <c r="A740" s="12"/>
      <c r="B740" s="12"/>
      <c r="C740" s="12"/>
      <c r="D740" s="12"/>
    </row>
    <row r="741" ht="15.75" customHeight="1">
      <c r="A741" s="12"/>
      <c r="B741" s="12"/>
      <c r="C741" s="12"/>
      <c r="D741" s="12"/>
    </row>
    <row r="742" ht="15.75" customHeight="1">
      <c r="A742" s="12"/>
      <c r="B742" s="12"/>
      <c r="C742" s="12"/>
      <c r="D742" s="12"/>
    </row>
    <row r="743" ht="15.75" customHeight="1">
      <c r="A743" s="12"/>
      <c r="B743" s="12"/>
      <c r="C743" s="12"/>
      <c r="D743" s="12"/>
    </row>
    <row r="744" ht="15.75" customHeight="1">
      <c r="A744" s="12"/>
      <c r="B744" s="12"/>
      <c r="C744" s="12"/>
      <c r="D744" s="12"/>
    </row>
    <row r="745" ht="15.75" customHeight="1">
      <c r="A745" s="12"/>
      <c r="B745" s="12"/>
      <c r="C745" s="12"/>
      <c r="D745" s="12"/>
    </row>
    <row r="746" ht="15.75" customHeight="1">
      <c r="A746" s="12"/>
      <c r="B746" s="12"/>
      <c r="C746" s="12"/>
      <c r="D746" s="12"/>
    </row>
    <row r="747" ht="15.75" customHeight="1">
      <c r="A747" s="12"/>
      <c r="B747" s="12"/>
      <c r="C747" s="12"/>
      <c r="D747" s="12"/>
    </row>
    <row r="748" ht="15.75" customHeight="1">
      <c r="A748" s="12"/>
      <c r="B748" s="12"/>
      <c r="C748" s="12"/>
      <c r="D748" s="12"/>
    </row>
    <row r="749" ht="15.75" customHeight="1">
      <c r="A749" s="12"/>
      <c r="B749" s="12"/>
      <c r="C749" s="12"/>
      <c r="D749" s="12"/>
    </row>
    <row r="750" ht="15.75" customHeight="1">
      <c r="A750" s="12"/>
      <c r="B750" s="12"/>
      <c r="C750" s="12"/>
      <c r="D750" s="12"/>
    </row>
    <row r="751" ht="15.75" customHeight="1">
      <c r="A751" s="12"/>
      <c r="B751" s="12"/>
      <c r="C751" s="12"/>
      <c r="D751" s="12"/>
    </row>
    <row r="752" ht="15.75" customHeight="1">
      <c r="A752" s="12"/>
      <c r="B752" s="12"/>
      <c r="C752" s="12"/>
      <c r="D752" s="12"/>
    </row>
    <row r="753" ht="15.75" customHeight="1">
      <c r="A753" s="12"/>
      <c r="B753" s="12"/>
      <c r="C753" s="12"/>
      <c r="D753" s="12"/>
    </row>
    <row r="754" ht="15.75" customHeight="1">
      <c r="A754" s="12"/>
      <c r="B754" s="12"/>
      <c r="C754" s="12"/>
      <c r="D754" s="12"/>
    </row>
    <row r="755" ht="15.75" customHeight="1">
      <c r="A755" s="12"/>
      <c r="B755" s="12"/>
      <c r="C755" s="12"/>
      <c r="D755" s="12"/>
    </row>
    <row r="756" ht="15.75" customHeight="1">
      <c r="A756" s="12"/>
      <c r="B756" s="12"/>
      <c r="C756" s="12"/>
      <c r="D756" s="12"/>
    </row>
    <row r="757" ht="15.75" customHeight="1">
      <c r="A757" s="12"/>
      <c r="B757" s="12"/>
      <c r="C757" s="12"/>
      <c r="D757" s="12"/>
    </row>
    <row r="758" ht="15.75" customHeight="1">
      <c r="A758" s="12"/>
      <c r="B758" s="12"/>
      <c r="C758" s="12"/>
      <c r="D758" s="12"/>
    </row>
    <row r="759" ht="15.75" customHeight="1">
      <c r="A759" s="12"/>
      <c r="B759" s="12"/>
      <c r="C759" s="12"/>
      <c r="D759" s="12"/>
    </row>
    <row r="760" ht="15.75" customHeight="1">
      <c r="A760" s="12"/>
      <c r="B760" s="12"/>
      <c r="C760" s="12"/>
      <c r="D760" s="12"/>
    </row>
    <row r="761" ht="15.75" customHeight="1">
      <c r="A761" s="12"/>
      <c r="B761" s="12"/>
      <c r="C761" s="12"/>
      <c r="D761" s="12"/>
    </row>
    <row r="762" ht="15.75" customHeight="1">
      <c r="A762" s="12"/>
      <c r="B762" s="12"/>
      <c r="C762" s="12"/>
      <c r="D762" s="12"/>
    </row>
    <row r="763" ht="15.75" customHeight="1">
      <c r="A763" s="12"/>
      <c r="B763" s="12"/>
      <c r="C763" s="12"/>
      <c r="D763" s="12"/>
    </row>
    <row r="764" ht="15.75" customHeight="1">
      <c r="A764" s="12"/>
      <c r="B764" s="12"/>
      <c r="C764" s="12"/>
      <c r="D764" s="12"/>
    </row>
    <row r="765" ht="15.75" customHeight="1">
      <c r="A765" s="12"/>
      <c r="B765" s="12"/>
      <c r="C765" s="12"/>
      <c r="D765" s="12"/>
    </row>
    <row r="766" ht="15.75" customHeight="1">
      <c r="A766" s="12"/>
      <c r="B766" s="12"/>
      <c r="C766" s="12"/>
      <c r="D766" s="12"/>
    </row>
    <row r="767" ht="15.75" customHeight="1">
      <c r="A767" s="12"/>
      <c r="B767" s="12"/>
      <c r="C767" s="12"/>
      <c r="D767" s="12"/>
    </row>
    <row r="768" ht="15.75" customHeight="1">
      <c r="A768" s="12"/>
      <c r="B768" s="12"/>
      <c r="C768" s="12"/>
      <c r="D768" s="12"/>
    </row>
    <row r="769" ht="15.75" customHeight="1">
      <c r="A769" s="12"/>
      <c r="B769" s="12"/>
      <c r="C769" s="12"/>
      <c r="D769" s="12"/>
    </row>
    <row r="770" ht="15.75" customHeight="1">
      <c r="A770" s="12"/>
      <c r="B770" s="12"/>
      <c r="C770" s="12"/>
      <c r="D770" s="12"/>
    </row>
    <row r="771" ht="15.75" customHeight="1">
      <c r="A771" s="12"/>
      <c r="B771" s="12"/>
      <c r="C771" s="12"/>
      <c r="D771" s="12"/>
    </row>
    <row r="772" ht="15.75" customHeight="1">
      <c r="A772" s="12"/>
      <c r="B772" s="12"/>
      <c r="C772" s="12"/>
      <c r="D772" s="12"/>
    </row>
    <row r="773" ht="15.75" customHeight="1">
      <c r="A773" s="12"/>
      <c r="B773" s="12"/>
      <c r="C773" s="12"/>
      <c r="D773" s="12"/>
    </row>
    <row r="774" ht="15.75" customHeight="1">
      <c r="A774" s="12"/>
      <c r="B774" s="12"/>
      <c r="C774" s="12"/>
      <c r="D774" s="12"/>
    </row>
    <row r="775" ht="15.75" customHeight="1">
      <c r="A775" s="12"/>
      <c r="B775" s="12"/>
      <c r="C775" s="12"/>
      <c r="D775" s="12"/>
    </row>
    <row r="776" ht="15.75" customHeight="1">
      <c r="A776" s="12"/>
      <c r="B776" s="12"/>
      <c r="C776" s="12"/>
      <c r="D776" s="12"/>
    </row>
    <row r="777" ht="15.75" customHeight="1">
      <c r="A777" s="12"/>
      <c r="B777" s="12"/>
      <c r="C777" s="12"/>
      <c r="D777" s="12"/>
    </row>
    <row r="778" ht="15.75" customHeight="1">
      <c r="A778" s="12"/>
      <c r="B778" s="12"/>
      <c r="C778" s="12"/>
      <c r="D778" s="12"/>
    </row>
    <row r="779" ht="15.75" customHeight="1">
      <c r="A779" s="12"/>
      <c r="B779" s="12"/>
      <c r="C779" s="12"/>
      <c r="D779" s="12"/>
    </row>
    <row r="780" ht="15.75" customHeight="1">
      <c r="A780" s="12"/>
      <c r="B780" s="12"/>
      <c r="C780" s="12"/>
      <c r="D780" s="12"/>
    </row>
    <row r="781" ht="15.75" customHeight="1">
      <c r="A781" s="12"/>
      <c r="B781" s="12"/>
      <c r="C781" s="12"/>
      <c r="D781" s="12"/>
    </row>
    <row r="782" ht="15.75" customHeight="1">
      <c r="A782" s="12"/>
      <c r="B782" s="12"/>
      <c r="C782" s="12"/>
      <c r="D782" s="12"/>
    </row>
    <row r="783" ht="15.75" customHeight="1">
      <c r="A783" s="12"/>
      <c r="B783" s="12"/>
      <c r="C783" s="12"/>
      <c r="D783" s="12"/>
    </row>
    <row r="784" ht="15.75" customHeight="1">
      <c r="A784" s="12"/>
      <c r="B784" s="12"/>
      <c r="C784" s="12"/>
      <c r="D784" s="12"/>
    </row>
    <row r="785" ht="15.75" customHeight="1">
      <c r="A785" s="12"/>
      <c r="B785" s="12"/>
      <c r="C785" s="12"/>
      <c r="D785" s="12"/>
    </row>
    <row r="786" ht="15.75" customHeight="1">
      <c r="A786" s="12"/>
      <c r="B786" s="12"/>
      <c r="C786" s="12"/>
      <c r="D786" s="12"/>
    </row>
    <row r="787" ht="15.75" customHeight="1">
      <c r="A787" s="12"/>
      <c r="B787" s="12"/>
      <c r="C787" s="12"/>
      <c r="D787" s="12"/>
    </row>
    <row r="788" ht="15.75" customHeight="1">
      <c r="A788" s="12"/>
      <c r="B788" s="12"/>
      <c r="C788" s="12"/>
      <c r="D788" s="12"/>
    </row>
    <row r="789" ht="15.75" customHeight="1">
      <c r="A789" s="12"/>
      <c r="B789" s="12"/>
      <c r="C789" s="12"/>
      <c r="D789" s="12"/>
    </row>
    <row r="790" ht="15.75" customHeight="1">
      <c r="A790" s="12"/>
      <c r="B790" s="12"/>
      <c r="C790" s="12"/>
      <c r="D790" s="12"/>
    </row>
    <row r="791" ht="15.75" customHeight="1">
      <c r="A791" s="12"/>
      <c r="B791" s="12"/>
      <c r="C791" s="12"/>
      <c r="D791" s="12"/>
    </row>
    <row r="792" ht="15.75" customHeight="1">
      <c r="A792" s="12"/>
      <c r="B792" s="12"/>
      <c r="C792" s="12"/>
      <c r="D792" s="12"/>
    </row>
    <row r="793" ht="15.75" customHeight="1">
      <c r="A793" s="12"/>
      <c r="B793" s="12"/>
      <c r="C793" s="12"/>
      <c r="D793" s="12"/>
    </row>
    <row r="794" ht="15.75" customHeight="1">
      <c r="A794" s="12"/>
      <c r="B794" s="12"/>
      <c r="C794" s="12"/>
      <c r="D794" s="12"/>
    </row>
    <row r="795" ht="15.75" customHeight="1">
      <c r="A795" s="12"/>
      <c r="B795" s="12"/>
      <c r="C795" s="12"/>
      <c r="D795" s="12"/>
    </row>
    <row r="796" ht="15.75" customHeight="1">
      <c r="A796" s="12"/>
      <c r="B796" s="12"/>
      <c r="C796" s="12"/>
      <c r="D796" s="12"/>
    </row>
    <row r="797" ht="15.75" customHeight="1">
      <c r="A797" s="12"/>
      <c r="B797" s="12"/>
      <c r="C797" s="12"/>
      <c r="D797" s="12"/>
    </row>
    <row r="798" ht="15.75" customHeight="1">
      <c r="A798" s="12"/>
      <c r="B798" s="12"/>
      <c r="C798" s="12"/>
      <c r="D798" s="12"/>
    </row>
    <row r="799" ht="15.75" customHeight="1">
      <c r="A799" s="12"/>
      <c r="B799" s="12"/>
      <c r="C799" s="12"/>
      <c r="D799" s="12"/>
    </row>
    <row r="800" ht="15.75" customHeight="1">
      <c r="A800" s="12"/>
      <c r="B800" s="12"/>
      <c r="C800" s="12"/>
      <c r="D800" s="12"/>
    </row>
    <row r="801" ht="15.75" customHeight="1">
      <c r="A801" s="12"/>
      <c r="B801" s="12"/>
      <c r="C801" s="12"/>
      <c r="D801" s="12"/>
    </row>
    <row r="802" ht="15.75" customHeight="1">
      <c r="A802" s="12"/>
      <c r="B802" s="12"/>
      <c r="C802" s="12"/>
      <c r="D802" s="12"/>
    </row>
    <row r="803" ht="15.75" customHeight="1">
      <c r="A803" s="12"/>
      <c r="B803" s="12"/>
      <c r="C803" s="12"/>
      <c r="D803" s="12"/>
    </row>
    <row r="804" ht="15.75" customHeight="1">
      <c r="A804" s="12"/>
      <c r="B804" s="12"/>
      <c r="C804" s="12"/>
      <c r="D804" s="12"/>
    </row>
    <row r="805" ht="15.75" customHeight="1">
      <c r="A805" s="12"/>
      <c r="B805" s="12"/>
      <c r="C805" s="12"/>
      <c r="D805" s="12"/>
    </row>
    <row r="806" ht="15.75" customHeight="1">
      <c r="A806" s="12"/>
      <c r="B806" s="12"/>
      <c r="C806" s="12"/>
      <c r="D806" s="12"/>
    </row>
    <row r="807" ht="15.75" customHeight="1">
      <c r="A807" s="12"/>
      <c r="B807" s="12"/>
      <c r="C807" s="12"/>
      <c r="D807" s="12"/>
    </row>
    <row r="808" ht="15.75" customHeight="1">
      <c r="A808" s="12"/>
      <c r="B808" s="12"/>
      <c r="C808" s="12"/>
      <c r="D808" s="12"/>
    </row>
    <row r="809" ht="15.75" customHeight="1">
      <c r="A809" s="12"/>
      <c r="B809" s="12"/>
      <c r="C809" s="12"/>
      <c r="D809" s="12"/>
    </row>
    <row r="810" ht="15.75" customHeight="1">
      <c r="A810" s="12"/>
      <c r="B810" s="12"/>
      <c r="C810" s="12"/>
      <c r="D810" s="12"/>
    </row>
    <row r="811" ht="15.75" customHeight="1">
      <c r="A811" s="12"/>
      <c r="B811" s="12"/>
      <c r="C811" s="12"/>
      <c r="D811" s="12"/>
    </row>
    <row r="812" ht="15.75" customHeight="1">
      <c r="A812" s="12"/>
      <c r="B812" s="12"/>
      <c r="C812" s="12"/>
      <c r="D812" s="12"/>
    </row>
    <row r="813" ht="15.75" customHeight="1">
      <c r="A813" s="12"/>
      <c r="B813" s="12"/>
      <c r="C813" s="12"/>
      <c r="D813" s="12"/>
    </row>
    <row r="814" ht="15.75" customHeight="1">
      <c r="A814" s="12"/>
      <c r="B814" s="12"/>
      <c r="C814" s="12"/>
      <c r="D814" s="12"/>
    </row>
    <row r="815" ht="15.75" customHeight="1">
      <c r="A815" s="12"/>
      <c r="B815" s="12"/>
      <c r="C815" s="12"/>
      <c r="D815" s="12"/>
    </row>
    <row r="816" ht="15.75" customHeight="1">
      <c r="A816" s="12"/>
      <c r="B816" s="12"/>
      <c r="C816" s="12"/>
      <c r="D816" s="12"/>
    </row>
    <row r="817" ht="15.75" customHeight="1">
      <c r="A817" s="12"/>
      <c r="B817" s="12"/>
      <c r="C817" s="12"/>
      <c r="D817" s="12"/>
    </row>
    <row r="818" ht="15.75" customHeight="1">
      <c r="A818" s="12"/>
      <c r="B818" s="12"/>
      <c r="C818" s="12"/>
      <c r="D818" s="12"/>
    </row>
    <row r="819" ht="15.75" customHeight="1">
      <c r="A819" s="12"/>
      <c r="B819" s="12"/>
      <c r="C819" s="12"/>
      <c r="D819" s="12"/>
    </row>
    <row r="820" ht="15.75" customHeight="1">
      <c r="A820" s="12"/>
      <c r="B820" s="12"/>
      <c r="C820" s="12"/>
      <c r="D820" s="12"/>
    </row>
    <row r="821" ht="15.75" customHeight="1">
      <c r="A821" s="12"/>
      <c r="B821" s="12"/>
      <c r="C821" s="12"/>
      <c r="D821" s="12"/>
    </row>
    <row r="822" ht="15.75" customHeight="1">
      <c r="A822" s="12"/>
      <c r="B822" s="12"/>
      <c r="C822" s="12"/>
      <c r="D822" s="12"/>
    </row>
    <row r="823" ht="15.75" customHeight="1">
      <c r="A823" s="12"/>
      <c r="B823" s="12"/>
      <c r="C823" s="12"/>
      <c r="D823" s="12"/>
    </row>
    <row r="824" ht="15.75" customHeight="1">
      <c r="A824" s="12"/>
      <c r="B824" s="12"/>
      <c r="C824" s="12"/>
      <c r="D824" s="12"/>
    </row>
    <row r="825" ht="15.75" customHeight="1">
      <c r="A825" s="12"/>
      <c r="B825" s="12"/>
      <c r="C825" s="12"/>
      <c r="D825" s="12"/>
    </row>
    <row r="826" ht="15.75" customHeight="1">
      <c r="A826" s="12"/>
      <c r="B826" s="12"/>
      <c r="C826" s="12"/>
      <c r="D826" s="12"/>
    </row>
    <row r="827" ht="15.75" customHeight="1">
      <c r="A827" s="12"/>
      <c r="B827" s="12"/>
      <c r="C827" s="12"/>
      <c r="D827" s="12"/>
    </row>
    <row r="828" ht="15.75" customHeight="1">
      <c r="A828" s="12"/>
      <c r="B828" s="12"/>
      <c r="C828" s="12"/>
      <c r="D828" s="12"/>
    </row>
    <row r="829" ht="15.75" customHeight="1">
      <c r="A829" s="12"/>
      <c r="B829" s="12"/>
      <c r="C829" s="12"/>
      <c r="D829" s="12"/>
    </row>
    <row r="830" ht="15.75" customHeight="1">
      <c r="A830" s="12"/>
      <c r="B830" s="12"/>
      <c r="C830" s="12"/>
      <c r="D830" s="12"/>
    </row>
    <row r="831" ht="15.75" customHeight="1">
      <c r="A831" s="12"/>
      <c r="B831" s="12"/>
      <c r="C831" s="12"/>
      <c r="D831" s="12"/>
    </row>
    <row r="832" ht="15.75" customHeight="1">
      <c r="A832" s="12"/>
      <c r="B832" s="12"/>
      <c r="C832" s="12"/>
      <c r="D832" s="12"/>
    </row>
    <row r="833" ht="15.75" customHeight="1">
      <c r="A833" s="12"/>
      <c r="B833" s="12"/>
      <c r="C833" s="12"/>
      <c r="D833" s="12"/>
    </row>
    <row r="834" ht="15.75" customHeight="1">
      <c r="A834" s="12"/>
      <c r="B834" s="12"/>
      <c r="C834" s="12"/>
      <c r="D834" s="12"/>
    </row>
    <row r="835" ht="15.75" customHeight="1">
      <c r="A835" s="12"/>
      <c r="B835" s="12"/>
      <c r="C835" s="12"/>
      <c r="D835" s="12"/>
    </row>
    <row r="836" ht="15.75" customHeight="1">
      <c r="A836" s="12"/>
      <c r="B836" s="12"/>
      <c r="C836" s="12"/>
      <c r="D836" s="12"/>
    </row>
    <row r="837" ht="15.75" customHeight="1">
      <c r="A837" s="12"/>
      <c r="B837" s="12"/>
      <c r="C837" s="12"/>
      <c r="D837" s="12"/>
    </row>
    <row r="838" ht="15.75" customHeight="1">
      <c r="A838" s="12"/>
      <c r="B838" s="12"/>
      <c r="C838" s="12"/>
      <c r="D838" s="12"/>
    </row>
    <row r="839" ht="15.75" customHeight="1">
      <c r="A839" s="12"/>
      <c r="B839" s="12"/>
      <c r="C839" s="12"/>
      <c r="D839" s="12"/>
    </row>
    <row r="840" ht="15.75" customHeight="1">
      <c r="A840" s="12"/>
      <c r="B840" s="12"/>
      <c r="C840" s="12"/>
      <c r="D840" s="12"/>
    </row>
    <row r="841" ht="15.75" customHeight="1">
      <c r="A841" s="12"/>
      <c r="B841" s="12"/>
      <c r="C841" s="12"/>
      <c r="D841" s="12"/>
    </row>
    <row r="842" ht="15.75" customHeight="1">
      <c r="A842" s="12"/>
      <c r="B842" s="12"/>
      <c r="C842" s="12"/>
      <c r="D842" s="12"/>
    </row>
    <row r="843" ht="15.75" customHeight="1">
      <c r="A843" s="12"/>
      <c r="B843" s="12"/>
      <c r="C843" s="12"/>
      <c r="D843" s="12"/>
    </row>
    <row r="844" ht="15.75" customHeight="1">
      <c r="A844" s="12"/>
      <c r="B844" s="12"/>
      <c r="C844" s="12"/>
      <c r="D844" s="12"/>
    </row>
    <row r="845" ht="15.75" customHeight="1">
      <c r="A845" s="12"/>
      <c r="B845" s="12"/>
      <c r="C845" s="12"/>
      <c r="D845" s="12"/>
    </row>
    <row r="846" ht="15.75" customHeight="1">
      <c r="A846" s="12"/>
      <c r="B846" s="12"/>
      <c r="C846" s="12"/>
      <c r="D846" s="12"/>
    </row>
    <row r="847" ht="15.75" customHeight="1">
      <c r="A847" s="12"/>
      <c r="B847" s="12"/>
      <c r="C847" s="12"/>
      <c r="D847" s="12"/>
    </row>
    <row r="848" ht="15.75" customHeight="1">
      <c r="A848" s="12"/>
      <c r="B848" s="12"/>
      <c r="C848" s="12"/>
      <c r="D848" s="12"/>
    </row>
    <row r="849" ht="15.75" customHeight="1">
      <c r="A849" s="12"/>
      <c r="B849" s="12"/>
      <c r="C849" s="12"/>
      <c r="D849" s="12"/>
    </row>
    <row r="850" ht="15.75" customHeight="1">
      <c r="A850" s="12"/>
      <c r="B850" s="12"/>
      <c r="C850" s="12"/>
      <c r="D850" s="12"/>
    </row>
    <row r="851" ht="15.75" customHeight="1">
      <c r="A851" s="12"/>
      <c r="B851" s="12"/>
      <c r="C851" s="12"/>
      <c r="D851" s="12"/>
    </row>
    <row r="852" ht="15.75" customHeight="1">
      <c r="A852" s="12"/>
      <c r="B852" s="12"/>
      <c r="C852" s="12"/>
      <c r="D852" s="12"/>
    </row>
    <row r="853" ht="15.75" customHeight="1">
      <c r="A853" s="12"/>
      <c r="B853" s="12"/>
      <c r="C853" s="12"/>
      <c r="D853" s="12"/>
    </row>
    <row r="854" ht="15.75" customHeight="1">
      <c r="A854" s="12"/>
      <c r="B854" s="12"/>
      <c r="C854" s="12"/>
      <c r="D854" s="12"/>
    </row>
    <row r="855" ht="15.75" customHeight="1">
      <c r="A855" s="12"/>
      <c r="B855" s="12"/>
      <c r="C855" s="12"/>
      <c r="D855" s="12"/>
    </row>
    <row r="856" ht="15.75" customHeight="1">
      <c r="A856" s="12"/>
      <c r="B856" s="12"/>
      <c r="C856" s="12"/>
      <c r="D856" s="12"/>
    </row>
    <row r="857" ht="15.75" customHeight="1">
      <c r="A857" s="12"/>
      <c r="B857" s="12"/>
      <c r="C857" s="12"/>
      <c r="D857" s="12"/>
    </row>
    <row r="858" ht="15.75" customHeight="1">
      <c r="A858" s="12"/>
      <c r="B858" s="12"/>
      <c r="C858" s="12"/>
      <c r="D858" s="12"/>
    </row>
    <row r="859" ht="15.75" customHeight="1">
      <c r="A859" s="12"/>
      <c r="B859" s="12"/>
      <c r="C859" s="12"/>
      <c r="D859" s="12"/>
    </row>
    <row r="860" ht="15.75" customHeight="1">
      <c r="A860" s="12"/>
      <c r="B860" s="12"/>
      <c r="C860" s="12"/>
      <c r="D860" s="12"/>
    </row>
    <row r="861" ht="15.75" customHeight="1">
      <c r="A861" s="12"/>
      <c r="B861" s="12"/>
      <c r="C861" s="12"/>
      <c r="D861" s="12"/>
    </row>
    <row r="862" ht="15.75" customHeight="1">
      <c r="A862" s="12"/>
      <c r="B862" s="12"/>
      <c r="C862" s="12"/>
      <c r="D862" s="12"/>
    </row>
    <row r="863" ht="15.75" customHeight="1">
      <c r="A863" s="12"/>
      <c r="B863" s="12"/>
      <c r="C863" s="12"/>
      <c r="D863" s="12"/>
    </row>
    <row r="864" ht="15.75" customHeight="1">
      <c r="A864" s="12"/>
      <c r="B864" s="12"/>
      <c r="C864" s="12"/>
      <c r="D864" s="12"/>
    </row>
    <row r="865" ht="15.75" customHeight="1">
      <c r="A865" s="12"/>
      <c r="B865" s="12"/>
      <c r="C865" s="12"/>
      <c r="D865" s="12"/>
    </row>
    <row r="866" ht="15.75" customHeight="1">
      <c r="A866" s="12"/>
      <c r="B866" s="12"/>
      <c r="C866" s="12"/>
      <c r="D866" s="12"/>
    </row>
    <row r="867" ht="15.75" customHeight="1">
      <c r="A867" s="12"/>
      <c r="B867" s="12"/>
      <c r="C867" s="12"/>
      <c r="D867" s="12"/>
    </row>
    <row r="868" ht="15.75" customHeight="1">
      <c r="A868" s="12"/>
      <c r="B868" s="12"/>
      <c r="C868" s="12"/>
      <c r="D868" s="12"/>
    </row>
    <row r="869" ht="15.75" customHeight="1">
      <c r="A869" s="12"/>
      <c r="B869" s="12"/>
      <c r="C869" s="12"/>
      <c r="D869" s="12"/>
    </row>
    <row r="870" ht="15.75" customHeight="1">
      <c r="A870" s="12"/>
      <c r="B870" s="12"/>
      <c r="C870" s="12"/>
      <c r="D870" s="12"/>
    </row>
    <row r="871" ht="15.75" customHeight="1">
      <c r="A871" s="12"/>
      <c r="B871" s="12"/>
      <c r="C871" s="12"/>
      <c r="D871" s="12"/>
    </row>
    <row r="872" ht="15.75" customHeight="1">
      <c r="A872" s="12"/>
      <c r="B872" s="12"/>
      <c r="C872" s="12"/>
      <c r="D872" s="12"/>
    </row>
    <row r="873" ht="15.75" customHeight="1">
      <c r="A873" s="12"/>
      <c r="B873" s="12"/>
      <c r="C873" s="12"/>
      <c r="D873" s="12"/>
    </row>
    <row r="874" ht="15.75" customHeight="1">
      <c r="A874" s="12"/>
      <c r="B874" s="12"/>
      <c r="C874" s="12"/>
      <c r="D874" s="12"/>
    </row>
    <row r="875" ht="15.75" customHeight="1">
      <c r="A875" s="12"/>
      <c r="B875" s="12"/>
      <c r="C875" s="12"/>
      <c r="D875" s="12"/>
    </row>
    <row r="876" ht="15.75" customHeight="1">
      <c r="A876" s="12"/>
      <c r="B876" s="12"/>
      <c r="C876" s="12"/>
      <c r="D876" s="12"/>
    </row>
    <row r="877" ht="15.75" customHeight="1">
      <c r="A877" s="12"/>
      <c r="B877" s="12"/>
      <c r="C877" s="12"/>
      <c r="D877" s="12"/>
    </row>
    <row r="878" ht="15.75" customHeight="1">
      <c r="A878" s="12"/>
      <c r="B878" s="12"/>
      <c r="C878" s="12"/>
      <c r="D878" s="12"/>
    </row>
    <row r="879" ht="15.75" customHeight="1">
      <c r="A879" s="12"/>
      <c r="B879" s="12"/>
      <c r="C879" s="12"/>
      <c r="D879" s="12"/>
    </row>
    <row r="880" ht="15.75" customHeight="1">
      <c r="A880" s="12"/>
      <c r="B880" s="12"/>
      <c r="C880" s="12"/>
      <c r="D880" s="12"/>
    </row>
    <row r="881" ht="15.75" customHeight="1">
      <c r="A881" s="12"/>
      <c r="B881" s="12"/>
      <c r="C881" s="12"/>
      <c r="D881" s="12"/>
    </row>
    <row r="882" ht="15.75" customHeight="1">
      <c r="A882" s="12"/>
      <c r="B882" s="12"/>
      <c r="C882" s="12"/>
      <c r="D882" s="12"/>
    </row>
    <row r="883" ht="15.75" customHeight="1">
      <c r="A883" s="12"/>
      <c r="B883" s="12"/>
      <c r="C883" s="12"/>
      <c r="D883" s="12"/>
    </row>
    <row r="884" ht="15.75" customHeight="1">
      <c r="A884" s="12"/>
      <c r="B884" s="12"/>
      <c r="C884" s="12"/>
      <c r="D884" s="12"/>
    </row>
    <row r="885" ht="15.75" customHeight="1">
      <c r="A885" s="12"/>
      <c r="B885" s="12"/>
      <c r="C885" s="12"/>
      <c r="D885" s="12"/>
    </row>
    <row r="886" ht="15.75" customHeight="1">
      <c r="A886" s="12"/>
      <c r="B886" s="12"/>
      <c r="C886" s="12"/>
      <c r="D886" s="12"/>
    </row>
    <row r="887" ht="15.75" customHeight="1">
      <c r="A887" s="12"/>
      <c r="B887" s="12"/>
      <c r="C887" s="12"/>
      <c r="D887" s="12"/>
    </row>
    <row r="888" ht="15.75" customHeight="1">
      <c r="A888" s="12"/>
      <c r="B888" s="12"/>
      <c r="C888" s="12"/>
      <c r="D888" s="12"/>
    </row>
    <row r="889" ht="15.75" customHeight="1">
      <c r="A889" s="12"/>
      <c r="B889" s="12"/>
      <c r="C889" s="12"/>
      <c r="D889" s="12"/>
    </row>
    <row r="890" ht="15.75" customHeight="1">
      <c r="A890" s="12"/>
      <c r="B890" s="12"/>
      <c r="C890" s="12"/>
      <c r="D890" s="12"/>
    </row>
    <row r="891" ht="15.75" customHeight="1">
      <c r="A891" s="12"/>
      <c r="B891" s="12"/>
      <c r="C891" s="12"/>
      <c r="D891" s="12"/>
    </row>
    <row r="892" ht="15.75" customHeight="1">
      <c r="A892" s="12"/>
      <c r="B892" s="12"/>
      <c r="C892" s="12"/>
      <c r="D892" s="12"/>
    </row>
    <row r="893" ht="15.75" customHeight="1">
      <c r="A893" s="12"/>
      <c r="B893" s="12"/>
      <c r="C893" s="12"/>
      <c r="D893" s="12"/>
    </row>
    <row r="894" ht="15.75" customHeight="1">
      <c r="A894" s="12"/>
      <c r="B894" s="12"/>
      <c r="C894" s="12"/>
      <c r="D894" s="12"/>
    </row>
    <row r="895" ht="15.75" customHeight="1">
      <c r="A895" s="12"/>
      <c r="B895" s="12"/>
      <c r="C895" s="12"/>
      <c r="D895" s="12"/>
    </row>
    <row r="896" ht="15.75" customHeight="1">
      <c r="A896" s="12"/>
      <c r="B896" s="12"/>
      <c r="C896" s="12"/>
      <c r="D896" s="12"/>
    </row>
    <row r="897" ht="15.75" customHeight="1">
      <c r="A897" s="12"/>
      <c r="B897" s="12"/>
      <c r="C897" s="12"/>
      <c r="D897" s="12"/>
    </row>
    <row r="898" ht="15.75" customHeight="1">
      <c r="A898" s="12"/>
      <c r="B898" s="12"/>
      <c r="C898" s="12"/>
      <c r="D898" s="12"/>
    </row>
    <row r="899" ht="15.75" customHeight="1">
      <c r="A899" s="12"/>
      <c r="B899" s="12"/>
      <c r="C899" s="12"/>
      <c r="D899" s="12"/>
    </row>
    <row r="900" ht="15.75" customHeight="1">
      <c r="A900" s="12"/>
      <c r="B900" s="12"/>
      <c r="C900" s="12"/>
      <c r="D900" s="12"/>
    </row>
    <row r="901" ht="15.75" customHeight="1">
      <c r="A901" s="12"/>
      <c r="B901" s="12"/>
      <c r="C901" s="12"/>
      <c r="D901" s="12"/>
    </row>
    <row r="902" ht="15.75" customHeight="1">
      <c r="A902" s="12"/>
      <c r="B902" s="12"/>
      <c r="C902" s="12"/>
      <c r="D902" s="12"/>
    </row>
    <row r="903" ht="15.75" customHeight="1">
      <c r="A903" s="12"/>
      <c r="B903" s="12"/>
      <c r="C903" s="12"/>
      <c r="D903" s="12"/>
    </row>
    <row r="904" ht="15.75" customHeight="1">
      <c r="A904" s="12"/>
      <c r="B904" s="12"/>
      <c r="C904" s="12"/>
      <c r="D904" s="12"/>
    </row>
    <row r="905" ht="15.75" customHeight="1">
      <c r="A905" s="12"/>
      <c r="B905" s="12"/>
      <c r="C905" s="12"/>
      <c r="D905" s="12"/>
    </row>
    <row r="906" ht="15.75" customHeight="1">
      <c r="A906" s="12"/>
      <c r="B906" s="12"/>
      <c r="C906" s="12"/>
      <c r="D906" s="12"/>
    </row>
    <row r="907" ht="15.75" customHeight="1">
      <c r="A907" s="12"/>
      <c r="B907" s="12"/>
      <c r="C907" s="12"/>
      <c r="D907" s="12"/>
    </row>
    <row r="908" ht="15.75" customHeight="1">
      <c r="A908" s="12"/>
      <c r="B908" s="12"/>
      <c r="C908" s="12"/>
      <c r="D908" s="12"/>
    </row>
    <row r="909" ht="15.75" customHeight="1">
      <c r="A909" s="12"/>
      <c r="B909" s="12"/>
      <c r="C909" s="12"/>
      <c r="D909" s="12"/>
    </row>
    <row r="910" ht="15.75" customHeight="1">
      <c r="A910" s="12"/>
      <c r="B910" s="12"/>
      <c r="C910" s="12"/>
      <c r="D910" s="12"/>
    </row>
    <row r="911" ht="15.75" customHeight="1">
      <c r="A911" s="12"/>
      <c r="B911" s="12"/>
      <c r="C911" s="12"/>
      <c r="D911" s="12"/>
    </row>
    <row r="912" ht="15.75" customHeight="1">
      <c r="A912" s="12"/>
      <c r="B912" s="12"/>
      <c r="C912" s="12"/>
      <c r="D912" s="12"/>
    </row>
    <row r="913" ht="15.75" customHeight="1">
      <c r="A913" s="12"/>
      <c r="B913" s="12"/>
      <c r="C913" s="12"/>
      <c r="D913" s="12"/>
    </row>
    <row r="914" ht="15.75" customHeight="1">
      <c r="A914" s="12"/>
      <c r="B914" s="12"/>
      <c r="C914" s="12"/>
      <c r="D914" s="12"/>
    </row>
    <row r="915" ht="15.75" customHeight="1">
      <c r="A915" s="12"/>
      <c r="B915" s="12"/>
      <c r="C915" s="12"/>
      <c r="D915" s="12"/>
    </row>
    <row r="916" ht="15.75" customHeight="1">
      <c r="A916" s="12"/>
      <c r="B916" s="12"/>
      <c r="C916" s="12"/>
      <c r="D916" s="12"/>
    </row>
    <row r="917" ht="15.75" customHeight="1">
      <c r="A917" s="12"/>
      <c r="B917" s="12"/>
      <c r="C917" s="12"/>
      <c r="D917" s="12"/>
    </row>
    <row r="918" ht="15.75" customHeight="1">
      <c r="A918" s="12"/>
      <c r="B918" s="12"/>
      <c r="C918" s="12"/>
      <c r="D918" s="12"/>
    </row>
    <row r="919" ht="15.75" customHeight="1">
      <c r="A919" s="12"/>
      <c r="B919" s="12"/>
      <c r="C919" s="12"/>
      <c r="D919" s="12"/>
    </row>
    <row r="920" ht="15.75" customHeight="1">
      <c r="A920" s="12"/>
      <c r="B920" s="12"/>
      <c r="C920" s="12"/>
      <c r="D920" s="12"/>
    </row>
    <row r="921" ht="15.75" customHeight="1">
      <c r="A921" s="12"/>
      <c r="B921" s="12"/>
      <c r="C921" s="12"/>
      <c r="D921" s="12"/>
    </row>
    <row r="922" ht="15.75" customHeight="1">
      <c r="A922" s="12"/>
      <c r="B922" s="12"/>
      <c r="C922" s="12"/>
      <c r="D922" s="12"/>
    </row>
    <row r="923" ht="15.75" customHeight="1">
      <c r="A923" s="12"/>
      <c r="B923" s="12"/>
      <c r="C923" s="12"/>
      <c r="D923" s="12"/>
    </row>
    <row r="924" ht="15.75" customHeight="1">
      <c r="A924" s="12"/>
      <c r="B924" s="12"/>
      <c r="C924" s="12"/>
      <c r="D924" s="12"/>
    </row>
    <row r="925" ht="15.75" customHeight="1">
      <c r="A925" s="12"/>
      <c r="B925" s="12"/>
      <c r="C925" s="12"/>
      <c r="D925" s="12"/>
    </row>
    <row r="926" ht="15.75" customHeight="1">
      <c r="A926" s="12"/>
      <c r="B926" s="12"/>
      <c r="C926" s="12"/>
      <c r="D926" s="12"/>
    </row>
    <row r="927" ht="15.75" customHeight="1">
      <c r="A927" s="12"/>
      <c r="B927" s="12"/>
      <c r="C927" s="12"/>
      <c r="D927" s="12"/>
    </row>
    <row r="928" ht="15.75" customHeight="1">
      <c r="A928" s="12"/>
      <c r="B928" s="12"/>
      <c r="C928" s="12"/>
      <c r="D928" s="12"/>
    </row>
    <row r="929" ht="15.75" customHeight="1">
      <c r="A929" s="12"/>
      <c r="B929" s="12"/>
      <c r="C929" s="12"/>
      <c r="D929" s="12"/>
    </row>
    <row r="930" ht="15.75" customHeight="1">
      <c r="A930" s="12"/>
      <c r="B930" s="12"/>
      <c r="C930" s="12"/>
      <c r="D930" s="12"/>
    </row>
    <row r="931" ht="15.75" customHeight="1">
      <c r="A931" s="12"/>
      <c r="B931" s="12"/>
      <c r="C931" s="12"/>
      <c r="D931" s="12"/>
    </row>
    <row r="932" ht="15.75" customHeight="1">
      <c r="A932" s="12"/>
      <c r="B932" s="12"/>
      <c r="C932" s="12"/>
      <c r="D932" s="12"/>
    </row>
    <row r="933" ht="15.75" customHeight="1">
      <c r="A933" s="12"/>
      <c r="B933" s="12"/>
      <c r="C933" s="12"/>
      <c r="D933" s="12"/>
    </row>
    <row r="934" ht="15.75" customHeight="1">
      <c r="A934" s="12"/>
      <c r="B934" s="12"/>
      <c r="C934" s="12"/>
      <c r="D934" s="12"/>
    </row>
    <row r="935" ht="15.75" customHeight="1">
      <c r="A935" s="12"/>
      <c r="B935" s="12"/>
      <c r="C935" s="12"/>
      <c r="D935" s="12"/>
    </row>
    <row r="936" ht="15.75" customHeight="1">
      <c r="A936" s="12"/>
      <c r="B936" s="12"/>
      <c r="C936" s="12"/>
      <c r="D936" s="12"/>
    </row>
    <row r="937" ht="15.75" customHeight="1">
      <c r="A937" s="12"/>
      <c r="B937" s="12"/>
      <c r="C937" s="12"/>
      <c r="D937" s="12"/>
    </row>
    <row r="938" ht="15.75" customHeight="1">
      <c r="A938" s="12"/>
      <c r="B938" s="12"/>
      <c r="C938" s="12"/>
      <c r="D938" s="12"/>
    </row>
    <row r="939" ht="15.75" customHeight="1">
      <c r="A939" s="12"/>
      <c r="B939" s="12"/>
      <c r="C939" s="12"/>
      <c r="D939" s="12"/>
    </row>
    <row r="940" ht="15.75" customHeight="1">
      <c r="A940" s="12"/>
      <c r="B940" s="12"/>
      <c r="C940" s="12"/>
      <c r="D940" s="12"/>
    </row>
    <row r="941" ht="15.75" customHeight="1">
      <c r="A941" s="12"/>
      <c r="B941" s="12"/>
      <c r="C941" s="12"/>
      <c r="D941" s="12"/>
    </row>
    <row r="942" ht="15.75" customHeight="1">
      <c r="A942" s="12"/>
      <c r="B942" s="12"/>
      <c r="C942" s="12"/>
      <c r="D942" s="12"/>
    </row>
    <row r="943" ht="15.75" customHeight="1">
      <c r="A943" s="12"/>
      <c r="B943" s="12"/>
      <c r="C943" s="12"/>
      <c r="D943" s="12"/>
    </row>
    <row r="944" ht="15.75" customHeight="1">
      <c r="A944" s="12"/>
      <c r="B944" s="12"/>
      <c r="C944" s="12"/>
      <c r="D944" s="12"/>
    </row>
    <row r="945" ht="15.75" customHeight="1">
      <c r="A945" s="12"/>
      <c r="B945" s="12"/>
      <c r="C945" s="12"/>
      <c r="D945" s="12"/>
    </row>
    <row r="946" ht="15.75" customHeight="1">
      <c r="A946" s="12"/>
      <c r="B946" s="12"/>
      <c r="C946" s="12"/>
      <c r="D946" s="12"/>
    </row>
    <row r="947" ht="15.75" customHeight="1">
      <c r="A947" s="12"/>
      <c r="B947" s="12"/>
      <c r="C947" s="12"/>
      <c r="D947" s="12"/>
    </row>
    <row r="948" ht="15.75" customHeight="1">
      <c r="A948" s="12"/>
      <c r="B948" s="12"/>
      <c r="C948" s="12"/>
      <c r="D948" s="12"/>
    </row>
    <row r="949" ht="15.75" customHeight="1">
      <c r="A949" s="12"/>
      <c r="B949" s="12"/>
      <c r="C949" s="12"/>
      <c r="D949" s="12"/>
    </row>
    <row r="950" ht="15.75" customHeight="1">
      <c r="A950" s="12"/>
      <c r="B950" s="12"/>
      <c r="C950" s="12"/>
      <c r="D950" s="12"/>
    </row>
    <row r="951" ht="15.75" customHeight="1">
      <c r="A951" s="12"/>
      <c r="B951" s="12"/>
      <c r="C951" s="12"/>
      <c r="D951" s="12"/>
    </row>
    <row r="952" ht="15.75" customHeight="1">
      <c r="A952" s="12"/>
      <c r="B952" s="12"/>
      <c r="C952" s="12"/>
      <c r="D952" s="12"/>
    </row>
    <row r="953" ht="15.75" customHeight="1">
      <c r="A953" s="12"/>
      <c r="B953" s="12"/>
      <c r="C953" s="12"/>
      <c r="D953" s="12"/>
    </row>
    <row r="954" ht="15.75" customHeight="1">
      <c r="A954" s="12"/>
      <c r="B954" s="12"/>
      <c r="C954" s="12"/>
      <c r="D954" s="12"/>
    </row>
    <row r="955" ht="15.75" customHeight="1">
      <c r="A955" s="12"/>
      <c r="B955" s="12"/>
      <c r="C955" s="12"/>
      <c r="D955" s="12"/>
    </row>
    <row r="956" ht="15.75" customHeight="1">
      <c r="A956" s="12"/>
      <c r="B956" s="12"/>
      <c r="C956" s="12"/>
      <c r="D956" s="12"/>
    </row>
    <row r="957" ht="15.75" customHeight="1">
      <c r="A957" s="12"/>
      <c r="B957" s="12"/>
      <c r="C957" s="12"/>
      <c r="D957" s="12"/>
    </row>
    <row r="958" ht="15.75" customHeight="1">
      <c r="A958" s="12"/>
      <c r="B958" s="12"/>
      <c r="C958" s="12"/>
      <c r="D958" s="12"/>
    </row>
    <row r="959" ht="15.75" customHeight="1">
      <c r="A959" s="12"/>
      <c r="B959" s="12"/>
      <c r="C959" s="12"/>
      <c r="D959" s="12"/>
    </row>
    <row r="960" ht="15.75" customHeight="1">
      <c r="A960" s="12"/>
      <c r="B960" s="12"/>
      <c r="C960" s="12"/>
      <c r="D960" s="12"/>
    </row>
    <row r="961" ht="15.75" customHeight="1">
      <c r="A961" s="12"/>
      <c r="B961" s="12"/>
      <c r="C961" s="12"/>
      <c r="D961" s="12"/>
    </row>
    <row r="962" ht="15.75" customHeight="1">
      <c r="A962" s="12"/>
      <c r="B962" s="12"/>
      <c r="C962" s="12"/>
      <c r="D962" s="12"/>
    </row>
    <row r="963" ht="15.75" customHeight="1">
      <c r="A963" s="12"/>
      <c r="B963" s="12"/>
      <c r="C963" s="12"/>
      <c r="D963" s="12"/>
    </row>
    <row r="964" ht="15.75" customHeight="1">
      <c r="A964" s="12"/>
      <c r="B964" s="12"/>
      <c r="C964" s="12"/>
      <c r="D964" s="12"/>
    </row>
    <row r="965" ht="15.75" customHeight="1">
      <c r="A965" s="12"/>
      <c r="B965" s="12"/>
      <c r="C965" s="12"/>
      <c r="D965" s="12"/>
    </row>
    <row r="966" ht="15.75" customHeight="1">
      <c r="A966" s="12"/>
      <c r="B966" s="12"/>
      <c r="C966" s="12"/>
      <c r="D966" s="12"/>
    </row>
    <row r="967" ht="15.75" customHeight="1">
      <c r="A967" s="12"/>
      <c r="B967" s="12"/>
      <c r="C967" s="12"/>
      <c r="D967" s="12"/>
    </row>
    <row r="968" ht="15.75" customHeight="1">
      <c r="A968" s="12"/>
      <c r="B968" s="12"/>
      <c r="C968" s="12"/>
      <c r="D968" s="12"/>
    </row>
    <row r="969" ht="15.75" customHeight="1">
      <c r="A969" s="12"/>
      <c r="B969" s="12"/>
      <c r="C969" s="12"/>
      <c r="D969" s="12"/>
    </row>
    <row r="970" ht="15.75" customHeight="1">
      <c r="A970" s="12"/>
      <c r="B970" s="12"/>
      <c r="C970" s="12"/>
      <c r="D970" s="12"/>
    </row>
    <row r="971" ht="15.75" customHeight="1">
      <c r="A971" s="12"/>
      <c r="B971" s="12"/>
      <c r="C971" s="12"/>
      <c r="D971" s="12"/>
    </row>
    <row r="972" ht="15.75" customHeight="1">
      <c r="A972" s="12"/>
      <c r="B972" s="12"/>
      <c r="C972" s="12"/>
      <c r="D972" s="12"/>
    </row>
    <row r="973" ht="15.75" customHeight="1">
      <c r="A973" s="12"/>
      <c r="B973" s="12"/>
      <c r="C973" s="12"/>
      <c r="D973" s="12"/>
    </row>
    <row r="974" ht="15.75" customHeight="1">
      <c r="A974" s="12"/>
      <c r="B974" s="12"/>
      <c r="C974" s="12"/>
      <c r="D974" s="12"/>
    </row>
    <row r="975" ht="15.75" customHeight="1">
      <c r="A975" s="12"/>
      <c r="B975" s="12"/>
      <c r="C975" s="12"/>
      <c r="D975" s="12"/>
    </row>
    <row r="976" ht="15.75" customHeight="1">
      <c r="A976" s="12"/>
      <c r="B976" s="12"/>
      <c r="C976" s="12"/>
      <c r="D976" s="12"/>
    </row>
    <row r="977" ht="15.75" customHeight="1">
      <c r="A977" s="12"/>
      <c r="B977" s="12"/>
      <c r="C977" s="12"/>
      <c r="D977" s="12"/>
    </row>
    <row r="978" ht="15.75" customHeight="1">
      <c r="A978" s="12"/>
      <c r="B978" s="12"/>
      <c r="C978" s="12"/>
      <c r="D978" s="12"/>
    </row>
    <row r="979" ht="15.75" customHeight="1">
      <c r="A979" s="12"/>
      <c r="B979" s="12"/>
      <c r="C979" s="12"/>
      <c r="D979" s="12"/>
    </row>
    <row r="980" ht="15.75" customHeight="1">
      <c r="A980" s="12"/>
      <c r="B980" s="12"/>
      <c r="C980" s="12"/>
      <c r="D980" s="12"/>
    </row>
    <row r="981" ht="15.75" customHeight="1">
      <c r="A981" s="12"/>
      <c r="B981" s="12"/>
      <c r="C981" s="12"/>
      <c r="D981" s="12"/>
    </row>
    <row r="982" ht="15.75" customHeight="1">
      <c r="A982" s="12"/>
      <c r="B982" s="12"/>
      <c r="C982" s="12"/>
      <c r="D982" s="12"/>
    </row>
    <row r="983" ht="15.75" customHeight="1">
      <c r="A983" s="12"/>
      <c r="B983" s="12"/>
      <c r="C983" s="12"/>
      <c r="D983" s="12"/>
    </row>
    <row r="984" ht="15.75" customHeight="1">
      <c r="A984" s="12"/>
      <c r="B984" s="12"/>
      <c r="C984" s="12"/>
      <c r="D984" s="12"/>
    </row>
    <row r="985" ht="15.75" customHeight="1">
      <c r="A985" s="12"/>
      <c r="B985" s="12"/>
      <c r="C985" s="12"/>
      <c r="D985" s="12"/>
    </row>
    <row r="986" ht="15.75" customHeight="1">
      <c r="A986" s="12"/>
      <c r="B986" s="12"/>
      <c r="C986" s="12"/>
      <c r="D986" s="12"/>
    </row>
    <row r="987" ht="15.75" customHeight="1">
      <c r="A987" s="12"/>
      <c r="B987" s="12"/>
      <c r="C987" s="12"/>
      <c r="D987" s="12"/>
    </row>
    <row r="988" ht="15.75" customHeight="1">
      <c r="A988" s="12"/>
      <c r="B988" s="12"/>
      <c r="C988" s="12"/>
      <c r="D988" s="12"/>
    </row>
    <row r="989" ht="15.75" customHeight="1">
      <c r="A989" s="12"/>
      <c r="B989" s="12"/>
      <c r="C989" s="12"/>
      <c r="D989" s="12"/>
    </row>
    <row r="990" ht="15.75" customHeight="1">
      <c r="A990" s="12"/>
      <c r="B990" s="12"/>
      <c r="C990" s="12"/>
      <c r="D990" s="12"/>
    </row>
    <row r="991" ht="15.75" customHeight="1">
      <c r="A991" s="12"/>
      <c r="B991" s="12"/>
      <c r="C991" s="12"/>
      <c r="D991" s="12"/>
    </row>
    <row r="992" ht="15.75" customHeight="1">
      <c r="A992" s="12"/>
      <c r="B992" s="12"/>
      <c r="C992" s="12"/>
      <c r="D992" s="12"/>
    </row>
    <row r="993" ht="15.75" customHeight="1">
      <c r="A993" s="12"/>
      <c r="B993" s="12"/>
      <c r="C993" s="12"/>
      <c r="D993" s="12"/>
    </row>
    <row r="994" ht="15.75" customHeight="1">
      <c r="A994" s="12"/>
      <c r="B994" s="12"/>
      <c r="C994" s="12"/>
      <c r="D994" s="12"/>
    </row>
    <row r="995" ht="15.75" customHeight="1">
      <c r="A995" s="12"/>
      <c r="B995" s="12"/>
      <c r="C995" s="12"/>
      <c r="D995" s="12"/>
    </row>
    <row r="996" ht="15.75" customHeight="1">
      <c r="A996" s="12"/>
      <c r="B996" s="12"/>
      <c r="C996" s="12"/>
      <c r="D996" s="12"/>
    </row>
    <row r="997" ht="15.75" customHeight="1">
      <c r="A997" s="12"/>
      <c r="B997" s="12"/>
      <c r="C997" s="12"/>
      <c r="D997" s="12"/>
    </row>
    <row r="998" ht="15.75" customHeight="1">
      <c r="A998" s="12"/>
      <c r="B998" s="12"/>
      <c r="C998" s="12"/>
      <c r="D998" s="12"/>
    </row>
    <row r="999" ht="15.75" customHeight="1">
      <c r="A999" s="12"/>
      <c r="B999" s="12"/>
      <c r="C999" s="12"/>
      <c r="D999" s="12"/>
    </row>
    <row r="1000" ht="15.75" customHeight="1">
      <c r="A1000" s="12"/>
      <c r="B1000" s="12"/>
      <c r="C1000" s="12"/>
      <c r="D1000" s="12"/>
    </row>
  </sheetData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0.0"/>
    <col customWidth="1" min="2" max="2" width="24.0"/>
    <col customWidth="1" min="3" max="4" width="14.0"/>
    <col customWidth="1" min="5" max="5" width="10.0"/>
    <col customWidth="1" min="6" max="26" width="8.71"/>
  </cols>
  <sheetData>
    <row r="1" ht="15.0" customHeight="1">
      <c r="A1" s="2" t="s">
        <v>27</v>
      </c>
      <c r="B1" s="2" t="s">
        <v>1</v>
      </c>
      <c r="C1" s="2" t="s">
        <v>35</v>
      </c>
      <c r="D1" s="2" t="s">
        <v>36</v>
      </c>
      <c r="E1" s="2" t="s">
        <v>4</v>
      </c>
    </row>
    <row r="2" ht="15.0" customHeight="1">
      <c r="A2" s="3">
        <v>1.0</v>
      </c>
      <c r="B2" s="3" t="s">
        <v>41</v>
      </c>
      <c r="C2" s="3" t="s">
        <v>42</v>
      </c>
      <c r="D2" s="3" t="s">
        <v>24</v>
      </c>
      <c r="E2" s="3" t="s">
        <v>17</v>
      </c>
    </row>
    <row r="3" ht="15.0" customHeight="1">
      <c r="A3" s="3">
        <v>1.0</v>
      </c>
      <c r="B3" s="3" t="s">
        <v>44</v>
      </c>
      <c r="C3" s="3" t="s">
        <v>42</v>
      </c>
      <c r="D3" s="3" t="s">
        <v>24</v>
      </c>
      <c r="E3" s="3" t="s">
        <v>17</v>
      </c>
    </row>
    <row r="4" ht="15.0" customHeight="1">
      <c r="A4" s="3">
        <v>1.0</v>
      </c>
      <c r="B4" s="3" t="s">
        <v>49</v>
      </c>
      <c r="C4" s="3" t="s">
        <v>42</v>
      </c>
      <c r="D4" s="3" t="s">
        <v>24</v>
      </c>
      <c r="E4" s="3" t="s">
        <v>8</v>
      </c>
    </row>
    <row r="5" ht="15.0" customHeight="1">
      <c r="A5" s="3">
        <v>1.0</v>
      </c>
      <c r="B5" s="3" t="s">
        <v>31</v>
      </c>
      <c r="C5" s="3" t="s">
        <v>24</v>
      </c>
      <c r="D5" s="3" t="s">
        <v>46</v>
      </c>
      <c r="E5" s="3" t="s">
        <v>17</v>
      </c>
    </row>
    <row r="6" ht="15.0" customHeight="1">
      <c r="A6" s="3">
        <v>1.0</v>
      </c>
      <c r="B6" s="3" t="s">
        <v>25</v>
      </c>
      <c r="C6" s="3" t="s">
        <v>24</v>
      </c>
      <c r="D6" s="3" t="s">
        <v>46</v>
      </c>
      <c r="E6" s="3" t="s">
        <v>8</v>
      </c>
    </row>
    <row r="7" ht="15.0" customHeight="1">
      <c r="A7" s="3">
        <v>1.0</v>
      </c>
      <c r="B7" s="3" t="s">
        <v>40</v>
      </c>
      <c r="C7" s="3" t="s">
        <v>24</v>
      </c>
      <c r="D7" s="3" t="s">
        <v>46</v>
      </c>
      <c r="E7" s="3" t="s">
        <v>20</v>
      </c>
    </row>
    <row r="8" ht="15.0" customHeight="1">
      <c r="A8" s="3">
        <v>1.0</v>
      </c>
      <c r="B8" s="3" t="s">
        <v>56</v>
      </c>
      <c r="C8" s="3" t="s">
        <v>46</v>
      </c>
      <c r="D8" s="3" t="s">
        <v>58</v>
      </c>
      <c r="E8" s="3" t="s">
        <v>17</v>
      </c>
    </row>
    <row r="9" ht="15.0" customHeight="1">
      <c r="A9" s="3">
        <v>1.0</v>
      </c>
      <c r="B9" s="3" t="s">
        <v>51</v>
      </c>
      <c r="C9" s="3" t="s">
        <v>46</v>
      </c>
      <c r="D9" s="3" t="s">
        <v>58</v>
      </c>
      <c r="E9" s="3" t="s">
        <v>8</v>
      </c>
    </row>
    <row r="10" ht="15.0" customHeight="1">
      <c r="A10" s="3">
        <v>1.0</v>
      </c>
      <c r="B10" s="3" t="s">
        <v>53</v>
      </c>
      <c r="C10" s="3" t="s">
        <v>46</v>
      </c>
      <c r="D10" s="3" t="s">
        <v>58</v>
      </c>
      <c r="E10" s="3" t="s">
        <v>8</v>
      </c>
    </row>
    <row r="11" ht="15.0" customHeight="1">
      <c r="A11" s="3">
        <v>1.0</v>
      </c>
      <c r="B11" s="3" t="s">
        <v>57</v>
      </c>
      <c r="C11" s="3" t="s">
        <v>46</v>
      </c>
      <c r="D11" s="3" t="s">
        <v>58</v>
      </c>
      <c r="E11" s="3" t="s">
        <v>20</v>
      </c>
    </row>
    <row r="12" ht="15.0" customHeight="1">
      <c r="A12" s="3">
        <v>1.0</v>
      </c>
      <c r="B12" s="3" t="s">
        <v>69</v>
      </c>
      <c r="C12" s="3" t="s">
        <v>71</v>
      </c>
      <c r="D12" s="8" t="s">
        <v>74</v>
      </c>
      <c r="E12" s="3" t="s">
        <v>17</v>
      </c>
    </row>
    <row r="13" ht="15.0" customHeight="1">
      <c r="A13" s="3">
        <v>1.0</v>
      </c>
      <c r="B13" s="3" t="s">
        <v>87</v>
      </c>
      <c r="C13" s="3" t="s">
        <v>71</v>
      </c>
      <c r="D13" s="8" t="s">
        <v>74</v>
      </c>
      <c r="E13" s="3" t="s">
        <v>17</v>
      </c>
    </row>
    <row r="14" ht="15.0" customHeight="1">
      <c r="A14" s="3">
        <v>1.0</v>
      </c>
      <c r="B14" s="3" t="s">
        <v>78</v>
      </c>
      <c r="C14" s="3" t="s">
        <v>71</v>
      </c>
      <c r="D14" s="8" t="s">
        <v>74</v>
      </c>
      <c r="E14" s="3" t="s">
        <v>8</v>
      </c>
    </row>
    <row r="15" ht="15.0" customHeight="1">
      <c r="A15" s="3">
        <v>1.0</v>
      </c>
      <c r="B15" s="3" t="s">
        <v>81</v>
      </c>
      <c r="C15" s="3" t="s">
        <v>71</v>
      </c>
      <c r="D15" s="8" t="s">
        <v>74</v>
      </c>
      <c r="E15" s="3" t="s">
        <v>8</v>
      </c>
    </row>
    <row r="16" ht="15.0" customHeight="1">
      <c r="A16" s="3">
        <v>1.0</v>
      </c>
      <c r="B16" s="3" t="s">
        <v>82</v>
      </c>
      <c r="C16" s="3" t="s">
        <v>71</v>
      </c>
      <c r="D16" s="8" t="s">
        <v>74</v>
      </c>
      <c r="E16" s="3" t="s">
        <v>8</v>
      </c>
    </row>
    <row r="17" ht="15.0" customHeight="1">
      <c r="A17" s="3">
        <v>1.0</v>
      </c>
      <c r="B17" s="3" t="s">
        <v>84</v>
      </c>
      <c r="C17" s="3" t="s">
        <v>71</v>
      </c>
      <c r="D17" s="8" t="s">
        <v>74</v>
      </c>
      <c r="E17" s="3" t="s">
        <v>8</v>
      </c>
    </row>
    <row r="18" ht="15.0" customHeight="1">
      <c r="A18" s="3">
        <v>1.0</v>
      </c>
      <c r="B18" s="3" t="s">
        <v>89</v>
      </c>
      <c r="C18" s="3" t="s">
        <v>71</v>
      </c>
      <c r="D18" s="8" t="s">
        <v>74</v>
      </c>
      <c r="E18" s="3" t="s">
        <v>20</v>
      </c>
    </row>
    <row r="19" ht="15.0" customHeight="1">
      <c r="A19" s="3">
        <v>1.0</v>
      </c>
      <c r="B19" s="3" t="s">
        <v>92</v>
      </c>
      <c r="C19" s="3" t="s">
        <v>71</v>
      </c>
      <c r="D19" s="8" t="s">
        <v>74</v>
      </c>
      <c r="E19" s="3" t="s">
        <v>20</v>
      </c>
    </row>
    <row r="20" ht="15.0" customHeight="1">
      <c r="A20" s="3">
        <v>1.0</v>
      </c>
      <c r="B20" s="3" t="s">
        <v>97</v>
      </c>
      <c r="C20" s="3" t="s">
        <v>71</v>
      </c>
      <c r="D20" s="8" t="s">
        <v>74</v>
      </c>
      <c r="E20" s="3" t="s">
        <v>20</v>
      </c>
    </row>
    <row r="21" ht="15.75" customHeight="1">
      <c r="A21" s="12"/>
      <c r="B21" s="12"/>
      <c r="C21" s="12"/>
      <c r="D21" s="12"/>
      <c r="E21" s="12"/>
    </row>
    <row r="22" ht="15.75" customHeight="1">
      <c r="A22" s="12"/>
      <c r="B22" s="12"/>
      <c r="C22" s="12"/>
      <c r="D22" s="12"/>
      <c r="E22" s="12"/>
    </row>
    <row r="23" ht="15.75" customHeight="1">
      <c r="A23" s="12"/>
      <c r="B23" s="12"/>
      <c r="C23" s="12"/>
      <c r="D23" s="12"/>
      <c r="E23" s="12"/>
    </row>
    <row r="24" ht="15.75" customHeight="1">
      <c r="A24" s="12"/>
      <c r="B24" s="12"/>
      <c r="C24" s="12"/>
      <c r="D24" s="12"/>
      <c r="E24" s="12"/>
    </row>
    <row r="25" ht="15.75" customHeight="1">
      <c r="A25" s="12"/>
      <c r="B25" s="12"/>
      <c r="C25" s="12"/>
      <c r="D25" s="12"/>
      <c r="E25" s="12"/>
    </row>
    <row r="26" ht="15.75" customHeight="1">
      <c r="A26" s="12"/>
      <c r="B26" s="12"/>
      <c r="C26" s="12"/>
      <c r="D26" s="12"/>
      <c r="E26" s="12"/>
    </row>
    <row r="27" ht="15.75" customHeight="1">
      <c r="A27" s="12"/>
      <c r="B27" s="12"/>
      <c r="C27" s="12"/>
      <c r="D27" s="12"/>
      <c r="E27" s="12"/>
    </row>
    <row r="28" ht="15.75" customHeight="1">
      <c r="A28" s="12"/>
      <c r="B28" s="12"/>
      <c r="C28" s="12"/>
      <c r="D28" s="12"/>
      <c r="E28" s="12"/>
    </row>
    <row r="29" ht="15.75" customHeight="1">
      <c r="A29" s="12"/>
      <c r="B29" s="12"/>
      <c r="C29" s="12"/>
      <c r="D29" s="12"/>
      <c r="E29" s="12"/>
    </row>
    <row r="30" ht="15.75" customHeight="1">
      <c r="A30" s="12"/>
      <c r="B30" s="12"/>
      <c r="C30" s="12"/>
      <c r="D30" s="12"/>
      <c r="E30" s="12"/>
    </row>
    <row r="31" ht="15.75" customHeight="1">
      <c r="A31" s="12"/>
      <c r="B31" s="12"/>
      <c r="C31" s="12"/>
      <c r="D31" s="12"/>
      <c r="E31" s="12"/>
    </row>
    <row r="32" ht="15.75" customHeight="1">
      <c r="A32" s="12"/>
      <c r="B32" s="12"/>
      <c r="C32" s="12"/>
      <c r="D32" s="12"/>
      <c r="E32" s="12"/>
    </row>
    <row r="33" ht="15.75" customHeight="1">
      <c r="A33" s="12"/>
      <c r="B33" s="12"/>
      <c r="C33" s="12"/>
      <c r="D33" s="12"/>
      <c r="E33" s="12"/>
    </row>
    <row r="34" ht="15.75" customHeight="1">
      <c r="A34" s="12"/>
      <c r="B34" s="12"/>
      <c r="C34" s="12"/>
      <c r="D34" s="12"/>
      <c r="E34" s="12"/>
    </row>
    <row r="35" ht="15.75" customHeight="1">
      <c r="A35" s="12"/>
      <c r="B35" s="12"/>
      <c r="C35" s="12"/>
      <c r="D35" s="12"/>
      <c r="E35" s="12"/>
    </row>
    <row r="36" ht="15.75" customHeight="1">
      <c r="A36" s="12"/>
      <c r="B36" s="12"/>
      <c r="C36" s="12"/>
      <c r="D36" s="12"/>
      <c r="E36" s="12"/>
    </row>
    <row r="37" ht="15.75" customHeight="1">
      <c r="A37" s="12"/>
      <c r="B37" s="12"/>
      <c r="C37" s="12"/>
      <c r="D37" s="12"/>
      <c r="E37" s="12"/>
    </row>
    <row r="38" ht="15.75" customHeight="1">
      <c r="A38" s="12"/>
      <c r="B38" s="12"/>
      <c r="C38" s="12"/>
      <c r="D38" s="12"/>
      <c r="E38" s="12"/>
    </row>
    <row r="39" ht="15.75" customHeight="1">
      <c r="A39" s="12"/>
      <c r="B39" s="12"/>
      <c r="C39" s="12"/>
      <c r="D39" s="12"/>
      <c r="E39" s="12"/>
    </row>
    <row r="40" ht="15.75" customHeight="1">
      <c r="A40" s="12"/>
      <c r="B40" s="12"/>
      <c r="C40" s="12"/>
      <c r="D40" s="12"/>
      <c r="E40" s="12"/>
    </row>
    <row r="41" ht="15.75" customHeight="1">
      <c r="A41" s="12"/>
      <c r="B41" s="12"/>
      <c r="C41" s="12"/>
      <c r="D41" s="12"/>
      <c r="E41" s="12"/>
    </row>
    <row r="42" ht="15.75" customHeight="1">
      <c r="A42" s="12"/>
      <c r="B42" s="12"/>
      <c r="C42" s="12"/>
      <c r="D42" s="12"/>
      <c r="E42" s="12"/>
    </row>
    <row r="43" ht="15.75" customHeight="1">
      <c r="A43" s="12"/>
      <c r="B43" s="12"/>
      <c r="C43" s="12"/>
      <c r="D43" s="12"/>
      <c r="E43" s="12"/>
    </row>
    <row r="44" ht="15.75" customHeight="1">
      <c r="A44" s="12"/>
      <c r="B44" s="12"/>
      <c r="C44" s="12"/>
      <c r="D44" s="12"/>
      <c r="E44" s="12"/>
    </row>
    <row r="45" ht="15.75" customHeight="1">
      <c r="A45" s="12"/>
      <c r="B45" s="12"/>
      <c r="C45" s="12"/>
      <c r="D45" s="12"/>
      <c r="E45" s="12"/>
    </row>
    <row r="46" ht="15.75" customHeight="1">
      <c r="A46" s="12"/>
      <c r="B46" s="12"/>
      <c r="C46" s="12"/>
      <c r="D46" s="12"/>
      <c r="E46" s="12"/>
    </row>
    <row r="47" ht="15.75" customHeight="1">
      <c r="A47" s="12"/>
      <c r="B47" s="12"/>
      <c r="C47" s="12"/>
      <c r="D47" s="12"/>
      <c r="E47" s="12"/>
    </row>
    <row r="48" ht="15.75" customHeight="1">
      <c r="A48" s="12"/>
      <c r="B48" s="12"/>
      <c r="C48" s="12"/>
      <c r="D48" s="12"/>
      <c r="E48" s="12"/>
    </row>
    <row r="49" ht="15.75" customHeight="1">
      <c r="A49" s="12"/>
      <c r="B49" s="12"/>
      <c r="C49" s="12"/>
      <c r="D49" s="12"/>
      <c r="E49" s="12"/>
    </row>
    <row r="50" ht="15.75" customHeight="1">
      <c r="A50" s="12"/>
      <c r="B50" s="12"/>
      <c r="C50" s="12"/>
      <c r="D50" s="12"/>
      <c r="E50" s="12"/>
    </row>
    <row r="51" ht="15.75" customHeight="1">
      <c r="A51" s="12"/>
      <c r="B51" s="12"/>
      <c r="C51" s="12"/>
      <c r="D51" s="12"/>
      <c r="E51" s="12"/>
    </row>
    <row r="52" ht="15.75" customHeight="1">
      <c r="A52" s="12"/>
      <c r="B52" s="12"/>
      <c r="C52" s="12"/>
      <c r="D52" s="12"/>
      <c r="E52" s="12"/>
    </row>
    <row r="53" ht="15.75" customHeight="1">
      <c r="A53" s="12"/>
      <c r="B53" s="12"/>
      <c r="C53" s="12"/>
      <c r="D53" s="12"/>
      <c r="E53" s="12"/>
    </row>
    <row r="54" ht="15.75" customHeight="1">
      <c r="A54" s="12"/>
      <c r="B54" s="12"/>
      <c r="C54" s="12"/>
      <c r="D54" s="12"/>
      <c r="E54" s="12"/>
    </row>
    <row r="55" ht="15.75" customHeight="1">
      <c r="A55" s="12"/>
      <c r="B55" s="12"/>
      <c r="C55" s="12"/>
      <c r="D55" s="12"/>
      <c r="E55" s="12"/>
    </row>
    <row r="56" ht="15.75" customHeight="1">
      <c r="A56" s="12"/>
      <c r="B56" s="12"/>
      <c r="C56" s="12"/>
      <c r="D56" s="12"/>
      <c r="E56" s="12"/>
    </row>
    <row r="57" ht="15.75" customHeight="1">
      <c r="A57" s="12"/>
      <c r="B57" s="12"/>
      <c r="C57" s="12"/>
      <c r="D57" s="12"/>
      <c r="E57" s="12"/>
    </row>
    <row r="58" ht="15.75" customHeight="1">
      <c r="A58" s="12"/>
      <c r="B58" s="12"/>
      <c r="C58" s="12"/>
      <c r="D58" s="12"/>
      <c r="E58" s="12"/>
    </row>
    <row r="59" ht="15.75" customHeight="1">
      <c r="A59" s="12"/>
      <c r="B59" s="12"/>
      <c r="C59" s="12"/>
      <c r="D59" s="12"/>
      <c r="E59" s="12"/>
    </row>
    <row r="60" ht="15.75" customHeight="1">
      <c r="A60" s="12"/>
      <c r="B60" s="12"/>
      <c r="C60" s="12"/>
      <c r="D60" s="12"/>
      <c r="E60" s="12"/>
    </row>
    <row r="61" ht="15.75" customHeight="1">
      <c r="A61" s="12"/>
      <c r="B61" s="12"/>
      <c r="C61" s="12"/>
      <c r="D61" s="12"/>
      <c r="E61" s="12"/>
    </row>
    <row r="62" ht="15.75" customHeight="1">
      <c r="A62" s="12"/>
      <c r="B62" s="12"/>
      <c r="C62" s="12"/>
      <c r="D62" s="12"/>
      <c r="E62" s="12"/>
    </row>
    <row r="63" ht="15.75" customHeight="1">
      <c r="A63" s="12"/>
      <c r="B63" s="12"/>
      <c r="C63" s="12"/>
      <c r="D63" s="12"/>
      <c r="E63" s="12"/>
    </row>
    <row r="64" ht="15.75" customHeight="1">
      <c r="A64" s="12"/>
      <c r="B64" s="12"/>
      <c r="C64" s="12"/>
      <c r="D64" s="12"/>
      <c r="E64" s="12"/>
    </row>
    <row r="65" ht="15.75" customHeight="1">
      <c r="A65" s="12"/>
      <c r="B65" s="12"/>
      <c r="C65" s="12"/>
      <c r="D65" s="12"/>
      <c r="E65" s="12"/>
    </row>
    <row r="66" ht="15.75" customHeight="1">
      <c r="A66" s="12"/>
      <c r="B66" s="12"/>
      <c r="C66" s="12"/>
      <c r="D66" s="12"/>
      <c r="E66" s="12"/>
    </row>
    <row r="67" ht="15.75" customHeight="1">
      <c r="A67" s="12"/>
      <c r="B67" s="12"/>
      <c r="C67" s="12"/>
      <c r="D67" s="12"/>
      <c r="E67" s="12"/>
    </row>
    <row r="68" ht="15.75" customHeight="1">
      <c r="A68" s="12"/>
      <c r="B68" s="12"/>
      <c r="C68" s="12"/>
      <c r="D68" s="12"/>
      <c r="E68" s="12"/>
    </row>
    <row r="69" ht="15.75" customHeight="1">
      <c r="A69" s="12"/>
      <c r="B69" s="12"/>
      <c r="C69" s="12"/>
      <c r="D69" s="12"/>
      <c r="E69" s="12"/>
    </row>
    <row r="70" ht="15.75" customHeight="1">
      <c r="A70" s="12"/>
      <c r="B70" s="12"/>
      <c r="C70" s="12"/>
      <c r="D70" s="12"/>
      <c r="E70" s="12"/>
    </row>
    <row r="71" ht="15.75" customHeight="1">
      <c r="A71" s="12"/>
      <c r="B71" s="12"/>
      <c r="C71" s="12"/>
      <c r="D71" s="12"/>
      <c r="E71" s="12"/>
    </row>
    <row r="72" ht="15.75" customHeight="1">
      <c r="A72" s="12"/>
      <c r="B72" s="12"/>
      <c r="C72" s="12"/>
      <c r="D72" s="12"/>
      <c r="E72" s="12"/>
    </row>
    <row r="73" ht="15.75" customHeight="1">
      <c r="A73" s="12"/>
      <c r="B73" s="12"/>
      <c r="C73" s="12"/>
      <c r="D73" s="12"/>
      <c r="E73" s="12"/>
    </row>
    <row r="74" ht="15.75" customHeight="1">
      <c r="A74" s="12"/>
      <c r="B74" s="12"/>
      <c r="C74" s="12"/>
      <c r="D74" s="12"/>
      <c r="E74" s="12"/>
    </row>
    <row r="75" ht="15.75" customHeight="1">
      <c r="A75" s="12"/>
      <c r="B75" s="12"/>
      <c r="C75" s="12"/>
      <c r="D75" s="12"/>
      <c r="E75" s="12"/>
    </row>
    <row r="76" ht="15.75" customHeight="1">
      <c r="A76" s="12"/>
      <c r="B76" s="12"/>
      <c r="C76" s="12"/>
      <c r="D76" s="12"/>
      <c r="E76" s="12"/>
    </row>
    <row r="77" ht="15.75" customHeight="1">
      <c r="A77" s="12"/>
      <c r="B77" s="12"/>
      <c r="C77" s="12"/>
      <c r="D77" s="12"/>
      <c r="E77" s="12"/>
    </row>
    <row r="78" ht="15.75" customHeight="1">
      <c r="A78" s="12"/>
      <c r="B78" s="12"/>
      <c r="C78" s="12"/>
      <c r="D78" s="12"/>
      <c r="E78" s="12"/>
    </row>
    <row r="79" ht="15.75" customHeight="1">
      <c r="A79" s="12"/>
      <c r="B79" s="12"/>
      <c r="C79" s="12"/>
      <c r="D79" s="12"/>
      <c r="E79" s="12"/>
    </row>
    <row r="80" ht="15.75" customHeight="1">
      <c r="A80" s="12"/>
      <c r="B80" s="12"/>
      <c r="C80" s="12"/>
      <c r="D80" s="12"/>
      <c r="E80" s="12"/>
    </row>
    <row r="81" ht="15.75" customHeight="1">
      <c r="A81" s="12"/>
      <c r="B81" s="12"/>
      <c r="C81" s="12"/>
      <c r="D81" s="12"/>
      <c r="E81" s="12"/>
    </row>
    <row r="82" ht="15.75" customHeight="1">
      <c r="A82" s="12"/>
      <c r="B82" s="12"/>
      <c r="C82" s="12"/>
      <c r="D82" s="12"/>
      <c r="E82" s="12"/>
    </row>
    <row r="83" ht="15.75" customHeight="1">
      <c r="A83" s="12"/>
      <c r="B83" s="12"/>
      <c r="C83" s="12"/>
      <c r="D83" s="12"/>
      <c r="E83" s="12"/>
    </row>
    <row r="84" ht="15.75" customHeight="1">
      <c r="A84" s="12"/>
      <c r="B84" s="12"/>
      <c r="C84" s="12"/>
      <c r="D84" s="12"/>
      <c r="E84" s="12"/>
    </row>
    <row r="85" ht="15.75" customHeight="1">
      <c r="A85" s="12"/>
      <c r="B85" s="12"/>
      <c r="C85" s="12"/>
      <c r="D85" s="12"/>
      <c r="E85" s="12"/>
    </row>
    <row r="86" ht="15.75" customHeight="1">
      <c r="A86" s="12"/>
      <c r="B86" s="12"/>
      <c r="C86" s="12"/>
      <c r="D86" s="12"/>
      <c r="E86" s="12"/>
    </row>
    <row r="87" ht="15.75" customHeight="1">
      <c r="A87" s="12"/>
      <c r="B87" s="12"/>
      <c r="C87" s="12"/>
      <c r="D87" s="12"/>
      <c r="E87" s="12"/>
    </row>
    <row r="88" ht="15.75" customHeight="1">
      <c r="A88" s="12"/>
      <c r="B88" s="12"/>
      <c r="C88" s="12"/>
      <c r="D88" s="12"/>
      <c r="E88" s="12"/>
    </row>
    <row r="89" ht="15.75" customHeight="1">
      <c r="A89" s="12"/>
      <c r="B89" s="12"/>
      <c r="C89" s="12"/>
      <c r="D89" s="12"/>
      <c r="E89" s="12"/>
    </row>
    <row r="90" ht="15.75" customHeight="1">
      <c r="A90" s="12"/>
      <c r="B90" s="12"/>
      <c r="C90" s="12"/>
      <c r="D90" s="12"/>
      <c r="E90" s="12"/>
    </row>
    <row r="91" ht="15.75" customHeight="1">
      <c r="A91" s="12"/>
      <c r="B91" s="12"/>
      <c r="C91" s="12"/>
      <c r="D91" s="12"/>
      <c r="E91" s="12"/>
    </row>
    <row r="92" ht="15.75" customHeight="1">
      <c r="A92" s="12"/>
      <c r="B92" s="12"/>
      <c r="C92" s="12"/>
      <c r="D92" s="12"/>
      <c r="E92" s="12"/>
    </row>
    <row r="93" ht="15.75" customHeight="1">
      <c r="A93" s="12"/>
      <c r="B93" s="12"/>
      <c r="C93" s="12"/>
      <c r="D93" s="12"/>
      <c r="E93" s="12"/>
    </row>
    <row r="94" ht="15.75" customHeight="1">
      <c r="A94" s="12"/>
      <c r="B94" s="12"/>
      <c r="C94" s="12"/>
      <c r="D94" s="12"/>
      <c r="E94" s="12"/>
    </row>
    <row r="95" ht="15.75" customHeight="1">
      <c r="A95" s="12"/>
      <c r="B95" s="12"/>
      <c r="C95" s="12"/>
      <c r="D95" s="12"/>
      <c r="E95" s="12"/>
    </row>
    <row r="96" ht="15.75" customHeight="1">
      <c r="A96" s="12"/>
      <c r="B96" s="12"/>
      <c r="C96" s="12"/>
      <c r="D96" s="12"/>
      <c r="E96" s="12"/>
    </row>
    <row r="97" ht="15.75" customHeight="1">
      <c r="A97" s="12"/>
      <c r="B97" s="12"/>
      <c r="C97" s="12"/>
      <c r="D97" s="12"/>
      <c r="E97" s="12"/>
    </row>
    <row r="98" ht="15.75" customHeight="1">
      <c r="A98" s="12"/>
      <c r="B98" s="12"/>
      <c r="C98" s="12"/>
      <c r="D98" s="12"/>
      <c r="E98" s="12"/>
    </row>
    <row r="99" ht="15.75" customHeight="1">
      <c r="A99" s="12"/>
      <c r="B99" s="12"/>
      <c r="C99" s="12"/>
      <c r="D99" s="12"/>
      <c r="E99" s="12"/>
    </row>
    <row r="100" ht="15.75" customHeight="1">
      <c r="A100" s="12"/>
      <c r="B100" s="12"/>
      <c r="C100" s="12"/>
      <c r="D100" s="12"/>
      <c r="E100" s="12"/>
    </row>
    <row r="101" ht="15.75" customHeight="1">
      <c r="A101" s="12"/>
      <c r="B101" s="12"/>
      <c r="C101" s="12"/>
      <c r="D101" s="12"/>
      <c r="E101" s="12"/>
    </row>
    <row r="102" ht="15.75" customHeight="1">
      <c r="A102" s="12"/>
      <c r="B102" s="12"/>
      <c r="C102" s="12"/>
      <c r="D102" s="12"/>
      <c r="E102" s="12"/>
    </row>
    <row r="103" ht="15.75" customHeight="1">
      <c r="A103" s="12"/>
      <c r="B103" s="12"/>
      <c r="C103" s="12"/>
      <c r="D103" s="12"/>
      <c r="E103" s="12"/>
    </row>
    <row r="104" ht="15.75" customHeight="1">
      <c r="A104" s="12"/>
      <c r="B104" s="12"/>
      <c r="C104" s="12"/>
      <c r="D104" s="12"/>
      <c r="E104" s="12"/>
    </row>
    <row r="105" ht="15.75" customHeight="1">
      <c r="A105" s="12"/>
      <c r="B105" s="12"/>
      <c r="C105" s="12"/>
      <c r="D105" s="12"/>
      <c r="E105" s="12"/>
    </row>
    <row r="106" ht="15.75" customHeight="1">
      <c r="A106" s="12"/>
      <c r="B106" s="12"/>
      <c r="C106" s="12"/>
      <c r="D106" s="12"/>
      <c r="E106" s="12"/>
    </row>
    <row r="107" ht="15.75" customHeight="1">
      <c r="A107" s="12"/>
      <c r="B107" s="12"/>
      <c r="C107" s="12"/>
      <c r="D107" s="12"/>
      <c r="E107" s="12"/>
    </row>
    <row r="108" ht="15.75" customHeight="1">
      <c r="A108" s="12"/>
      <c r="B108" s="12"/>
      <c r="C108" s="12"/>
      <c r="D108" s="12"/>
      <c r="E108" s="12"/>
    </row>
    <row r="109" ht="15.75" customHeight="1">
      <c r="A109" s="12"/>
      <c r="B109" s="12"/>
      <c r="C109" s="12"/>
      <c r="D109" s="12"/>
      <c r="E109" s="12"/>
    </row>
    <row r="110" ht="15.75" customHeight="1">
      <c r="A110" s="12"/>
      <c r="B110" s="12"/>
      <c r="C110" s="12"/>
      <c r="D110" s="12"/>
      <c r="E110" s="12"/>
    </row>
    <row r="111" ht="15.75" customHeight="1">
      <c r="A111" s="12"/>
      <c r="B111" s="12"/>
      <c r="C111" s="12"/>
      <c r="D111" s="12"/>
      <c r="E111" s="12"/>
    </row>
    <row r="112" ht="15.75" customHeight="1">
      <c r="A112" s="12"/>
      <c r="B112" s="12"/>
      <c r="C112" s="12"/>
      <c r="D112" s="12"/>
      <c r="E112" s="12"/>
    </row>
    <row r="113" ht="15.75" customHeight="1">
      <c r="A113" s="12"/>
      <c r="B113" s="12"/>
      <c r="C113" s="12"/>
      <c r="D113" s="12"/>
      <c r="E113" s="12"/>
    </row>
    <row r="114" ht="15.75" customHeight="1">
      <c r="A114" s="12"/>
      <c r="B114" s="12"/>
      <c r="C114" s="12"/>
      <c r="D114" s="12"/>
      <c r="E114" s="12"/>
    </row>
    <row r="115" ht="15.75" customHeight="1">
      <c r="A115" s="12"/>
      <c r="B115" s="12"/>
      <c r="C115" s="12"/>
      <c r="D115" s="12"/>
      <c r="E115" s="12"/>
    </row>
    <row r="116" ht="15.75" customHeight="1">
      <c r="A116" s="12"/>
      <c r="B116" s="12"/>
      <c r="C116" s="12"/>
      <c r="D116" s="12"/>
      <c r="E116" s="12"/>
    </row>
    <row r="117" ht="15.75" customHeight="1">
      <c r="A117" s="12"/>
      <c r="B117" s="12"/>
      <c r="C117" s="12"/>
      <c r="D117" s="12"/>
      <c r="E117" s="12"/>
    </row>
    <row r="118" ht="15.75" customHeight="1">
      <c r="A118" s="12"/>
      <c r="B118" s="12"/>
      <c r="C118" s="12"/>
      <c r="D118" s="12"/>
      <c r="E118" s="12"/>
    </row>
    <row r="119" ht="15.75" customHeight="1">
      <c r="A119" s="12"/>
      <c r="B119" s="12"/>
      <c r="C119" s="12"/>
      <c r="D119" s="12"/>
      <c r="E119" s="12"/>
    </row>
    <row r="120" ht="15.75" customHeight="1">
      <c r="A120" s="12"/>
      <c r="B120" s="12"/>
      <c r="C120" s="12"/>
      <c r="D120" s="12"/>
      <c r="E120" s="12"/>
    </row>
    <row r="121" ht="15.75" customHeight="1">
      <c r="A121" s="12"/>
      <c r="B121" s="12"/>
      <c r="C121" s="12"/>
      <c r="D121" s="12"/>
      <c r="E121" s="12"/>
    </row>
    <row r="122" ht="15.75" customHeight="1">
      <c r="A122" s="12"/>
      <c r="B122" s="12"/>
      <c r="C122" s="12"/>
      <c r="D122" s="12"/>
      <c r="E122" s="12"/>
    </row>
    <row r="123" ht="15.75" customHeight="1">
      <c r="A123" s="12"/>
      <c r="B123" s="12"/>
      <c r="C123" s="12"/>
      <c r="D123" s="12"/>
      <c r="E123" s="12"/>
    </row>
    <row r="124" ht="15.75" customHeight="1">
      <c r="A124" s="12"/>
      <c r="B124" s="12"/>
      <c r="C124" s="12"/>
      <c r="D124" s="12"/>
      <c r="E124" s="12"/>
    </row>
    <row r="125" ht="15.75" customHeight="1">
      <c r="A125" s="12"/>
      <c r="B125" s="12"/>
      <c r="C125" s="12"/>
      <c r="D125" s="12"/>
      <c r="E125" s="12"/>
    </row>
    <row r="126" ht="15.75" customHeight="1">
      <c r="A126" s="12"/>
      <c r="B126" s="12"/>
      <c r="C126" s="12"/>
      <c r="D126" s="12"/>
      <c r="E126" s="12"/>
    </row>
    <row r="127" ht="15.75" customHeight="1">
      <c r="A127" s="12"/>
      <c r="B127" s="12"/>
      <c r="C127" s="12"/>
      <c r="D127" s="12"/>
      <c r="E127" s="12"/>
    </row>
    <row r="128" ht="15.75" customHeight="1">
      <c r="A128" s="12"/>
      <c r="B128" s="12"/>
      <c r="C128" s="12"/>
      <c r="D128" s="12"/>
      <c r="E128" s="12"/>
    </row>
    <row r="129" ht="15.75" customHeight="1">
      <c r="A129" s="12"/>
      <c r="B129" s="12"/>
      <c r="C129" s="12"/>
      <c r="D129" s="12"/>
      <c r="E129" s="12"/>
    </row>
    <row r="130" ht="15.75" customHeight="1">
      <c r="A130" s="12"/>
      <c r="B130" s="12"/>
      <c r="C130" s="12"/>
      <c r="D130" s="12"/>
      <c r="E130" s="12"/>
    </row>
    <row r="131" ht="15.75" customHeight="1">
      <c r="A131" s="12"/>
      <c r="B131" s="12"/>
      <c r="C131" s="12"/>
      <c r="D131" s="12"/>
      <c r="E131" s="12"/>
    </row>
    <row r="132" ht="15.75" customHeight="1">
      <c r="A132" s="12"/>
      <c r="B132" s="12"/>
      <c r="C132" s="12"/>
      <c r="D132" s="12"/>
      <c r="E132" s="12"/>
    </row>
    <row r="133" ht="15.75" customHeight="1">
      <c r="A133" s="12"/>
      <c r="B133" s="12"/>
      <c r="C133" s="12"/>
      <c r="D133" s="12"/>
      <c r="E133" s="12"/>
    </row>
    <row r="134" ht="15.75" customHeight="1">
      <c r="A134" s="12"/>
      <c r="B134" s="12"/>
      <c r="C134" s="12"/>
      <c r="D134" s="12"/>
      <c r="E134" s="12"/>
    </row>
    <row r="135" ht="15.75" customHeight="1">
      <c r="A135" s="12"/>
      <c r="B135" s="12"/>
      <c r="C135" s="12"/>
      <c r="D135" s="12"/>
      <c r="E135" s="12"/>
    </row>
    <row r="136" ht="15.75" customHeight="1">
      <c r="A136" s="12"/>
      <c r="B136" s="12"/>
      <c r="C136" s="12"/>
      <c r="D136" s="12"/>
      <c r="E136" s="12"/>
    </row>
    <row r="137" ht="15.75" customHeight="1">
      <c r="A137" s="12"/>
      <c r="B137" s="12"/>
      <c r="C137" s="12"/>
      <c r="D137" s="12"/>
      <c r="E137" s="12"/>
    </row>
    <row r="138" ht="15.75" customHeight="1">
      <c r="A138" s="12"/>
      <c r="B138" s="12"/>
      <c r="C138" s="12"/>
      <c r="D138" s="12"/>
      <c r="E138" s="12"/>
    </row>
    <row r="139" ht="15.75" customHeight="1">
      <c r="A139" s="12"/>
      <c r="B139" s="12"/>
      <c r="C139" s="12"/>
      <c r="D139" s="12"/>
      <c r="E139" s="12"/>
    </row>
    <row r="140" ht="15.75" customHeight="1">
      <c r="A140" s="12"/>
      <c r="B140" s="12"/>
      <c r="C140" s="12"/>
      <c r="D140" s="12"/>
      <c r="E140" s="12"/>
    </row>
    <row r="141" ht="15.75" customHeight="1">
      <c r="A141" s="12"/>
      <c r="B141" s="12"/>
      <c r="C141" s="12"/>
      <c r="D141" s="12"/>
      <c r="E141" s="12"/>
    </row>
    <row r="142" ht="15.75" customHeight="1">
      <c r="A142" s="12"/>
      <c r="B142" s="12"/>
      <c r="C142" s="12"/>
      <c r="D142" s="12"/>
      <c r="E142" s="12"/>
    </row>
    <row r="143" ht="15.75" customHeight="1">
      <c r="A143" s="12"/>
      <c r="B143" s="12"/>
      <c r="C143" s="12"/>
      <c r="D143" s="12"/>
      <c r="E143" s="12"/>
    </row>
    <row r="144" ht="15.75" customHeight="1">
      <c r="A144" s="12"/>
      <c r="B144" s="12"/>
      <c r="C144" s="12"/>
      <c r="D144" s="12"/>
      <c r="E144" s="12"/>
    </row>
    <row r="145" ht="15.75" customHeight="1">
      <c r="A145" s="12"/>
      <c r="B145" s="12"/>
      <c r="C145" s="12"/>
      <c r="D145" s="12"/>
      <c r="E145" s="12"/>
    </row>
    <row r="146" ht="15.75" customHeight="1">
      <c r="A146" s="12"/>
      <c r="B146" s="12"/>
      <c r="C146" s="12"/>
      <c r="D146" s="12"/>
      <c r="E146" s="12"/>
    </row>
    <row r="147" ht="15.75" customHeight="1">
      <c r="A147" s="12"/>
      <c r="B147" s="12"/>
      <c r="C147" s="12"/>
      <c r="D147" s="12"/>
      <c r="E147" s="12"/>
    </row>
    <row r="148" ht="15.75" customHeight="1">
      <c r="A148" s="12"/>
      <c r="B148" s="12"/>
      <c r="C148" s="12"/>
      <c r="D148" s="12"/>
      <c r="E148" s="12"/>
    </row>
    <row r="149" ht="15.75" customHeight="1">
      <c r="A149" s="12"/>
      <c r="B149" s="12"/>
      <c r="C149" s="12"/>
      <c r="D149" s="12"/>
      <c r="E149" s="12"/>
    </row>
    <row r="150" ht="15.75" customHeight="1">
      <c r="A150" s="12"/>
      <c r="B150" s="12"/>
      <c r="C150" s="12"/>
      <c r="D150" s="12"/>
      <c r="E150" s="12"/>
    </row>
    <row r="151" ht="15.75" customHeight="1">
      <c r="A151" s="12"/>
      <c r="B151" s="12"/>
      <c r="C151" s="12"/>
      <c r="D151" s="12"/>
      <c r="E151" s="12"/>
    </row>
    <row r="152" ht="15.75" customHeight="1">
      <c r="A152" s="12"/>
      <c r="B152" s="12"/>
      <c r="C152" s="12"/>
      <c r="D152" s="12"/>
      <c r="E152" s="12"/>
    </row>
    <row r="153" ht="15.75" customHeight="1">
      <c r="A153" s="12"/>
      <c r="B153" s="12"/>
      <c r="C153" s="12"/>
      <c r="D153" s="12"/>
      <c r="E153" s="12"/>
    </row>
    <row r="154" ht="15.75" customHeight="1">
      <c r="A154" s="12"/>
      <c r="B154" s="12"/>
      <c r="C154" s="12"/>
      <c r="D154" s="12"/>
      <c r="E154" s="12"/>
    </row>
    <row r="155" ht="15.75" customHeight="1">
      <c r="A155" s="12"/>
      <c r="B155" s="12"/>
      <c r="C155" s="12"/>
      <c r="D155" s="12"/>
      <c r="E155" s="12"/>
    </row>
    <row r="156" ht="15.75" customHeight="1">
      <c r="A156" s="12"/>
      <c r="B156" s="12"/>
      <c r="C156" s="12"/>
      <c r="D156" s="12"/>
      <c r="E156" s="12"/>
    </row>
    <row r="157" ht="15.75" customHeight="1">
      <c r="A157" s="12"/>
      <c r="B157" s="12"/>
      <c r="C157" s="12"/>
      <c r="D157" s="12"/>
      <c r="E157" s="12"/>
    </row>
    <row r="158" ht="15.75" customHeight="1">
      <c r="A158" s="12"/>
      <c r="B158" s="12"/>
      <c r="C158" s="12"/>
      <c r="D158" s="12"/>
      <c r="E158" s="12"/>
    </row>
    <row r="159" ht="15.75" customHeight="1">
      <c r="A159" s="12"/>
      <c r="B159" s="12"/>
      <c r="C159" s="12"/>
      <c r="D159" s="12"/>
      <c r="E159" s="12"/>
    </row>
    <row r="160" ht="15.75" customHeight="1">
      <c r="A160" s="12"/>
      <c r="B160" s="12"/>
      <c r="C160" s="12"/>
      <c r="D160" s="12"/>
      <c r="E160" s="12"/>
    </row>
    <row r="161" ht="15.75" customHeight="1">
      <c r="A161" s="12"/>
      <c r="B161" s="12"/>
      <c r="C161" s="12"/>
      <c r="D161" s="12"/>
      <c r="E161" s="12"/>
    </row>
    <row r="162" ht="15.75" customHeight="1">
      <c r="A162" s="12"/>
      <c r="B162" s="12"/>
      <c r="C162" s="12"/>
      <c r="D162" s="12"/>
      <c r="E162" s="12"/>
    </row>
    <row r="163" ht="15.75" customHeight="1">
      <c r="A163" s="12"/>
      <c r="B163" s="12"/>
      <c r="C163" s="12"/>
      <c r="D163" s="12"/>
      <c r="E163" s="12"/>
    </row>
    <row r="164" ht="15.75" customHeight="1">
      <c r="A164" s="12"/>
      <c r="B164" s="12"/>
      <c r="C164" s="12"/>
      <c r="D164" s="12"/>
      <c r="E164" s="12"/>
    </row>
    <row r="165" ht="15.75" customHeight="1">
      <c r="A165" s="12"/>
      <c r="B165" s="12"/>
      <c r="C165" s="12"/>
      <c r="D165" s="12"/>
      <c r="E165" s="12"/>
    </row>
    <row r="166" ht="15.75" customHeight="1">
      <c r="A166" s="12"/>
      <c r="B166" s="12"/>
      <c r="C166" s="12"/>
      <c r="D166" s="12"/>
      <c r="E166" s="12"/>
    </row>
    <row r="167" ht="15.75" customHeight="1">
      <c r="A167" s="12"/>
      <c r="B167" s="12"/>
      <c r="C167" s="12"/>
      <c r="D167" s="12"/>
      <c r="E167" s="12"/>
    </row>
    <row r="168" ht="15.75" customHeight="1">
      <c r="A168" s="12"/>
      <c r="B168" s="12"/>
      <c r="C168" s="12"/>
      <c r="D168" s="12"/>
      <c r="E168" s="12"/>
    </row>
    <row r="169" ht="15.75" customHeight="1">
      <c r="A169" s="12"/>
      <c r="B169" s="12"/>
      <c r="C169" s="12"/>
      <c r="D169" s="12"/>
      <c r="E169" s="12"/>
    </row>
    <row r="170" ht="15.75" customHeight="1">
      <c r="A170" s="12"/>
      <c r="B170" s="12"/>
      <c r="C170" s="12"/>
      <c r="D170" s="12"/>
      <c r="E170" s="12"/>
    </row>
    <row r="171" ht="15.75" customHeight="1">
      <c r="A171" s="12"/>
      <c r="B171" s="12"/>
      <c r="C171" s="12"/>
      <c r="D171" s="12"/>
      <c r="E171" s="12"/>
    </row>
    <row r="172" ht="15.75" customHeight="1">
      <c r="A172" s="12"/>
      <c r="B172" s="12"/>
      <c r="C172" s="12"/>
      <c r="D172" s="12"/>
      <c r="E172" s="12"/>
    </row>
    <row r="173" ht="15.75" customHeight="1">
      <c r="A173" s="12"/>
      <c r="B173" s="12"/>
      <c r="C173" s="12"/>
      <c r="D173" s="12"/>
      <c r="E173" s="12"/>
    </row>
    <row r="174" ht="15.75" customHeight="1">
      <c r="A174" s="12"/>
      <c r="B174" s="12"/>
      <c r="C174" s="12"/>
      <c r="D174" s="12"/>
      <c r="E174" s="12"/>
    </row>
    <row r="175" ht="15.75" customHeight="1">
      <c r="A175" s="12"/>
      <c r="B175" s="12"/>
      <c r="C175" s="12"/>
      <c r="D175" s="12"/>
      <c r="E175" s="12"/>
    </row>
    <row r="176" ht="15.75" customHeight="1">
      <c r="A176" s="12"/>
      <c r="B176" s="12"/>
      <c r="C176" s="12"/>
      <c r="D176" s="12"/>
      <c r="E176" s="12"/>
    </row>
    <row r="177" ht="15.75" customHeight="1">
      <c r="A177" s="12"/>
      <c r="B177" s="12"/>
      <c r="C177" s="12"/>
      <c r="D177" s="12"/>
      <c r="E177" s="12"/>
    </row>
    <row r="178" ht="15.75" customHeight="1">
      <c r="A178" s="12"/>
      <c r="B178" s="12"/>
      <c r="C178" s="12"/>
      <c r="D178" s="12"/>
      <c r="E178" s="12"/>
    </row>
    <row r="179" ht="15.75" customHeight="1">
      <c r="A179" s="12"/>
      <c r="B179" s="12"/>
      <c r="C179" s="12"/>
      <c r="D179" s="12"/>
      <c r="E179" s="12"/>
    </row>
    <row r="180" ht="15.75" customHeight="1">
      <c r="A180" s="12"/>
      <c r="B180" s="12"/>
      <c r="C180" s="12"/>
      <c r="D180" s="12"/>
      <c r="E180" s="12"/>
    </row>
    <row r="181" ht="15.75" customHeight="1">
      <c r="A181" s="12"/>
      <c r="B181" s="12"/>
      <c r="C181" s="12"/>
      <c r="D181" s="12"/>
      <c r="E181" s="12"/>
    </row>
    <row r="182" ht="15.75" customHeight="1">
      <c r="A182" s="12"/>
      <c r="B182" s="12"/>
      <c r="C182" s="12"/>
      <c r="D182" s="12"/>
      <c r="E182" s="12"/>
    </row>
    <row r="183" ht="15.75" customHeight="1">
      <c r="A183" s="12"/>
      <c r="B183" s="12"/>
      <c r="C183" s="12"/>
      <c r="D183" s="12"/>
      <c r="E183" s="12"/>
    </row>
    <row r="184" ht="15.75" customHeight="1">
      <c r="A184" s="12"/>
      <c r="B184" s="12"/>
      <c r="C184" s="12"/>
      <c r="D184" s="12"/>
      <c r="E184" s="12"/>
    </row>
    <row r="185" ht="15.75" customHeight="1">
      <c r="A185" s="12"/>
      <c r="B185" s="12"/>
      <c r="C185" s="12"/>
      <c r="D185" s="12"/>
      <c r="E185" s="12"/>
    </row>
    <row r="186" ht="15.75" customHeight="1">
      <c r="A186" s="12"/>
      <c r="B186" s="12"/>
      <c r="C186" s="12"/>
      <c r="D186" s="12"/>
      <c r="E186" s="12"/>
    </row>
    <row r="187" ht="15.75" customHeight="1">
      <c r="A187" s="12"/>
      <c r="B187" s="12"/>
      <c r="C187" s="12"/>
      <c r="D187" s="12"/>
      <c r="E187" s="12"/>
    </row>
    <row r="188" ht="15.75" customHeight="1">
      <c r="A188" s="12"/>
      <c r="B188" s="12"/>
      <c r="C188" s="12"/>
      <c r="D188" s="12"/>
      <c r="E188" s="12"/>
    </row>
    <row r="189" ht="15.75" customHeight="1">
      <c r="A189" s="12"/>
      <c r="B189" s="12"/>
      <c r="C189" s="12"/>
      <c r="D189" s="12"/>
      <c r="E189" s="12"/>
    </row>
    <row r="190" ht="15.75" customHeight="1">
      <c r="A190" s="12"/>
      <c r="B190" s="12"/>
      <c r="C190" s="12"/>
      <c r="D190" s="12"/>
      <c r="E190" s="12"/>
    </row>
    <row r="191" ht="15.75" customHeight="1">
      <c r="A191" s="12"/>
      <c r="B191" s="12"/>
      <c r="C191" s="12"/>
      <c r="D191" s="12"/>
      <c r="E191" s="12"/>
    </row>
    <row r="192" ht="15.75" customHeight="1">
      <c r="A192" s="12"/>
      <c r="B192" s="12"/>
      <c r="C192" s="12"/>
      <c r="D192" s="12"/>
      <c r="E192" s="12"/>
    </row>
    <row r="193" ht="15.75" customHeight="1">
      <c r="A193" s="12"/>
      <c r="B193" s="12"/>
      <c r="C193" s="12"/>
      <c r="D193" s="12"/>
      <c r="E193" s="12"/>
    </row>
    <row r="194" ht="15.75" customHeight="1">
      <c r="A194" s="12"/>
      <c r="B194" s="12"/>
      <c r="C194" s="12"/>
      <c r="D194" s="12"/>
      <c r="E194" s="12"/>
    </row>
    <row r="195" ht="15.75" customHeight="1">
      <c r="A195" s="12"/>
      <c r="B195" s="12"/>
      <c r="C195" s="12"/>
      <c r="D195" s="12"/>
      <c r="E195" s="12"/>
    </row>
    <row r="196" ht="15.75" customHeight="1">
      <c r="A196" s="12"/>
      <c r="B196" s="12"/>
      <c r="C196" s="12"/>
      <c r="D196" s="12"/>
      <c r="E196" s="12"/>
    </row>
    <row r="197" ht="15.75" customHeight="1">
      <c r="A197" s="12"/>
      <c r="B197" s="12"/>
      <c r="C197" s="12"/>
      <c r="D197" s="12"/>
      <c r="E197" s="12"/>
    </row>
    <row r="198" ht="15.75" customHeight="1">
      <c r="A198" s="12"/>
      <c r="B198" s="12"/>
      <c r="C198" s="12"/>
      <c r="D198" s="12"/>
      <c r="E198" s="12"/>
    </row>
    <row r="199" ht="15.75" customHeight="1">
      <c r="A199" s="12"/>
      <c r="B199" s="12"/>
      <c r="C199" s="12"/>
      <c r="D199" s="12"/>
      <c r="E199" s="12"/>
    </row>
    <row r="200" ht="15.75" customHeight="1">
      <c r="A200" s="12"/>
      <c r="B200" s="12"/>
      <c r="C200" s="12"/>
      <c r="D200" s="12"/>
      <c r="E200" s="12"/>
    </row>
    <row r="201" ht="15.75" customHeight="1">
      <c r="A201" s="12"/>
      <c r="B201" s="12"/>
      <c r="C201" s="12"/>
      <c r="D201" s="12"/>
      <c r="E201" s="12"/>
    </row>
    <row r="202" ht="15.75" customHeight="1">
      <c r="A202" s="12"/>
      <c r="B202" s="12"/>
      <c r="C202" s="12"/>
      <c r="D202" s="12"/>
      <c r="E202" s="12"/>
    </row>
    <row r="203" ht="15.75" customHeight="1">
      <c r="A203" s="12"/>
      <c r="B203" s="12"/>
      <c r="C203" s="12"/>
      <c r="D203" s="12"/>
      <c r="E203" s="12"/>
    </row>
    <row r="204" ht="15.75" customHeight="1">
      <c r="A204" s="12"/>
      <c r="B204" s="12"/>
      <c r="C204" s="12"/>
      <c r="D204" s="12"/>
      <c r="E204" s="12"/>
    </row>
    <row r="205" ht="15.75" customHeight="1">
      <c r="A205" s="12"/>
      <c r="B205" s="12"/>
      <c r="C205" s="12"/>
      <c r="D205" s="12"/>
      <c r="E205" s="12"/>
    </row>
    <row r="206" ht="15.75" customHeight="1">
      <c r="A206" s="12"/>
      <c r="B206" s="12"/>
      <c r="C206" s="12"/>
      <c r="D206" s="12"/>
      <c r="E206" s="12"/>
    </row>
    <row r="207" ht="15.75" customHeight="1">
      <c r="A207" s="12"/>
      <c r="B207" s="12"/>
      <c r="C207" s="12"/>
      <c r="D207" s="12"/>
      <c r="E207" s="12"/>
    </row>
    <row r="208" ht="15.75" customHeight="1">
      <c r="A208" s="12"/>
      <c r="B208" s="12"/>
      <c r="C208" s="12"/>
      <c r="D208" s="12"/>
      <c r="E208" s="12"/>
    </row>
    <row r="209" ht="15.75" customHeight="1">
      <c r="A209" s="12"/>
      <c r="B209" s="12"/>
      <c r="C209" s="12"/>
      <c r="D209" s="12"/>
      <c r="E209" s="12"/>
    </row>
    <row r="210" ht="15.75" customHeight="1">
      <c r="A210" s="12"/>
      <c r="B210" s="12"/>
      <c r="C210" s="12"/>
      <c r="D210" s="12"/>
      <c r="E210" s="12"/>
    </row>
    <row r="211" ht="15.75" customHeight="1">
      <c r="A211" s="12"/>
      <c r="B211" s="12"/>
      <c r="C211" s="12"/>
      <c r="D211" s="12"/>
      <c r="E211" s="12"/>
    </row>
    <row r="212" ht="15.75" customHeight="1">
      <c r="A212" s="12"/>
      <c r="B212" s="12"/>
      <c r="C212" s="12"/>
      <c r="D212" s="12"/>
      <c r="E212" s="12"/>
    </row>
    <row r="213" ht="15.75" customHeight="1">
      <c r="A213" s="12"/>
      <c r="B213" s="12"/>
      <c r="C213" s="12"/>
      <c r="D213" s="12"/>
      <c r="E213" s="12"/>
    </row>
    <row r="214" ht="15.75" customHeight="1">
      <c r="A214" s="12"/>
      <c r="B214" s="12"/>
      <c r="C214" s="12"/>
      <c r="D214" s="12"/>
      <c r="E214" s="12"/>
    </row>
    <row r="215" ht="15.75" customHeight="1">
      <c r="A215" s="12"/>
      <c r="B215" s="12"/>
      <c r="C215" s="12"/>
      <c r="D215" s="12"/>
      <c r="E215" s="12"/>
    </row>
    <row r="216" ht="15.75" customHeight="1">
      <c r="A216" s="12"/>
      <c r="B216" s="12"/>
      <c r="C216" s="12"/>
      <c r="D216" s="12"/>
      <c r="E216" s="12"/>
    </row>
    <row r="217" ht="15.75" customHeight="1">
      <c r="A217" s="12"/>
      <c r="B217" s="12"/>
      <c r="C217" s="12"/>
      <c r="D217" s="12"/>
      <c r="E217" s="12"/>
    </row>
    <row r="218" ht="15.75" customHeight="1">
      <c r="A218" s="12"/>
      <c r="B218" s="12"/>
      <c r="C218" s="12"/>
      <c r="D218" s="12"/>
      <c r="E218" s="12"/>
    </row>
    <row r="219" ht="15.75" customHeight="1">
      <c r="A219" s="12"/>
      <c r="B219" s="12"/>
      <c r="C219" s="12"/>
      <c r="D219" s="12"/>
      <c r="E219" s="12"/>
    </row>
    <row r="220" ht="15.75" customHeight="1">
      <c r="A220" s="12"/>
      <c r="B220" s="12"/>
      <c r="C220" s="12"/>
      <c r="D220" s="12"/>
      <c r="E220" s="12"/>
    </row>
    <row r="221" ht="15.75" customHeight="1">
      <c r="A221" s="12"/>
      <c r="B221" s="12"/>
      <c r="C221" s="12"/>
      <c r="D221" s="12"/>
      <c r="E221" s="12"/>
    </row>
    <row r="222" ht="15.75" customHeight="1">
      <c r="A222" s="12"/>
      <c r="B222" s="12"/>
      <c r="C222" s="12"/>
      <c r="D222" s="12"/>
      <c r="E222" s="12"/>
    </row>
    <row r="223" ht="15.75" customHeight="1">
      <c r="A223" s="12"/>
      <c r="B223" s="12"/>
      <c r="C223" s="12"/>
      <c r="D223" s="12"/>
      <c r="E223" s="12"/>
    </row>
    <row r="224" ht="15.75" customHeight="1">
      <c r="A224" s="12"/>
      <c r="B224" s="12"/>
      <c r="C224" s="12"/>
      <c r="D224" s="12"/>
      <c r="E224" s="12"/>
    </row>
    <row r="225" ht="15.75" customHeight="1">
      <c r="A225" s="12"/>
      <c r="B225" s="12"/>
      <c r="C225" s="12"/>
      <c r="D225" s="12"/>
      <c r="E225" s="12"/>
    </row>
    <row r="226" ht="15.75" customHeight="1">
      <c r="A226" s="12"/>
      <c r="B226" s="12"/>
      <c r="C226" s="12"/>
      <c r="D226" s="12"/>
      <c r="E226" s="12"/>
    </row>
    <row r="227" ht="15.75" customHeight="1">
      <c r="A227" s="12"/>
      <c r="B227" s="12"/>
      <c r="C227" s="12"/>
      <c r="D227" s="12"/>
      <c r="E227" s="12"/>
    </row>
    <row r="228" ht="15.75" customHeight="1">
      <c r="A228" s="12"/>
      <c r="B228" s="12"/>
      <c r="C228" s="12"/>
      <c r="D228" s="12"/>
      <c r="E228" s="12"/>
    </row>
    <row r="229" ht="15.75" customHeight="1">
      <c r="A229" s="12"/>
      <c r="B229" s="12"/>
      <c r="C229" s="12"/>
      <c r="D229" s="12"/>
      <c r="E229" s="12"/>
    </row>
    <row r="230" ht="15.75" customHeight="1">
      <c r="A230" s="12"/>
      <c r="B230" s="12"/>
      <c r="C230" s="12"/>
      <c r="D230" s="12"/>
      <c r="E230" s="12"/>
    </row>
    <row r="231" ht="15.75" customHeight="1">
      <c r="A231" s="12"/>
      <c r="B231" s="12"/>
      <c r="C231" s="12"/>
      <c r="D231" s="12"/>
      <c r="E231" s="12"/>
    </row>
    <row r="232" ht="15.75" customHeight="1">
      <c r="A232" s="12"/>
      <c r="B232" s="12"/>
      <c r="C232" s="12"/>
      <c r="D232" s="12"/>
      <c r="E232" s="12"/>
    </row>
    <row r="233" ht="15.75" customHeight="1">
      <c r="A233" s="12"/>
      <c r="B233" s="12"/>
      <c r="C233" s="12"/>
      <c r="D233" s="12"/>
      <c r="E233" s="12"/>
    </row>
    <row r="234" ht="15.75" customHeight="1">
      <c r="A234" s="12"/>
      <c r="B234" s="12"/>
      <c r="C234" s="12"/>
      <c r="D234" s="12"/>
      <c r="E234" s="12"/>
    </row>
    <row r="235" ht="15.75" customHeight="1">
      <c r="A235" s="12"/>
      <c r="B235" s="12"/>
      <c r="C235" s="12"/>
      <c r="D235" s="12"/>
      <c r="E235" s="12"/>
    </row>
    <row r="236" ht="15.75" customHeight="1">
      <c r="A236" s="12"/>
      <c r="B236" s="12"/>
      <c r="C236" s="12"/>
      <c r="D236" s="12"/>
      <c r="E236" s="12"/>
    </row>
    <row r="237" ht="15.75" customHeight="1">
      <c r="A237" s="12"/>
      <c r="B237" s="12"/>
      <c r="C237" s="12"/>
      <c r="D237" s="12"/>
      <c r="E237" s="12"/>
    </row>
    <row r="238" ht="15.75" customHeight="1">
      <c r="A238" s="12"/>
      <c r="B238" s="12"/>
      <c r="C238" s="12"/>
      <c r="D238" s="12"/>
      <c r="E238" s="12"/>
    </row>
    <row r="239" ht="15.75" customHeight="1">
      <c r="A239" s="12"/>
      <c r="B239" s="12"/>
      <c r="C239" s="12"/>
      <c r="D239" s="12"/>
      <c r="E239" s="12"/>
    </row>
    <row r="240" ht="15.75" customHeight="1">
      <c r="A240" s="12"/>
      <c r="B240" s="12"/>
      <c r="C240" s="12"/>
      <c r="D240" s="12"/>
      <c r="E240" s="12"/>
    </row>
    <row r="241" ht="15.75" customHeight="1">
      <c r="A241" s="12"/>
      <c r="B241" s="12"/>
      <c r="C241" s="12"/>
      <c r="D241" s="12"/>
      <c r="E241" s="12"/>
    </row>
    <row r="242" ht="15.75" customHeight="1">
      <c r="A242" s="12"/>
      <c r="B242" s="12"/>
      <c r="C242" s="12"/>
      <c r="D242" s="12"/>
      <c r="E242" s="12"/>
    </row>
    <row r="243" ht="15.75" customHeight="1">
      <c r="A243" s="12"/>
      <c r="B243" s="12"/>
      <c r="C243" s="12"/>
      <c r="D243" s="12"/>
      <c r="E243" s="12"/>
    </row>
    <row r="244" ht="15.75" customHeight="1">
      <c r="A244" s="12"/>
      <c r="B244" s="12"/>
      <c r="C244" s="12"/>
      <c r="D244" s="12"/>
      <c r="E244" s="12"/>
    </row>
    <row r="245" ht="15.75" customHeight="1">
      <c r="A245" s="12"/>
      <c r="B245" s="12"/>
      <c r="C245" s="12"/>
      <c r="D245" s="12"/>
      <c r="E245" s="12"/>
    </row>
    <row r="246" ht="15.75" customHeight="1">
      <c r="A246" s="12"/>
      <c r="B246" s="12"/>
      <c r="C246" s="12"/>
      <c r="D246" s="12"/>
      <c r="E246" s="12"/>
    </row>
    <row r="247" ht="15.75" customHeight="1">
      <c r="A247" s="12"/>
      <c r="B247" s="12"/>
      <c r="C247" s="12"/>
      <c r="D247" s="12"/>
      <c r="E247" s="12"/>
    </row>
    <row r="248" ht="15.75" customHeight="1">
      <c r="A248" s="12"/>
      <c r="B248" s="12"/>
      <c r="C248" s="12"/>
      <c r="D248" s="12"/>
      <c r="E248" s="12"/>
    </row>
    <row r="249" ht="15.75" customHeight="1">
      <c r="A249" s="12"/>
      <c r="B249" s="12"/>
      <c r="C249" s="12"/>
      <c r="D249" s="12"/>
      <c r="E249" s="12"/>
    </row>
    <row r="250" ht="15.75" customHeight="1">
      <c r="A250" s="12"/>
      <c r="B250" s="12"/>
      <c r="C250" s="12"/>
      <c r="D250" s="12"/>
      <c r="E250" s="12"/>
    </row>
    <row r="251" ht="15.75" customHeight="1">
      <c r="A251" s="12"/>
      <c r="B251" s="12"/>
      <c r="C251" s="12"/>
      <c r="D251" s="12"/>
      <c r="E251" s="12"/>
    </row>
    <row r="252" ht="15.75" customHeight="1">
      <c r="A252" s="12"/>
      <c r="B252" s="12"/>
      <c r="C252" s="12"/>
      <c r="D252" s="12"/>
      <c r="E252" s="12"/>
    </row>
    <row r="253" ht="15.75" customHeight="1">
      <c r="A253" s="12"/>
      <c r="B253" s="12"/>
      <c r="C253" s="12"/>
      <c r="D253" s="12"/>
      <c r="E253" s="12"/>
    </row>
    <row r="254" ht="15.75" customHeight="1">
      <c r="A254" s="12"/>
      <c r="B254" s="12"/>
      <c r="C254" s="12"/>
      <c r="D254" s="12"/>
      <c r="E254" s="12"/>
    </row>
    <row r="255" ht="15.75" customHeight="1">
      <c r="A255" s="12"/>
      <c r="B255" s="12"/>
      <c r="C255" s="12"/>
      <c r="D255" s="12"/>
      <c r="E255" s="12"/>
    </row>
    <row r="256" ht="15.75" customHeight="1">
      <c r="A256" s="12"/>
      <c r="B256" s="12"/>
      <c r="C256" s="12"/>
      <c r="D256" s="12"/>
      <c r="E256" s="12"/>
    </row>
    <row r="257" ht="15.75" customHeight="1">
      <c r="A257" s="12"/>
      <c r="B257" s="12"/>
      <c r="C257" s="12"/>
      <c r="D257" s="12"/>
      <c r="E257" s="12"/>
    </row>
    <row r="258" ht="15.75" customHeight="1">
      <c r="A258" s="12"/>
      <c r="B258" s="12"/>
      <c r="C258" s="12"/>
      <c r="D258" s="12"/>
      <c r="E258" s="12"/>
    </row>
    <row r="259" ht="15.75" customHeight="1">
      <c r="A259" s="12"/>
      <c r="B259" s="12"/>
      <c r="C259" s="12"/>
      <c r="D259" s="12"/>
      <c r="E259" s="12"/>
    </row>
    <row r="260" ht="15.75" customHeight="1">
      <c r="A260" s="12"/>
      <c r="B260" s="12"/>
      <c r="C260" s="12"/>
      <c r="D260" s="12"/>
      <c r="E260" s="12"/>
    </row>
    <row r="261" ht="15.75" customHeight="1">
      <c r="A261" s="12"/>
      <c r="B261" s="12"/>
      <c r="C261" s="12"/>
      <c r="D261" s="12"/>
      <c r="E261" s="12"/>
    </row>
    <row r="262" ht="15.75" customHeight="1">
      <c r="A262" s="12"/>
      <c r="B262" s="12"/>
      <c r="C262" s="12"/>
      <c r="D262" s="12"/>
      <c r="E262" s="12"/>
    </row>
    <row r="263" ht="15.75" customHeight="1">
      <c r="A263" s="12"/>
      <c r="B263" s="12"/>
      <c r="C263" s="12"/>
      <c r="D263" s="12"/>
      <c r="E263" s="12"/>
    </row>
    <row r="264" ht="15.75" customHeight="1">
      <c r="A264" s="12"/>
      <c r="B264" s="12"/>
      <c r="C264" s="12"/>
      <c r="D264" s="12"/>
      <c r="E264" s="12"/>
    </row>
    <row r="265" ht="15.75" customHeight="1">
      <c r="A265" s="12"/>
      <c r="B265" s="12"/>
      <c r="C265" s="12"/>
      <c r="D265" s="12"/>
      <c r="E265" s="12"/>
    </row>
    <row r="266" ht="15.75" customHeight="1">
      <c r="A266" s="12"/>
      <c r="B266" s="12"/>
      <c r="C266" s="12"/>
      <c r="D266" s="12"/>
      <c r="E266" s="12"/>
    </row>
    <row r="267" ht="15.75" customHeight="1">
      <c r="A267" s="12"/>
      <c r="B267" s="12"/>
      <c r="C267" s="12"/>
      <c r="D267" s="12"/>
      <c r="E267" s="12"/>
    </row>
    <row r="268" ht="15.75" customHeight="1">
      <c r="A268" s="12"/>
      <c r="B268" s="12"/>
      <c r="C268" s="12"/>
      <c r="D268" s="12"/>
      <c r="E268" s="12"/>
    </row>
    <row r="269" ht="15.75" customHeight="1">
      <c r="A269" s="12"/>
      <c r="B269" s="12"/>
      <c r="C269" s="12"/>
      <c r="D269" s="12"/>
      <c r="E269" s="12"/>
    </row>
    <row r="270" ht="15.75" customHeight="1">
      <c r="A270" s="12"/>
      <c r="B270" s="12"/>
      <c r="C270" s="12"/>
      <c r="D270" s="12"/>
      <c r="E270" s="12"/>
    </row>
    <row r="271" ht="15.75" customHeight="1">
      <c r="A271" s="12"/>
      <c r="B271" s="12"/>
      <c r="C271" s="12"/>
      <c r="D271" s="12"/>
      <c r="E271" s="12"/>
    </row>
    <row r="272" ht="15.75" customHeight="1">
      <c r="A272" s="12"/>
      <c r="B272" s="12"/>
      <c r="C272" s="12"/>
      <c r="D272" s="12"/>
      <c r="E272" s="12"/>
    </row>
    <row r="273" ht="15.75" customHeight="1">
      <c r="A273" s="12"/>
      <c r="B273" s="12"/>
      <c r="C273" s="12"/>
      <c r="D273" s="12"/>
      <c r="E273" s="12"/>
    </row>
    <row r="274" ht="15.75" customHeight="1">
      <c r="A274" s="12"/>
      <c r="B274" s="12"/>
      <c r="C274" s="12"/>
      <c r="D274" s="12"/>
      <c r="E274" s="12"/>
    </row>
    <row r="275" ht="15.75" customHeight="1">
      <c r="A275" s="12"/>
      <c r="B275" s="12"/>
      <c r="C275" s="12"/>
      <c r="D275" s="12"/>
      <c r="E275" s="12"/>
    </row>
    <row r="276" ht="15.75" customHeight="1">
      <c r="A276" s="12"/>
      <c r="B276" s="12"/>
      <c r="C276" s="12"/>
      <c r="D276" s="12"/>
      <c r="E276" s="12"/>
    </row>
    <row r="277" ht="15.75" customHeight="1">
      <c r="A277" s="12"/>
      <c r="B277" s="12"/>
      <c r="C277" s="12"/>
      <c r="D277" s="12"/>
      <c r="E277" s="12"/>
    </row>
    <row r="278" ht="15.75" customHeight="1">
      <c r="A278" s="12"/>
      <c r="B278" s="12"/>
      <c r="C278" s="12"/>
      <c r="D278" s="12"/>
      <c r="E278" s="12"/>
    </row>
    <row r="279" ht="15.75" customHeight="1">
      <c r="A279" s="12"/>
      <c r="B279" s="12"/>
      <c r="C279" s="12"/>
      <c r="D279" s="12"/>
      <c r="E279" s="12"/>
    </row>
    <row r="280" ht="15.75" customHeight="1">
      <c r="A280" s="12"/>
      <c r="B280" s="12"/>
      <c r="C280" s="12"/>
      <c r="D280" s="12"/>
      <c r="E280" s="12"/>
    </row>
    <row r="281" ht="15.75" customHeight="1">
      <c r="A281" s="12"/>
      <c r="B281" s="12"/>
      <c r="C281" s="12"/>
      <c r="D281" s="12"/>
      <c r="E281" s="12"/>
    </row>
    <row r="282" ht="15.75" customHeight="1">
      <c r="A282" s="12"/>
      <c r="B282" s="12"/>
      <c r="C282" s="12"/>
      <c r="D282" s="12"/>
      <c r="E282" s="12"/>
    </row>
    <row r="283" ht="15.75" customHeight="1">
      <c r="A283" s="12"/>
      <c r="B283" s="12"/>
      <c r="C283" s="12"/>
      <c r="D283" s="12"/>
      <c r="E283" s="12"/>
    </row>
    <row r="284" ht="15.75" customHeight="1">
      <c r="A284" s="12"/>
      <c r="B284" s="12"/>
      <c r="C284" s="12"/>
      <c r="D284" s="12"/>
      <c r="E284" s="12"/>
    </row>
    <row r="285" ht="15.75" customHeight="1">
      <c r="A285" s="12"/>
      <c r="B285" s="12"/>
      <c r="C285" s="12"/>
      <c r="D285" s="12"/>
      <c r="E285" s="12"/>
    </row>
    <row r="286" ht="15.75" customHeight="1">
      <c r="A286" s="12"/>
      <c r="B286" s="12"/>
      <c r="C286" s="12"/>
      <c r="D286" s="12"/>
      <c r="E286" s="12"/>
    </row>
    <row r="287" ht="15.75" customHeight="1">
      <c r="A287" s="12"/>
      <c r="B287" s="12"/>
      <c r="C287" s="12"/>
      <c r="D287" s="12"/>
      <c r="E287" s="12"/>
    </row>
    <row r="288" ht="15.75" customHeight="1">
      <c r="A288" s="12"/>
      <c r="B288" s="12"/>
      <c r="C288" s="12"/>
      <c r="D288" s="12"/>
      <c r="E288" s="12"/>
    </row>
    <row r="289" ht="15.75" customHeight="1">
      <c r="A289" s="12"/>
      <c r="B289" s="12"/>
      <c r="C289" s="12"/>
      <c r="D289" s="12"/>
      <c r="E289" s="12"/>
    </row>
    <row r="290" ht="15.75" customHeight="1">
      <c r="A290" s="12"/>
      <c r="B290" s="12"/>
      <c r="C290" s="12"/>
      <c r="D290" s="12"/>
      <c r="E290" s="12"/>
    </row>
    <row r="291" ht="15.75" customHeight="1">
      <c r="A291" s="12"/>
      <c r="B291" s="12"/>
      <c r="C291" s="12"/>
      <c r="D291" s="12"/>
      <c r="E291" s="12"/>
    </row>
    <row r="292" ht="15.75" customHeight="1">
      <c r="A292" s="12"/>
      <c r="B292" s="12"/>
      <c r="C292" s="12"/>
      <c r="D292" s="12"/>
      <c r="E292" s="12"/>
    </row>
    <row r="293" ht="15.75" customHeight="1">
      <c r="A293" s="12"/>
      <c r="B293" s="12"/>
      <c r="C293" s="12"/>
      <c r="D293" s="12"/>
      <c r="E293" s="12"/>
    </row>
    <row r="294" ht="15.75" customHeight="1">
      <c r="A294" s="12"/>
      <c r="B294" s="12"/>
      <c r="C294" s="12"/>
      <c r="D294" s="12"/>
      <c r="E294" s="12"/>
    </row>
    <row r="295" ht="15.75" customHeight="1">
      <c r="A295" s="12"/>
      <c r="B295" s="12"/>
      <c r="C295" s="12"/>
      <c r="D295" s="12"/>
      <c r="E295" s="12"/>
    </row>
    <row r="296" ht="15.75" customHeight="1">
      <c r="A296" s="12"/>
      <c r="B296" s="12"/>
      <c r="C296" s="12"/>
      <c r="D296" s="12"/>
      <c r="E296" s="12"/>
    </row>
    <row r="297" ht="15.75" customHeight="1">
      <c r="A297" s="12"/>
      <c r="B297" s="12"/>
      <c r="C297" s="12"/>
      <c r="D297" s="12"/>
      <c r="E297" s="12"/>
    </row>
    <row r="298" ht="15.75" customHeight="1">
      <c r="A298" s="12"/>
      <c r="B298" s="12"/>
      <c r="C298" s="12"/>
      <c r="D298" s="12"/>
      <c r="E298" s="12"/>
    </row>
    <row r="299" ht="15.75" customHeight="1">
      <c r="A299" s="12"/>
      <c r="B299" s="12"/>
      <c r="C299" s="12"/>
      <c r="D299" s="12"/>
      <c r="E299" s="12"/>
    </row>
    <row r="300" ht="15.75" customHeight="1">
      <c r="A300" s="12"/>
      <c r="B300" s="12"/>
      <c r="C300" s="12"/>
      <c r="D300" s="12"/>
      <c r="E300" s="12"/>
    </row>
    <row r="301" ht="15.75" customHeight="1">
      <c r="A301" s="12"/>
      <c r="B301" s="12"/>
      <c r="C301" s="12"/>
      <c r="D301" s="12"/>
      <c r="E301" s="12"/>
    </row>
    <row r="302" ht="15.75" customHeight="1">
      <c r="A302" s="12"/>
      <c r="B302" s="12"/>
      <c r="C302" s="12"/>
      <c r="D302" s="12"/>
      <c r="E302" s="12"/>
    </row>
    <row r="303" ht="15.75" customHeight="1">
      <c r="A303" s="12"/>
      <c r="B303" s="12"/>
      <c r="C303" s="12"/>
      <c r="D303" s="12"/>
      <c r="E303" s="12"/>
    </row>
    <row r="304" ht="15.75" customHeight="1">
      <c r="A304" s="12"/>
      <c r="B304" s="12"/>
      <c r="C304" s="12"/>
      <c r="D304" s="12"/>
      <c r="E304" s="12"/>
    </row>
    <row r="305" ht="15.75" customHeight="1">
      <c r="A305" s="12"/>
      <c r="B305" s="12"/>
      <c r="C305" s="12"/>
      <c r="D305" s="12"/>
      <c r="E305" s="12"/>
    </row>
    <row r="306" ht="15.75" customHeight="1">
      <c r="A306" s="12"/>
      <c r="B306" s="12"/>
      <c r="C306" s="12"/>
      <c r="D306" s="12"/>
      <c r="E306" s="12"/>
    </row>
    <row r="307" ht="15.75" customHeight="1">
      <c r="A307" s="12"/>
      <c r="B307" s="12"/>
      <c r="C307" s="12"/>
      <c r="D307" s="12"/>
      <c r="E307" s="12"/>
    </row>
    <row r="308" ht="15.75" customHeight="1">
      <c r="A308" s="12"/>
      <c r="B308" s="12"/>
      <c r="C308" s="12"/>
      <c r="D308" s="12"/>
      <c r="E308" s="12"/>
    </row>
    <row r="309" ht="15.75" customHeight="1">
      <c r="A309" s="12"/>
      <c r="B309" s="12"/>
      <c r="C309" s="12"/>
      <c r="D309" s="12"/>
      <c r="E309" s="12"/>
    </row>
    <row r="310" ht="15.75" customHeight="1">
      <c r="A310" s="12"/>
      <c r="B310" s="12"/>
      <c r="C310" s="12"/>
      <c r="D310" s="12"/>
      <c r="E310" s="12"/>
    </row>
    <row r="311" ht="15.75" customHeight="1">
      <c r="A311" s="12"/>
      <c r="B311" s="12"/>
      <c r="C311" s="12"/>
      <c r="D311" s="12"/>
      <c r="E311" s="12"/>
    </row>
    <row r="312" ht="15.75" customHeight="1">
      <c r="A312" s="12"/>
      <c r="B312" s="12"/>
      <c r="C312" s="12"/>
      <c r="D312" s="12"/>
      <c r="E312" s="12"/>
    </row>
    <row r="313" ht="15.75" customHeight="1">
      <c r="A313" s="12"/>
      <c r="B313" s="12"/>
      <c r="C313" s="12"/>
      <c r="D313" s="12"/>
      <c r="E313" s="12"/>
    </row>
    <row r="314" ht="15.75" customHeight="1">
      <c r="A314" s="12"/>
      <c r="B314" s="12"/>
      <c r="C314" s="12"/>
      <c r="D314" s="12"/>
      <c r="E314" s="12"/>
    </row>
    <row r="315" ht="15.75" customHeight="1">
      <c r="A315" s="12"/>
      <c r="B315" s="12"/>
      <c r="C315" s="12"/>
      <c r="D315" s="12"/>
      <c r="E315" s="12"/>
    </row>
    <row r="316" ht="15.75" customHeight="1">
      <c r="A316" s="12"/>
      <c r="B316" s="12"/>
      <c r="C316" s="12"/>
      <c r="D316" s="12"/>
      <c r="E316" s="12"/>
    </row>
    <row r="317" ht="15.75" customHeight="1">
      <c r="A317" s="12"/>
      <c r="B317" s="12"/>
      <c r="C317" s="12"/>
      <c r="D317" s="12"/>
      <c r="E317" s="12"/>
    </row>
    <row r="318" ht="15.75" customHeight="1">
      <c r="A318" s="12"/>
      <c r="B318" s="12"/>
      <c r="C318" s="12"/>
      <c r="D318" s="12"/>
      <c r="E318" s="12"/>
    </row>
    <row r="319" ht="15.75" customHeight="1">
      <c r="A319" s="12"/>
      <c r="B319" s="12"/>
      <c r="C319" s="12"/>
      <c r="D319" s="12"/>
      <c r="E319" s="12"/>
    </row>
    <row r="320" ht="15.75" customHeight="1">
      <c r="A320" s="12"/>
      <c r="B320" s="12"/>
      <c r="C320" s="12"/>
      <c r="D320" s="12"/>
      <c r="E320" s="12"/>
    </row>
    <row r="321" ht="15.75" customHeight="1">
      <c r="A321" s="12"/>
      <c r="B321" s="12"/>
      <c r="C321" s="12"/>
      <c r="D321" s="12"/>
      <c r="E321" s="12"/>
    </row>
    <row r="322" ht="15.75" customHeight="1">
      <c r="A322" s="12"/>
      <c r="B322" s="12"/>
      <c r="C322" s="12"/>
      <c r="D322" s="12"/>
      <c r="E322" s="12"/>
    </row>
    <row r="323" ht="15.75" customHeight="1">
      <c r="A323" s="12"/>
      <c r="B323" s="12"/>
      <c r="C323" s="12"/>
      <c r="D323" s="12"/>
      <c r="E323" s="12"/>
    </row>
    <row r="324" ht="15.75" customHeight="1">
      <c r="A324" s="12"/>
      <c r="B324" s="12"/>
      <c r="C324" s="12"/>
      <c r="D324" s="12"/>
      <c r="E324" s="12"/>
    </row>
    <row r="325" ht="15.75" customHeight="1">
      <c r="A325" s="12"/>
      <c r="B325" s="12"/>
      <c r="C325" s="12"/>
      <c r="D325" s="12"/>
      <c r="E325" s="12"/>
    </row>
    <row r="326" ht="15.75" customHeight="1">
      <c r="A326" s="12"/>
      <c r="B326" s="12"/>
      <c r="C326" s="12"/>
      <c r="D326" s="12"/>
      <c r="E326" s="12"/>
    </row>
    <row r="327" ht="15.75" customHeight="1">
      <c r="A327" s="12"/>
      <c r="B327" s="12"/>
      <c r="C327" s="12"/>
      <c r="D327" s="12"/>
      <c r="E327" s="12"/>
    </row>
    <row r="328" ht="15.75" customHeight="1">
      <c r="A328" s="12"/>
      <c r="B328" s="12"/>
      <c r="C328" s="12"/>
      <c r="D328" s="12"/>
      <c r="E328" s="12"/>
    </row>
    <row r="329" ht="15.75" customHeight="1">
      <c r="A329" s="12"/>
      <c r="B329" s="12"/>
      <c r="C329" s="12"/>
      <c r="D329" s="12"/>
      <c r="E329" s="12"/>
    </row>
    <row r="330" ht="15.75" customHeight="1">
      <c r="A330" s="12"/>
      <c r="B330" s="12"/>
      <c r="C330" s="12"/>
      <c r="D330" s="12"/>
      <c r="E330" s="12"/>
    </row>
    <row r="331" ht="15.75" customHeight="1">
      <c r="A331" s="12"/>
      <c r="B331" s="12"/>
      <c r="C331" s="12"/>
      <c r="D331" s="12"/>
      <c r="E331" s="12"/>
    </row>
    <row r="332" ht="15.75" customHeight="1">
      <c r="A332" s="12"/>
      <c r="B332" s="12"/>
      <c r="C332" s="12"/>
      <c r="D332" s="12"/>
      <c r="E332" s="12"/>
    </row>
    <row r="333" ht="15.75" customHeight="1">
      <c r="A333" s="12"/>
      <c r="B333" s="12"/>
      <c r="C333" s="12"/>
      <c r="D333" s="12"/>
      <c r="E333" s="12"/>
    </row>
    <row r="334" ht="15.75" customHeight="1">
      <c r="A334" s="12"/>
      <c r="B334" s="12"/>
      <c r="C334" s="12"/>
      <c r="D334" s="12"/>
      <c r="E334" s="12"/>
    </row>
    <row r="335" ht="15.75" customHeight="1">
      <c r="A335" s="12"/>
      <c r="B335" s="12"/>
      <c r="C335" s="12"/>
      <c r="D335" s="12"/>
      <c r="E335" s="12"/>
    </row>
    <row r="336" ht="15.75" customHeight="1">
      <c r="A336" s="12"/>
      <c r="B336" s="12"/>
      <c r="C336" s="12"/>
      <c r="D336" s="12"/>
      <c r="E336" s="12"/>
    </row>
    <row r="337" ht="15.75" customHeight="1">
      <c r="A337" s="12"/>
      <c r="B337" s="12"/>
      <c r="C337" s="12"/>
      <c r="D337" s="12"/>
      <c r="E337" s="12"/>
    </row>
    <row r="338" ht="15.75" customHeight="1">
      <c r="A338" s="12"/>
      <c r="B338" s="12"/>
      <c r="C338" s="12"/>
      <c r="D338" s="12"/>
      <c r="E338" s="12"/>
    </row>
    <row r="339" ht="15.75" customHeight="1">
      <c r="A339" s="12"/>
      <c r="B339" s="12"/>
      <c r="C339" s="12"/>
      <c r="D339" s="12"/>
      <c r="E339" s="12"/>
    </row>
    <row r="340" ht="15.75" customHeight="1">
      <c r="A340" s="12"/>
      <c r="B340" s="12"/>
      <c r="C340" s="12"/>
      <c r="D340" s="12"/>
      <c r="E340" s="12"/>
    </row>
    <row r="341" ht="15.75" customHeight="1">
      <c r="A341" s="12"/>
      <c r="B341" s="12"/>
      <c r="C341" s="12"/>
      <c r="D341" s="12"/>
      <c r="E341" s="12"/>
    </row>
    <row r="342" ht="15.75" customHeight="1">
      <c r="A342" s="12"/>
      <c r="B342" s="12"/>
      <c r="C342" s="12"/>
      <c r="D342" s="12"/>
      <c r="E342" s="12"/>
    </row>
    <row r="343" ht="15.75" customHeight="1">
      <c r="A343" s="12"/>
      <c r="B343" s="12"/>
      <c r="C343" s="12"/>
      <c r="D343" s="12"/>
      <c r="E343" s="12"/>
    </row>
    <row r="344" ht="15.75" customHeight="1">
      <c r="A344" s="12"/>
      <c r="B344" s="12"/>
      <c r="C344" s="12"/>
      <c r="D344" s="12"/>
      <c r="E344" s="12"/>
    </row>
    <row r="345" ht="15.75" customHeight="1">
      <c r="A345" s="12"/>
      <c r="B345" s="12"/>
      <c r="C345" s="12"/>
      <c r="D345" s="12"/>
      <c r="E345" s="12"/>
    </row>
    <row r="346" ht="15.75" customHeight="1">
      <c r="A346" s="12"/>
      <c r="B346" s="12"/>
      <c r="C346" s="12"/>
      <c r="D346" s="12"/>
      <c r="E346" s="12"/>
    </row>
    <row r="347" ht="15.75" customHeight="1">
      <c r="A347" s="12"/>
      <c r="B347" s="12"/>
      <c r="C347" s="12"/>
      <c r="D347" s="12"/>
      <c r="E347" s="12"/>
    </row>
    <row r="348" ht="15.75" customHeight="1">
      <c r="A348" s="12"/>
      <c r="B348" s="12"/>
      <c r="C348" s="12"/>
      <c r="D348" s="12"/>
      <c r="E348" s="12"/>
    </row>
    <row r="349" ht="15.75" customHeight="1">
      <c r="A349" s="12"/>
      <c r="B349" s="12"/>
      <c r="C349" s="12"/>
      <c r="D349" s="12"/>
      <c r="E349" s="12"/>
    </row>
    <row r="350" ht="15.75" customHeight="1">
      <c r="A350" s="12"/>
      <c r="B350" s="12"/>
      <c r="C350" s="12"/>
      <c r="D350" s="12"/>
      <c r="E350" s="12"/>
    </row>
    <row r="351" ht="15.75" customHeight="1">
      <c r="A351" s="12"/>
      <c r="B351" s="12"/>
      <c r="C351" s="12"/>
      <c r="D351" s="12"/>
      <c r="E351" s="12"/>
    </row>
    <row r="352" ht="15.75" customHeight="1">
      <c r="A352" s="12"/>
      <c r="B352" s="12"/>
      <c r="C352" s="12"/>
      <c r="D352" s="12"/>
      <c r="E352" s="12"/>
    </row>
    <row r="353" ht="15.75" customHeight="1">
      <c r="A353" s="12"/>
      <c r="B353" s="12"/>
      <c r="C353" s="12"/>
      <c r="D353" s="12"/>
      <c r="E353" s="12"/>
    </row>
    <row r="354" ht="15.75" customHeight="1">
      <c r="A354" s="12"/>
      <c r="B354" s="12"/>
      <c r="C354" s="12"/>
      <c r="D354" s="12"/>
      <c r="E354" s="12"/>
    </row>
    <row r="355" ht="15.75" customHeight="1">
      <c r="A355" s="12"/>
      <c r="B355" s="12"/>
      <c r="C355" s="12"/>
      <c r="D355" s="12"/>
      <c r="E355" s="12"/>
    </row>
    <row r="356" ht="15.75" customHeight="1">
      <c r="A356" s="12"/>
      <c r="B356" s="12"/>
      <c r="C356" s="12"/>
      <c r="D356" s="12"/>
      <c r="E356" s="12"/>
    </row>
    <row r="357" ht="15.75" customHeight="1">
      <c r="A357" s="12"/>
      <c r="B357" s="12"/>
      <c r="C357" s="12"/>
      <c r="D357" s="12"/>
      <c r="E357" s="12"/>
    </row>
    <row r="358" ht="15.75" customHeight="1">
      <c r="A358" s="12"/>
      <c r="B358" s="12"/>
      <c r="C358" s="12"/>
      <c r="D358" s="12"/>
      <c r="E358" s="12"/>
    </row>
    <row r="359" ht="15.75" customHeight="1">
      <c r="A359" s="12"/>
      <c r="B359" s="12"/>
      <c r="C359" s="12"/>
      <c r="D359" s="12"/>
      <c r="E359" s="12"/>
    </row>
    <row r="360" ht="15.75" customHeight="1">
      <c r="A360" s="12"/>
      <c r="B360" s="12"/>
      <c r="C360" s="12"/>
      <c r="D360" s="12"/>
      <c r="E360" s="12"/>
    </row>
    <row r="361" ht="15.75" customHeight="1">
      <c r="A361" s="12"/>
      <c r="B361" s="12"/>
      <c r="C361" s="12"/>
      <c r="D361" s="12"/>
      <c r="E361" s="12"/>
    </row>
    <row r="362" ht="15.75" customHeight="1">
      <c r="A362" s="12"/>
      <c r="B362" s="12"/>
      <c r="C362" s="12"/>
      <c r="D362" s="12"/>
      <c r="E362" s="12"/>
    </row>
    <row r="363" ht="15.75" customHeight="1">
      <c r="A363" s="12"/>
      <c r="B363" s="12"/>
      <c r="C363" s="12"/>
      <c r="D363" s="12"/>
      <c r="E363" s="12"/>
    </row>
    <row r="364" ht="15.75" customHeight="1">
      <c r="A364" s="12"/>
      <c r="B364" s="12"/>
      <c r="C364" s="12"/>
      <c r="D364" s="12"/>
      <c r="E364" s="12"/>
    </row>
    <row r="365" ht="15.75" customHeight="1">
      <c r="A365" s="12"/>
      <c r="B365" s="12"/>
      <c r="C365" s="12"/>
      <c r="D365" s="12"/>
      <c r="E365" s="12"/>
    </row>
    <row r="366" ht="15.75" customHeight="1">
      <c r="A366" s="12"/>
      <c r="B366" s="12"/>
      <c r="C366" s="12"/>
      <c r="D366" s="12"/>
      <c r="E366" s="12"/>
    </row>
    <row r="367" ht="15.75" customHeight="1">
      <c r="A367" s="12"/>
      <c r="B367" s="12"/>
      <c r="C367" s="12"/>
      <c r="D367" s="12"/>
      <c r="E367" s="12"/>
    </row>
    <row r="368" ht="15.75" customHeight="1">
      <c r="A368" s="12"/>
      <c r="B368" s="12"/>
      <c r="C368" s="12"/>
      <c r="D368" s="12"/>
      <c r="E368" s="12"/>
    </row>
    <row r="369" ht="15.75" customHeight="1">
      <c r="A369" s="12"/>
      <c r="B369" s="12"/>
      <c r="C369" s="12"/>
      <c r="D369" s="12"/>
      <c r="E369" s="12"/>
    </row>
    <row r="370" ht="15.75" customHeight="1">
      <c r="A370" s="12"/>
      <c r="B370" s="12"/>
      <c r="C370" s="12"/>
      <c r="D370" s="12"/>
      <c r="E370" s="12"/>
    </row>
    <row r="371" ht="15.75" customHeight="1">
      <c r="A371" s="12"/>
      <c r="B371" s="12"/>
      <c r="C371" s="12"/>
      <c r="D371" s="12"/>
      <c r="E371" s="12"/>
    </row>
    <row r="372" ht="15.75" customHeight="1">
      <c r="A372" s="12"/>
      <c r="B372" s="12"/>
      <c r="C372" s="12"/>
      <c r="D372" s="12"/>
      <c r="E372" s="12"/>
    </row>
    <row r="373" ht="15.75" customHeight="1">
      <c r="A373" s="12"/>
      <c r="B373" s="12"/>
      <c r="C373" s="12"/>
      <c r="D373" s="12"/>
      <c r="E373" s="12"/>
    </row>
    <row r="374" ht="15.75" customHeight="1">
      <c r="A374" s="12"/>
      <c r="B374" s="12"/>
      <c r="C374" s="12"/>
      <c r="D374" s="12"/>
      <c r="E374" s="12"/>
    </row>
    <row r="375" ht="15.75" customHeight="1">
      <c r="A375" s="12"/>
      <c r="B375" s="12"/>
      <c r="C375" s="12"/>
      <c r="D375" s="12"/>
      <c r="E375" s="12"/>
    </row>
    <row r="376" ht="15.75" customHeight="1">
      <c r="A376" s="12"/>
      <c r="B376" s="12"/>
      <c r="C376" s="12"/>
      <c r="D376" s="12"/>
      <c r="E376" s="12"/>
    </row>
    <row r="377" ht="15.75" customHeight="1">
      <c r="A377" s="12"/>
      <c r="B377" s="12"/>
      <c r="C377" s="12"/>
      <c r="D377" s="12"/>
      <c r="E377" s="12"/>
    </row>
    <row r="378" ht="15.75" customHeight="1">
      <c r="A378" s="12"/>
      <c r="B378" s="12"/>
      <c r="C378" s="12"/>
      <c r="D378" s="12"/>
      <c r="E378" s="12"/>
    </row>
    <row r="379" ht="15.75" customHeight="1">
      <c r="A379" s="12"/>
      <c r="B379" s="12"/>
      <c r="C379" s="12"/>
      <c r="D379" s="12"/>
      <c r="E379" s="12"/>
    </row>
    <row r="380" ht="15.75" customHeight="1">
      <c r="A380" s="12"/>
      <c r="B380" s="12"/>
      <c r="C380" s="12"/>
      <c r="D380" s="12"/>
      <c r="E380" s="12"/>
    </row>
    <row r="381" ht="15.75" customHeight="1">
      <c r="A381" s="12"/>
      <c r="B381" s="12"/>
      <c r="C381" s="12"/>
      <c r="D381" s="12"/>
      <c r="E381" s="12"/>
    </row>
    <row r="382" ht="15.75" customHeight="1">
      <c r="A382" s="12"/>
      <c r="B382" s="12"/>
      <c r="C382" s="12"/>
      <c r="D382" s="12"/>
      <c r="E382" s="12"/>
    </row>
    <row r="383" ht="15.75" customHeight="1">
      <c r="A383" s="12"/>
      <c r="B383" s="12"/>
      <c r="C383" s="12"/>
      <c r="D383" s="12"/>
      <c r="E383" s="12"/>
    </row>
    <row r="384" ht="15.75" customHeight="1">
      <c r="A384" s="12"/>
      <c r="B384" s="12"/>
      <c r="C384" s="12"/>
      <c r="D384" s="12"/>
      <c r="E384" s="12"/>
    </row>
    <row r="385" ht="15.75" customHeight="1">
      <c r="A385" s="12"/>
      <c r="B385" s="12"/>
      <c r="C385" s="12"/>
      <c r="D385" s="12"/>
      <c r="E385" s="12"/>
    </row>
    <row r="386" ht="15.75" customHeight="1">
      <c r="A386" s="12"/>
      <c r="B386" s="12"/>
      <c r="C386" s="12"/>
      <c r="D386" s="12"/>
      <c r="E386" s="12"/>
    </row>
    <row r="387" ht="15.75" customHeight="1">
      <c r="A387" s="12"/>
      <c r="B387" s="12"/>
      <c r="C387" s="12"/>
      <c r="D387" s="12"/>
      <c r="E387" s="12"/>
    </row>
    <row r="388" ht="15.75" customHeight="1">
      <c r="A388" s="12"/>
      <c r="B388" s="12"/>
      <c r="C388" s="12"/>
      <c r="D388" s="12"/>
      <c r="E388" s="12"/>
    </row>
    <row r="389" ht="15.75" customHeight="1">
      <c r="A389" s="12"/>
      <c r="B389" s="12"/>
      <c r="C389" s="12"/>
      <c r="D389" s="12"/>
      <c r="E389" s="12"/>
    </row>
    <row r="390" ht="15.75" customHeight="1">
      <c r="A390" s="12"/>
      <c r="B390" s="12"/>
      <c r="C390" s="12"/>
      <c r="D390" s="12"/>
      <c r="E390" s="12"/>
    </row>
    <row r="391" ht="15.75" customHeight="1">
      <c r="A391" s="12"/>
      <c r="B391" s="12"/>
      <c r="C391" s="12"/>
      <c r="D391" s="12"/>
      <c r="E391" s="12"/>
    </row>
    <row r="392" ht="15.75" customHeight="1">
      <c r="A392" s="12"/>
      <c r="B392" s="12"/>
      <c r="C392" s="12"/>
      <c r="D392" s="12"/>
      <c r="E392" s="12"/>
    </row>
    <row r="393" ht="15.75" customHeight="1">
      <c r="A393" s="12"/>
      <c r="B393" s="12"/>
      <c r="C393" s="12"/>
      <c r="D393" s="12"/>
      <c r="E393" s="12"/>
    </row>
    <row r="394" ht="15.75" customHeight="1">
      <c r="A394" s="12"/>
      <c r="B394" s="12"/>
      <c r="C394" s="12"/>
      <c r="D394" s="12"/>
      <c r="E394" s="12"/>
    </row>
    <row r="395" ht="15.75" customHeight="1">
      <c r="A395" s="12"/>
      <c r="B395" s="12"/>
      <c r="C395" s="12"/>
      <c r="D395" s="12"/>
      <c r="E395" s="12"/>
    </row>
    <row r="396" ht="15.75" customHeight="1">
      <c r="A396" s="12"/>
      <c r="B396" s="12"/>
      <c r="C396" s="12"/>
      <c r="D396" s="12"/>
      <c r="E396" s="12"/>
    </row>
    <row r="397" ht="15.75" customHeight="1">
      <c r="A397" s="12"/>
      <c r="B397" s="12"/>
      <c r="C397" s="12"/>
      <c r="D397" s="12"/>
      <c r="E397" s="12"/>
    </row>
    <row r="398" ht="15.75" customHeight="1">
      <c r="A398" s="12"/>
      <c r="B398" s="12"/>
      <c r="C398" s="12"/>
      <c r="D398" s="12"/>
      <c r="E398" s="12"/>
    </row>
    <row r="399" ht="15.75" customHeight="1">
      <c r="A399" s="12"/>
      <c r="B399" s="12"/>
      <c r="C399" s="12"/>
      <c r="D399" s="12"/>
      <c r="E399" s="12"/>
    </row>
    <row r="400" ht="15.75" customHeight="1">
      <c r="A400" s="12"/>
      <c r="B400" s="12"/>
      <c r="C400" s="12"/>
      <c r="D400" s="12"/>
      <c r="E400" s="12"/>
    </row>
    <row r="401" ht="15.75" customHeight="1">
      <c r="A401" s="12"/>
      <c r="B401" s="12"/>
      <c r="C401" s="12"/>
      <c r="D401" s="12"/>
      <c r="E401" s="12"/>
    </row>
    <row r="402" ht="15.75" customHeight="1">
      <c r="A402" s="12"/>
      <c r="B402" s="12"/>
      <c r="C402" s="12"/>
      <c r="D402" s="12"/>
      <c r="E402" s="12"/>
    </row>
    <row r="403" ht="15.75" customHeight="1">
      <c r="A403" s="12"/>
      <c r="B403" s="12"/>
      <c r="C403" s="12"/>
      <c r="D403" s="12"/>
      <c r="E403" s="12"/>
    </row>
    <row r="404" ht="15.75" customHeight="1">
      <c r="A404" s="12"/>
      <c r="B404" s="12"/>
      <c r="C404" s="12"/>
      <c r="D404" s="12"/>
      <c r="E404" s="12"/>
    </row>
    <row r="405" ht="15.75" customHeight="1">
      <c r="A405" s="12"/>
      <c r="B405" s="12"/>
      <c r="C405" s="12"/>
      <c r="D405" s="12"/>
      <c r="E405" s="12"/>
    </row>
    <row r="406" ht="15.75" customHeight="1">
      <c r="A406" s="12"/>
      <c r="B406" s="12"/>
      <c r="C406" s="12"/>
      <c r="D406" s="12"/>
      <c r="E406" s="12"/>
    </row>
    <row r="407" ht="15.75" customHeight="1">
      <c r="A407" s="12"/>
      <c r="B407" s="12"/>
      <c r="C407" s="12"/>
      <c r="D407" s="12"/>
      <c r="E407" s="12"/>
    </row>
    <row r="408" ht="15.75" customHeight="1">
      <c r="A408" s="12"/>
      <c r="B408" s="12"/>
      <c r="C408" s="12"/>
      <c r="D408" s="12"/>
      <c r="E408" s="12"/>
    </row>
    <row r="409" ht="15.75" customHeight="1">
      <c r="A409" s="12"/>
      <c r="B409" s="12"/>
      <c r="C409" s="12"/>
      <c r="D409" s="12"/>
      <c r="E409" s="12"/>
    </row>
    <row r="410" ht="15.75" customHeight="1">
      <c r="A410" s="12"/>
      <c r="B410" s="12"/>
      <c r="C410" s="12"/>
      <c r="D410" s="12"/>
      <c r="E410" s="12"/>
    </row>
    <row r="411" ht="15.75" customHeight="1">
      <c r="A411" s="12"/>
      <c r="B411" s="12"/>
      <c r="C411" s="12"/>
      <c r="D411" s="12"/>
      <c r="E411" s="12"/>
    </row>
    <row r="412" ht="15.75" customHeight="1">
      <c r="A412" s="12"/>
      <c r="B412" s="12"/>
      <c r="C412" s="12"/>
      <c r="D412" s="12"/>
      <c r="E412" s="12"/>
    </row>
    <row r="413" ht="15.75" customHeight="1">
      <c r="A413" s="12"/>
      <c r="B413" s="12"/>
      <c r="C413" s="12"/>
      <c r="D413" s="12"/>
      <c r="E413" s="12"/>
    </row>
    <row r="414" ht="15.75" customHeight="1">
      <c r="A414" s="12"/>
      <c r="B414" s="12"/>
      <c r="C414" s="12"/>
      <c r="D414" s="12"/>
      <c r="E414" s="12"/>
    </row>
    <row r="415" ht="15.75" customHeight="1">
      <c r="A415" s="12"/>
      <c r="B415" s="12"/>
      <c r="C415" s="12"/>
      <c r="D415" s="12"/>
      <c r="E415" s="12"/>
    </row>
    <row r="416" ht="15.75" customHeight="1">
      <c r="A416" s="12"/>
      <c r="B416" s="12"/>
      <c r="C416" s="12"/>
      <c r="D416" s="12"/>
      <c r="E416" s="12"/>
    </row>
    <row r="417" ht="15.75" customHeight="1">
      <c r="A417" s="12"/>
      <c r="B417" s="12"/>
      <c r="C417" s="12"/>
      <c r="D417" s="12"/>
      <c r="E417" s="12"/>
    </row>
    <row r="418" ht="15.75" customHeight="1">
      <c r="A418" s="12"/>
      <c r="B418" s="12"/>
      <c r="C418" s="12"/>
      <c r="D418" s="12"/>
      <c r="E418" s="12"/>
    </row>
    <row r="419" ht="15.75" customHeight="1">
      <c r="A419" s="12"/>
      <c r="B419" s="12"/>
      <c r="C419" s="12"/>
      <c r="D419" s="12"/>
      <c r="E419" s="12"/>
    </row>
    <row r="420" ht="15.75" customHeight="1">
      <c r="A420" s="12"/>
      <c r="B420" s="12"/>
      <c r="C420" s="12"/>
      <c r="D420" s="12"/>
      <c r="E420" s="12"/>
    </row>
    <row r="421" ht="15.75" customHeight="1">
      <c r="A421" s="12"/>
      <c r="B421" s="12"/>
      <c r="C421" s="12"/>
      <c r="D421" s="12"/>
      <c r="E421" s="12"/>
    </row>
    <row r="422" ht="15.75" customHeight="1">
      <c r="A422" s="12"/>
      <c r="B422" s="12"/>
      <c r="C422" s="12"/>
      <c r="D422" s="12"/>
      <c r="E422" s="12"/>
    </row>
    <row r="423" ht="15.75" customHeight="1">
      <c r="A423" s="12"/>
      <c r="B423" s="12"/>
      <c r="C423" s="12"/>
      <c r="D423" s="12"/>
      <c r="E423" s="12"/>
    </row>
    <row r="424" ht="15.75" customHeight="1">
      <c r="A424" s="12"/>
      <c r="B424" s="12"/>
      <c r="C424" s="12"/>
      <c r="D424" s="12"/>
      <c r="E424" s="12"/>
    </row>
    <row r="425" ht="15.75" customHeight="1">
      <c r="A425" s="12"/>
      <c r="B425" s="12"/>
      <c r="C425" s="12"/>
      <c r="D425" s="12"/>
      <c r="E425" s="12"/>
    </row>
    <row r="426" ht="15.75" customHeight="1">
      <c r="A426" s="12"/>
      <c r="B426" s="12"/>
      <c r="C426" s="12"/>
      <c r="D426" s="12"/>
      <c r="E426" s="12"/>
    </row>
    <row r="427" ht="15.75" customHeight="1">
      <c r="A427" s="12"/>
      <c r="B427" s="12"/>
      <c r="C427" s="12"/>
      <c r="D427" s="12"/>
      <c r="E427" s="12"/>
    </row>
    <row r="428" ht="15.75" customHeight="1">
      <c r="A428" s="12"/>
      <c r="B428" s="12"/>
      <c r="C428" s="12"/>
      <c r="D428" s="12"/>
      <c r="E428" s="12"/>
    </row>
    <row r="429" ht="15.75" customHeight="1">
      <c r="A429" s="12"/>
      <c r="B429" s="12"/>
      <c r="C429" s="12"/>
      <c r="D429" s="12"/>
      <c r="E429" s="12"/>
    </row>
    <row r="430" ht="15.75" customHeight="1">
      <c r="A430" s="12"/>
      <c r="B430" s="12"/>
      <c r="C430" s="12"/>
      <c r="D430" s="12"/>
      <c r="E430" s="12"/>
    </row>
    <row r="431" ht="15.75" customHeight="1">
      <c r="A431" s="12"/>
      <c r="B431" s="12"/>
      <c r="C431" s="12"/>
      <c r="D431" s="12"/>
      <c r="E431" s="12"/>
    </row>
    <row r="432" ht="15.75" customHeight="1">
      <c r="A432" s="12"/>
      <c r="B432" s="12"/>
      <c r="C432" s="12"/>
      <c r="D432" s="12"/>
      <c r="E432" s="12"/>
    </row>
    <row r="433" ht="15.75" customHeight="1">
      <c r="A433" s="12"/>
      <c r="B433" s="12"/>
      <c r="C433" s="12"/>
      <c r="D433" s="12"/>
      <c r="E433" s="12"/>
    </row>
    <row r="434" ht="15.75" customHeight="1">
      <c r="A434" s="12"/>
      <c r="B434" s="12"/>
      <c r="C434" s="12"/>
      <c r="D434" s="12"/>
      <c r="E434" s="12"/>
    </row>
    <row r="435" ht="15.75" customHeight="1">
      <c r="A435" s="12"/>
      <c r="B435" s="12"/>
      <c r="C435" s="12"/>
      <c r="D435" s="12"/>
      <c r="E435" s="12"/>
    </row>
    <row r="436" ht="15.75" customHeight="1">
      <c r="A436" s="12"/>
      <c r="B436" s="12"/>
      <c r="C436" s="12"/>
      <c r="D436" s="12"/>
      <c r="E436" s="12"/>
    </row>
    <row r="437" ht="15.75" customHeight="1">
      <c r="A437" s="12"/>
      <c r="B437" s="12"/>
      <c r="C437" s="12"/>
      <c r="D437" s="12"/>
      <c r="E437" s="12"/>
    </row>
    <row r="438" ht="15.75" customHeight="1">
      <c r="A438" s="12"/>
      <c r="B438" s="12"/>
      <c r="C438" s="12"/>
      <c r="D438" s="12"/>
      <c r="E438" s="12"/>
    </row>
    <row r="439" ht="15.75" customHeight="1">
      <c r="A439" s="12"/>
      <c r="B439" s="12"/>
      <c r="C439" s="12"/>
      <c r="D439" s="12"/>
      <c r="E439" s="12"/>
    </row>
    <row r="440" ht="15.75" customHeight="1">
      <c r="A440" s="12"/>
      <c r="B440" s="12"/>
      <c r="C440" s="12"/>
      <c r="D440" s="12"/>
      <c r="E440" s="12"/>
    </row>
    <row r="441" ht="15.75" customHeight="1">
      <c r="A441" s="12"/>
      <c r="B441" s="12"/>
      <c r="C441" s="12"/>
      <c r="D441" s="12"/>
      <c r="E441" s="12"/>
    </row>
    <row r="442" ht="15.75" customHeight="1">
      <c r="A442" s="12"/>
      <c r="B442" s="12"/>
      <c r="C442" s="12"/>
      <c r="D442" s="12"/>
      <c r="E442" s="12"/>
    </row>
    <row r="443" ht="15.75" customHeight="1">
      <c r="A443" s="12"/>
      <c r="B443" s="12"/>
      <c r="C443" s="12"/>
      <c r="D443" s="12"/>
      <c r="E443" s="12"/>
    </row>
    <row r="444" ht="15.75" customHeight="1">
      <c r="A444" s="12"/>
      <c r="B444" s="12"/>
      <c r="C444" s="12"/>
      <c r="D444" s="12"/>
      <c r="E444" s="12"/>
    </row>
    <row r="445" ht="15.75" customHeight="1">
      <c r="A445" s="12"/>
      <c r="B445" s="12"/>
      <c r="C445" s="12"/>
      <c r="D445" s="12"/>
      <c r="E445" s="12"/>
    </row>
    <row r="446" ht="15.75" customHeight="1">
      <c r="A446" s="12"/>
      <c r="B446" s="12"/>
      <c r="C446" s="12"/>
      <c r="D446" s="12"/>
      <c r="E446" s="12"/>
    </row>
    <row r="447" ht="15.75" customHeight="1">
      <c r="A447" s="12"/>
      <c r="B447" s="12"/>
      <c r="C447" s="12"/>
      <c r="D447" s="12"/>
      <c r="E447" s="12"/>
    </row>
    <row r="448" ht="15.75" customHeight="1">
      <c r="A448" s="12"/>
      <c r="B448" s="12"/>
      <c r="C448" s="12"/>
      <c r="D448" s="12"/>
      <c r="E448" s="12"/>
    </row>
    <row r="449" ht="15.75" customHeight="1">
      <c r="A449" s="12"/>
      <c r="B449" s="12"/>
      <c r="C449" s="12"/>
      <c r="D449" s="12"/>
      <c r="E449" s="12"/>
    </row>
    <row r="450" ht="15.75" customHeight="1">
      <c r="A450" s="12"/>
      <c r="B450" s="12"/>
      <c r="C450" s="12"/>
      <c r="D450" s="12"/>
      <c r="E450" s="12"/>
    </row>
    <row r="451" ht="15.75" customHeight="1">
      <c r="A451" s="12"/>
      <c r="B451" s="12"/>
      <c r="C451" s="12"/>
      <c r="D451" s="12"/>
      <c r="E451" s="12"/>
    </row>
    <row r="452" ht="15.75" customHeight="1">
      <c r="A452" s="12"/>
      <c r="B452" s="12"/>
      <c r="C452" s="12"/>
      <c r="D452" s="12"/>
      <c r="E452" s="12"/>
    </row>
    <row r="453" ht="15.75" customHeight="1">
      <c r="A453" s="12"/>
      <c r="B453" s="12"/>
      <c r="C453" s="12"/>
      <c r="D453" s="12"/>
      <c r="E453" s="12"/>
    </row>
    <row r="454" ht="15.75" customHeight="1">
      <c r="A454" s="12"/>
      <c r="B454" s="12"/>
      <c r="C454" s="12"/>
      <c r="D454" s="12"/>
      <c r="E454" s="12"/>
    </row>
    <row r="455" ht="15.75" customHeight="1">
      <c r="A455" s="12"/>
      <c r="B455" s="12"/>
      <c r="C455" s="12"/>
      <c r="D455" s="12"/>
      <c r="E455" s="12"/>
    </row>
    <row r="456" ht="15.75" customHeight="1">
      <c r="A456" s="12"/>
      <c r="B456" s="12"/>
      <c r="C456" s="12"/>
      <c r="D456" s="12"/>
      <c r="E456" s="12"/>
    </row>
    <row r="457" ht="15.75" customHeight="1">
      <c r="A457" s="12"/>
      <c r="B457" s="12"/>
      <c r="C457" s="12"/>
      <c r="D457" s="12"/>
      <c r="E457" s="12"/>
    </row>
    <row r="458" ht="15.75" customHeight="1">
      <c r="A458" s="12"/>
      <c r="B458" s="12"/>
      <c r="C458" s="12"/>
      <c r="D458" s="12"/>
      <c r="E458" s="12"/>
    </row>
    <row r="459" ht="15.75" customHeight="1">
      <c r="A459" s="12"/>
      <c r="B459" s="12"/>
      <c r="C459" s="12"/>
      <c r="D459" s="12"/>
      <c r="E459" s="12"/>
    </row>
    <row r="460" ht="15.75" customHeight="1">
      <c r="A460" s="12"/>
      <c r="B460" s="12"/>
      <c r="C460" s="12"/>
      <c r="D460" s="12"/>
      <c r="E460" s="12"/>
    </row>
    <row r="461" ht="15.75" customHeight="1">
      <c r="A461" s="12"/>
      <c r="B461" s="12"/>
      <c r="C461" s="12"/>
      <c r="D461" s="12"/>
      <c r="E461" s="12"/>
    </row>
    <row r="462" ht="15.75" customHeight="1">
      <c r="A462" s="12"/>
      <c r="B462" s="12"/>
      <c r="C462" s="12"/>
      <c r="D462" s="12"/>
      <c r="E462" s="12"/>
    </row>
    <row r="463" ht="15.75" customHeight="1">
      <c r="A463" s="12"/>
      <c r="B463" s="12"/>
      <c r="C463" s="12"/>
      <c r="D463" s="12"/>
      <c r="E463" s="12"/>
    </row>
    <row r="464" ht="15.75" customHeight="1">
      <c r="A464" s="12"/>
      <c r="B464" s="12"/>
      <c r="C464" s="12"/>
      <c r="D464" s="12"/>
      <c r="E464" s="12"/>
    </row>
    <row r="465" ht="15.75" customHeight="1">
      <c r="A465" s="12"/>
      <c r="B465" s="12"/>
      <c r="C465" s="12"/>
      <c r="D465" s="12"/>
      <c r="E465" s="12"/>
    </row>
    <row r="466" ht="15.75" customHeight="1">
      <c r="A466" s="12"/>
      <c r="B466" s="12"/>
      <c r="C466" s="12"/>
      <c r="D466" s="12"/>
      <c r="E466" s="12"/>
    </row>
    <row r="467" ht="15.75" customHeight="1">
      <c r="A467" s="12"/>
      <c r="B467" s="12"/>
      <c r="C467" s="12"/>
      <c r="D467" s="12"/>
      <c r="E467" s="12"/>
    </row>
    <row r="468" ht="15.75" customHeight="1">
      <c r="A468" s="12"/>
      <c r="B468" s="12"/>
      <c r="C468" s="12"/>
      <c r="D468" s="12"/>
      <c r="E468" s="12"/>
    </row>
    <row r="469" ht="15.75" customHeight="1">
      <c r="A469" s="12"/>
      <c r="B469" s="12"/>
      <c r="C469" s="12"/>
      <c r="D469" s="12"/>
      <c r="E469" s="12"/>
    </row>
    <row r="470" ht="15.75" customHeight="1">
      <c r="A470" s="12"/>
      <c r="B470" s="12"/>
      <c r="C470" s="12"/>
      <c r="D470" s="12"/>
      <c r="E470" s="12"/>
    </row>
    <row r="471" ht="15.75" customHeight="1">
      <c r="A471" s="12"/>
      <c r="B471" s="12"/>
      <c r="C471" s="12"/>
      <c r="D471" s="12"/>
      <c r="E471" s="12"/>
    </row>
    <row r="472" ht="15.75" customHeight="1">
      <c r="A472" s="12"/>
      <c r="B472" s="12"/>
      <c r="C472" s="12"/>
      <c r="D472" s="12"/>
      <c r="E472" s="12"/>
    </row>
    <row r="473" ht="15.75" customHeight="1">
      <c r="A473" s="12"/>
      <c r="B473" s="12"/>
      <c r="C473" s="12"/>
      <c r="D473" s="12"/>
      <c r="E473" s="12"/>
    </row>
    <row r="474" ht="15.75" customHeight="1">
      <c r="A474" s="12"/>
      <c r="B474" s="12"/>
      <c r="C474" s="12"/>
      <c r="D474" s="12"/>
      <c r="E474" s="12"/>
    </row>
    <row r="475" ht="15.75" customHeight="1">
      <c r="A475" s="12"/>
      <c r="B475" s="12"/>
      <c r="C475" s="12"/>
      <c r="D475" s="12"/>
      <c r="E475" s="12"/>
    </row>
    <row r="476" ht="15.75" customHeight="1">
      <c r="A476" s="12"/>
      <c r="B476" s="12"/>
      <c r="C476" s="12"/>
      <c r="D476" s="12"/>
      <c r="E476" s="12"/>
    </row>
    <row r="477" ht="15.75" customHeight="1">
      <c r="A477" s="12"/>
      <c r="B477" s="12"/>
      <c r="C477" s="12"/>
      <c r="D477" s="12"/>
      <c r="E477" s="12"/>
    </row>
    <row r="478" ht="15.75" customHeight="1">
      <c r="A478" s="12"/>
      <c r="B478" s="12"/>
      <c r="C478" s="12"/>
      <c r="D478" s="12"/>
      <c r="E478" s="12"/>
    </row>
    <row r="479" ht="15.75" customHeight="1">
      <c r="A479" s="12"/>
      <c r="B479" s="12"/>
      <c r="C479" s="12"/>
      <c r="D479" s="12"/>
      <c r="E479" s="12"/>
    </row>
    <row r="480" ht="15.75" customHeight="1">
      <c r="A480" s="12"/>
      <c r="B480" s="12"/>
      <c r="C480" s="12"/>
      <c r="D480" s="12"/>
      <c r="E480" s="12"/>
    </row>
    <row r="481" ht="15.75" customHeight="1">
      <c r="A481" s="12"/>
      <c r="B481" s="12"/>
      <c r="C481" s="12"/>
      <c r="D481" s="12"/>
      <c r="E481" s="12"/>
    </row>
    <row r="482" ht="15.75" customHeight="1">
      <c r="A482" s="12"/>
      <c r="B482" s="12"/>
      <c r="C482" s="12"/>
      <c r="D482" s="12"/>
      <c r="E482" s="12"/>
    </row>
    <row r="483" ht="15.75" customHeight="1">
      <c r="A483" s="12"/>
      <c r="B483" s="12"/>
      <c r="C483" s="12"/>
      <c r="D483" s="12"/>
      <c r="E483" s="12"/>
    </row>
    <row r="484" ht="15.75" customHeight="1">
      <c r="A484" s="12"/>
      <c r="B484" s="12"/>
      <c r="C484" s="12"/>
      <c r="D484" s="12"/>
      <c r="E484" s="12"/>
    </row>
    <row r="485" ht="15.75" customHeight="1">
      <c r="A485" s="12"/>
      <c r="B485" s="12"/>
      <c r="C485" s="12"/>
      <c r="D485" s="12"/>
      <c r="E485" s="12"/>
    </row>
    <row r="486" ht="15.75" customHeight="1">
      <c r="A486" s="12"/>
      <c r="B486" s="12"/>
      <c r="C486" s="12"/>
      <c r="D486" s="12"/>
      <c r="E486" s="12"/>
    </row>
    <row r="487" ht="15.75" customHeight="1">
      <c r="A487" s="12"/>
      <c r="B487" s="12"/>
      <c r="C487" s="12"/>
      <c r="D487" s="12"/>
      <c r="E487" s="12"/>
    </row>
    <row r="488" ht="15.75" customHeight="1">
      <c r="A488" s="12"/>
      <c r="B488" s="12"/>
      <c r="C488" s="12"/>
      <c r="D488" s="12"/>
      <c r="E488" s="12"/>
    </row>
    <row r="489" ht="15.75" customHeight="1">
      <c r="A489" s="12"/>
      <c r="B489" s="12"/>
      <c r="C489" s="12"/>
      <c r="D489" s="12"/>
      <c r="E489" s="12"/>
    </row>
    <row r="490" ht="15.75" customHeight="1">
      <c r="A490" s="12"/>
      <c r="B490" s="12"/>
      <c r="C490" s="12"/>
      <c r="D490" s="12"/>
      <c r="E490" s="12"/>
    </row>
    <row r="491" ht="15.75" customHeight="1">
      <c r="A491" s="12"/>
      <c r="B491" s="12"/>
      <c r="C491" s="12"/>
      <c r="D491" s="12"/>
      <c r="E491" s="12"/>
    </row>
    <row r="492" ht="15.75" customHeight="1">
      <c r="A492" s="12"/>
      <c r="B492" s="12"/>
      <c r="C492" s="12"/>
      <c r="D492" s="12"/>
      <c r="E492" s="12"/>
    </row>
    <row r="493" ht="15.75" customHeight="1">
      <c r="A493" s="12"/>
      <c r="B493" s="12"/>
      <c r="C493" s="12"/>
      <c r="D493" s="12"/>
      <c r="E493" s="12"/>
    </row>
    <row r="494" ht="15.75" customHeight="1">
      <c r="A494" s="12"/>
      <c r="B494" s="12"/>
      <c r="C494" s="12"/>
      <c r="D494" s="12"/>
      <c r="E494" s="12"/>
    </row>
    <row r="495" ht="15.75" customHeight="1">
      <c r="A495" s="12"/>
      <c r="B495" s="12"/>
      <c r="C495" s="12"/>
      <c r="D495" s="12"/>
      <c r="E495" s="12"/>
    </row>
    <row r="496" ht="15.75" customHeight="1">
      <c r="A496" s="12"/>
      <c r="B496" s="12"/>
      <c r="C496" s="12"/>
      <c r="D496" s="12"/>
      <c r="E496" s="12"/>
    </row>
    <row r="497" ht="15.75" customHeight="1">
      <c r="A497" s="12"/>
      <c r="B497" s="12"/>
      <c r="C497" s="12"/>
      <c r="D497" s="12"/>
      <c r="E497" s="12"/>
    </row>
    <row r="498" ht="15.75" customHeight="1">
      <c r="A498" s="12"/>
      <c r="B498" s="12"/>
      <c r="C498" s="12"/>
      <c r="D498" s="12"/>
      <c r="E498" s="12"/>
    </row>
    <row r="499" ht="15.75" customHeight="1">
      <c r="A499" s="12"/>
      <c r="B499" s="12"/>
      <c r="C499" s="12"/>
      <c r="D499" s="12"/>
      <c r="E499" s="12"/>
    </row>
    <row r="500" ht="15.75" customHeight="1">
      <c r="A500" s="12"/>
      <c r="B500" s="12"/>
      <c r="C500" s="12"/>
      <c r="D500" s="12"/>
      <c r="E500" s="12"/>
    </row>
    <row r="501" ht="15.75" customHeight="1">
      <c r="A501" s="12"/>
      <c r="B501" s="12"/>
      <c r="C501" s="12"/>
      <c r="D501" s="12"/>
      <c r="E501" s="12"/>
    </row>
    <row r="502" ht="15.75" customHeight="1">
      <c r="A502" s="12"/>
      <c r="B502" s="12"/>
      <c r="C502" s="12"/>
      <c r="D502" s="12"/>
      <c r="E502" s="12"/>
    </row>
    <row r="503" ht="15.75" customHeight="1">
      <c r="A503" s="12"/>
      <c r="B503" s="12"/>
      <c r="C503" s="12"/>
      <c r="D503" s="12"/>
      <c r="E503" s="12"/>
    </row>
    <row r="504" ht="15.75" customHeight="1">
      <c r="A504" s="12"/>
      <c r="B504" s="12"/>
      <c r="C504" s="12"/>
      <c r="D504" s="12"/>
      <c r="E504" s="12"/>
    </row>
    <row r="505" ht="15.75" customHeight="1">
      <c r="A505" s="12"/>
      <c r="B505" s="12"/>
      <c r="C505" s="12"/>
      <c r="D505" s="12"/>
      <c r="E505" s="12"/>
    </row>
    <row r="506" ht="15.75" customHeight="1">
      <c r="A506" s="12"/>
      <c r="B506" s="12"/>
      <c r="C506" s="12"/>
      <c r="D506" s="12"/>
      <c r="E506" s="12"/>
    </row>
    <row r="507" ht="15.75" customHeight="1">
      <c r="A507" s="12"/>
      <c r="B507" s="12"/>
      <c r="C507" s="12"/>
      <c r="D507" s="12"/>
      <c r="E507" s="12"/>
    </row>
    <row r="508" ht="15.75" customHeight="1">
      <c r="A508" s="12"/>
      <c r="B508" s="12"/>
      <c r="C508" s="12"/>
      <c r="D508" s="12"/>
      <c r="E508" s="12"/>
    </row>
    <row r="509" ht="15.75" customHeight="1">
      <c r="A509" s="12"/>
      <c r="B509" s="12"/>
      <c r="C509" s="12"/>
      <c r="D509" s="12"/>
      <c r="E509" s="12"/>
    </row>
    <row r="510" ht="15.75" customHeight="1">
      <c r="A510" s="12"/>
      <c r="B510" s="12"/>
      <c r="C510" s="12"/>
      <c r="D510" s="12"/>
      <c r="E510" s="12"/>
    </row>
    <row r="511" ht="15.75" customHeight="1">
      <c r="A511" s="12"/>
      <c r="B511" s="12"/>
      <c r="C511" s="12"/>
      <c r="D511" s="12"/>
      <c r="E511" s="12"/>
    </row>
    <row r="512" ht="15.75" customHeight="1">
      <c r="A512" s="12"/>
      <c r="B512" s="12"/>
      <c r="C512" s="12"/>
      <c r="D512" s="12"/>
      <c r="E512" s="12"/>
    </row>
    <row r="513" ht="15.75" customHeight="1">
      <c r="A513" s="12"/>
      <c r="B513" s="12"/>
      <c r="C513" s="12"/>
      <c r="D513" s="12"/>
      <c r="E513" s="12"/>
    </row>
    <row r="514" ht="15.75" customHeight="1">
      <c r="A514" s="12"/>
      <c r="B514" s="12"/>
      <c r="C514" s="12"/>
      <c r="D514" s="12"/>
      <c r="E514" s="12"/>
    </row>
    <row r="515" ht="15.75" customHeight="1">
      <c r="A515" s="12"/>
      <c r="B515" s="12"/>
      <c r="C515" s="12"/>
      <c r="D515" s="12"/>
      <c r="E515" s="12"/>
    </row>
    <row r="516" ht="15.75" customHeight="1">
      <c r="A516" s="12"/>
      <c r="B516" s="12"/>
      <c r="C516" s="12"/>
      <c r="D516" s="12"/>
      <c r="E516" s="12"/>
    </row>
    <row r="517" ht="15.75" customHeight="1">
      <c r="A517" s="12"/>
      <c r="B517" s="12"/>
      <c r="C517" s="12"/>
      <c r="D517" s="12"/>
      <c r="E517" s="12"/>
    </row>
    <row r="518" ht="15.75" customHeight="1">
      <c r="A518" s="12"/>
      <c r="B518" s="12"/>
      <c r="C518" s="12"/>
      <c r="D518" s="12"/>
      <c r="E518" s="12"/>
    </row>
    <row r="519" ht="15.75" customHeight="1">
      <c r="A519" s="12"/>
      <c r="B519" s="12"/>
      <c r="C519" s="12"/>
      <c r="D519" s="12"/>
      <c r="E519" s="12"/>
    </row>
    <row r="520" ht="15.75" customHeight="1">
      <c r="A520" s="12"/>
      <c r="B520" s="12"/>
      <c r="C520" s="12"/>
      <c r="D520" s="12"/>
      <c r="E520" s="12"/>
    </row>
    <row r="521" ht="15.75" customHeight="1">
      <c r="A521" s="12"/>
      <c r="B521" s="12"/>
      <c r="C521" s="12"/>
      <c r="D521" s="12"/>
      <c r="E521" s="12"/>
    </row>
    <row r="522" ht="15.75" customHeight="1">
      <c r="A522" s="12"/>
      <c r="B522" s="12"/>
      <c r="C522" s="12"/>
      <c r="D522" s="12"/>
      <c r="E522" s="12"/>
    </row>
    <row r="523" ht="15.75" customHeight="1">
      <c r="A523" s="12"/>
      <c r="B523" s="12"/>
      <c r="C523" s="12"/>
      <c r="D523" s="12"/>
      <c r="E523" s="12"/>
    </row>
    <row r="524" ht="15.75" customHeight="1">
      <c r="A524" s="12"/>
      <c r="B524" s="12"/>
      <c r="C524" s="12"/>
      <c r="D524" s="12"/>
      <c r="E524" s="12"/>
    </row>
    <row r="525" ht="15.75" customHeight="1">
      <c r="A525" s="12"/>
      <c r="B525" s="12"/>
      <c r="C525" s="12"/>
      <c r="D525" s="12"/>
      <c r="E525" s="12"/>
    </row>
    <row r="526" ht="15.75" customHeight="1">
      <c r="A526" s="12"/>
      <c r="B526" s="12"/>
      <c r="C526" s="12"/>
      <c r="D526" s="12"/>
      <c r="E526" s="12"/>
    </row>
    <row r="527" ht="15.75" customHeight="1">
      <c r="A527" s="12"/>
      <c r="B527" s="12"/>
      <c r="C527" s="12"/>
      <c r="D527" s="12"/>
      <c r="E527" s="12"/>
    </row>
    <row r="528" ht="15.75" customHeight="1">
      <c r="A528" s="12"/>
      <c r="B528" s="12"/>
      <c r="C528" s="12"/>
      <c r="D528" s="12"/>
      <c r="E528" s="12"/>
    </row>
    <row r="529" ht="15.75" customHeight="1">
      <c r="A529" s="12"/>
      <c r="B529" s="12"/>
      <c r="C529" s="12"/>
      <c r="D529" s="12"/>
      <c r="E529" s="12"/>
    </row>
    <row r="530" ht="15.75" customHeight="1">
      <c r="A530" s="12"/>
      <c r="B530" s="12"/>
      <c r="C530" s="12"/>
      <c r="D530" s="12"/>
      <c r="E530" s="12"/>
    </row>
    <row r="531" ht="15.75" customHeight="1">
      <c r="A531" s="12"/>
      <c r="B531" s="12"/>
      <c r="C531" s="12"/>
      <c r="D531" s="12"/>
      <c r="E531" s="12"/>
    </row>
    <row r="532" ht="15.75" customHeight="1">
      <c r="A532" s="12"/>
      <c r="B532" s="12"/>
      <c r="C532" s="12"/>
      <c r="D532" s="12"/>
      <c r="E532" s="12"/>
    </row>
    <row r="533" ht="15.75" customHeight="1">
      <c r="A533" s="12"/>
      <c r="B533" s="12"/>
      <c r="C533" s="12"/>
      <c r="D533" s="12"/>
      <c r="E533" s="12"/>
    </row>
    <row r="534" ht="15.75" customHeight="1">
      <c r="A534" s="12"/>
      <c r="B534" s="12"/>
      <c r="C534" s="12"/>
      <c r="D534" s="12"/>
      <c r="E534" s="12"/>
    </row>
    <row r="535" ht="15.75" customHeight="1">
      <c r="A535" s="12"/>
      <c r="B535" s="12"/>
      <c r="C535" s="12"/>
      <c r="D535" s="12"/>
      <c r="E535" s="12"/>
    </row>
    <row r="536" ht="15.75" customHeight="1">
      <c r="A536" s="12"/>
      <c r="B536" s="12"/>
      <c r="C536" s="12"/>
      <c r="D536" s="12"/>
      <c r="E536" s="12"/>
    </row>
    <row r="537" ht="15.75" customHeight="1">
      <c r="A537" s="12"/>
      <c r="B537" s="12"/>
      <c r="C537" s="12"/>
      <c r="D537" s="12"/>
      <c r="E537" s="12"/>
    </row>
    <row r="538" ht="15.75" customHeight="1">
      <c r="A538" s="12"/>
      <c r="B538" s="12"/>
      <c r="C538" s="12"/>
      <c r="D538" s="12"/>
      <c r="E538" s="12"/>
    </row>
    <row r="539" ht="15.75" customHeight="1">
      <c r="A539" s="12"/>
      <c r="B539" s="12"/>
      <c r="C539" s="12"/>
      <c r="D539" s="12"/>
      <c r="E539" s="12"/>
    </row>
    <row r="540" ht="15.75" customHeight="1">
      <c r="A540" s="12"/>
      <c r="B540" s="12"/>
      <c r="C540" s="12"/>
      <c r="D540" s="12"/>
      <c r="E540" s="12"/>
    </row>
    <row r="541" ht="15.75" customHeight="1">
      <c r="A541" s="12"/>
      <c r="B541" s="12"/>
      <c r="C541" s="12"/>
      <c r="D541" s="12"/>
      <c r="E541" s="12"/>
    </row>
    <row r="542" ht="15.75" customHeight="1">
      <c r="A542" s="12"/>
      <c r="B542" s="12"/>
      <c r="C542" s="12"/>
      <c r="D542" s="12"/>
      <c r="E542" s="12"/>
    </row>
    <row r="543" ht="15.75" customHeight="1">
      <c r="A543" s="12"/>
      <c r="B543" s="12"/>
      <c r="C543" s="12"/>
      <c r="D543" s="12"/>
      <c r="E543" s="12"/>
    </row>
    <row r="544" ht="15.75" customHeight="1">
      <c r="A544" s="12"/>
      <c r="B544" s="12"/>
      <c r="C544" s="12"/>
      <c r="D544" s="12"/>
      <c r="E544" s="12"/>
    </row>
    <row r="545" ht="15.75" customHeight="1">
      <c r="A545" s="12"/>
      <c r="B545" s="12"/>
      <c r="C545" s="12"/>
      <c r="D545" s="12"/>
      <c r="E545" s="12"/>
    </row>
    <row r="546" ht="15.75" customHeight="1">
      <c r="A546" s="12"/>
      <c r="B546" s="12"/>
      <c r="C546" s="12"/>
      <c r="D546" s="12"/>
      <c r="E546" s="12"/>
    </row>
    <row r="547" ht="15.75" customHeight="1">
      <c r="A547" s="12"/>
      <c r="B547" s="12"/>
      <c r="C547" s="12"/>
      <c r="D547" s="12"/>
      <c r="E547" s="12"/>
    </row>
    <row r="548" ht="15.75" customHeight="1">
      <c r="A548" s="12"/>
      <c r="B548" s="12"/>
      <c r="C548" s="12"/>
      <c r="D548" s="12"/>
      <c r="E548" s="12"/>
    </row>
    <row r="549" ht="15.75" customHeight="1">
      <c r="A549" s="12"/>
      <c r="B549" s="12"/>
      <c r="C549" s="12"/>
      <c r="D549" s="12"/>
      <c r="E549" s="12"/>
    </row>
    <row r="550" ht="15.75" customHeight="1">
      <c r="A550" s="12"/>
      <c r="B550" s="12"/>
      <c r="C550" s="12"/>
      <c r="D550" s="12"/>
      <c r="E550" s="12"/>
    </row>
    <row r="551" ht="15.75" customHeight="1">
      <c r="A551" s="12"/>
      <c r="B551" s="12"/>
      <c r="C551" s="12"/>
      <c r="D551" s="12"/>
      <c r="E551" s="12"/>
    </row>
    <row r="552" ht="15.75" customHeight="1">
      <c r="A552" s="12"/>
      <c r="B552" s="12"/>
      <c r="C552" s="12"/>
      <c r="D552" s="12"/>
      <c r="E552" s="12"/>
    </row>
    <row r="553" ht="15.75" customHeight="1">
      <c r="A553" s="12"/>
      <c r="B553" s="12"/>
      <c r="C553" s="12"/>
      <c r="D553" s="12"/>
      <c r="E553" s="12"/>
    </row>
    <row r="554" ht="15.75" customHeight="1">
      <c r="A554" s="12"/>
      <c r="B554" s="12"/>
      <c r="C554" s="12"/>
      <c r="D554" s="12"/>
      <c r="E554" s="12"/>
    </row>
    <row r="555" ht="15.75" customHeight="1">
      <c r="A555" s="12"/>
      <c r="B555" s="12"/>
      <c r="C555" s="12"/>
      <c r="D555" s="12"/>
      <c r="E555" s="12"/>
    </row>
    <row r="556" ht="15.75" customHeight="1">
      <c r="A556" s="12"/>
      <c r="B556" s="12"/>
      <c r="C556" s="12"/>
      <c r="D556" s="12"/>
      <c r="E556" s="12"/>
    </row>
    <row r="557" ht="15.75" customHeight="1">
      <c r="A557" s="12"/>
      <c r="B557" s="12"/>
      <c r="C557" s="12"/>
      <c r="D557" s="12"/>
      <c r="E557" s="12"/>
    </row>
    <row r="558" ht="15.75" customHeight="1">
      <c r="A558" s="12"/>
      <c r="B558" s="12"/>
      <c r="C558" s="12"/>
      <c r="D558" s="12"/>
      <c r="E558" s="12"/>
    </row>
    <row r="559" ht="15.75" customHeight="1">
      <c r="A559" s="12"/>
      <c r="B559" s="12"/>
      <c r="C559" s="12"/>
      <c r="D559" s="12"/>
      <c r="E559" s="12"/>
    </row>
    <row r="560" ht="15.75" customHeight="1">
      <c r="A560" s="12"/>
      <c r="B560" s="12"/>
      <c r="C560" s="12"/>
      <c r="D560" s="12"/>
      <c r="E560" s="12"/>
    </row>
    <row r="561" ht="15.75" customHeight="1">
      <c r="A561" s="12"/>
      <c r="B561" s="12"/>
      <c r="C561" s="12"/>
      <c r="D561" s="12"/>
      <c r="E561" s="12"/>
    </row>
    <row r="562" ht="15.75" customHeight="1">
      <c r="A562" s="12"/>
      <c r="B562" s="12"/>
      <c r="C562" s="12"/>
      <c r="D562" s="12"/>
      <c r="E562" s="12"/>
    </row>
    <row r="563" ht="15.75" customHeight="1">
      <c r="A563" s="12"/>
      <c r="B563" s="12"/>
      <c r="C563" s="12"/>
      <c r="D563" s="12"/>
      <c r="E563" s="12"/>
    </row>
    <row r="564" ht="15.75" customHeight="1">
      <c r="A564" s="12"/>
      <c r="B564" s="12"/>
      <c r="C564" s="12"/>
      <c r="D564" s="12"/>
      <c r="E564" s="12"/>
    </row>
    <row r="565" ht="15.75" customHeight="1">
      <c r="A565" s="12"/>
      <c r="B565" s="12"/>
      <c r="C565" s="12"/>
      <c r="D565" s="12"/>
      <c r="E565" s="12"/>
    </row>
    <row r="566" ht="15.75" customHeight="1">
      <c r="A566" s="12"/>
      <c r="B566" s="12"/>
      <c r="C566" s="12"/>
      <c r="D566" s="12"/>
      <c r="E566" s="12"/>
    </row>
    <row r="567" ht="15.75" customHeight="1">
      <c r="A567" s="12"/>
      <c r="B567" s="12"/>
      <c r="C567" s="12"/>
      <c r="D567" s="12"/>
      <c r="E567" s="12"/>
    </row>
    <row r="568" ht="15.75" customHeight="1">
      <c r="A568" s="12"/>
      <c r="B568" s="12"/>
      <c r="C568" s="12"/>
      <c r="D568" s="12"/>
      <c r="E568" s="12"/>
    </row>
    <row r="569" ht="15.75" customHeight="1">
      <c r="A569" s="12"/>
      <c r="B569" s="12"/>
      <c r="C569" s="12"/>
      <c r="D569" s="12"/>
      <c r="E569" s="12"/>
    </row>
    <row r="570" ht="15.75" customHeight="1">
      <c r="A570" s="12"/>
      <c r="B570" s="12"/>
      <c r="C570" s="12"/>
      <c r="D570" s="12"/>
      <c r="E570" s="12"/>
    </row>
    <row r="571" ht="15.75" customHeight="1">
      <c r="A571" s="12"/>
      <c r="B571" s="12"/>
      <c r="C571" s="12"/>
      <c r="D571" s="12"/>
      <c r="E571" s="12"/>
    </row>
    <row r="572" ht="15.75" customHeight="1">
      <c r="A572" s="12"/>
      <c r="B572" s="12"/>
      <c r="C572" s="12"/>
      <c r="D572" s="12"/>
      <c r="E572" s="12"/>
    </row>
    <row r="573" ht="15.75" customHeight="1">
      <c r="A573" s="12"/>
      <c r="B573" s="12"/>
      <c r="C573" s="12"/>
      <c r="D573" s="12"/>
      <c r="E573" s="12"/>
    </row>
    <row r="574" ht="15.75" customHeight="1">
      <c r="A574" s="12"/>
      <c r="B574" s="12"/>
      <c r="C574" s="12"/>
      <c r="D574" s="12"/>
      <c r="E574" s="12"/>
    </row>
    <row r="575" ht="15.75" customHeight="1">
      <c r="A575" s="12"/>
      <c r="B575" s="12"/>
      <c r="C575" s="12"/>
      <c r="D575" s="12"/>
      <c r="E575" s="12"/>
    </row>
    <row r="576" ht="15.75" customHeight="1">
      <c r="A576" s="12"/>
      <c r="B576" s="12"/>
      <c r="C576" s="12"/>
      <c r="D576" s="12"/>
      <c r="E576" s="12"/>
    </row>
    <row r="577" ht="15.75" customHeight="1">
      <c r="A577" s="12"/>
      <c r="B577" s="12"/>
      <c r="C577" s="12"/>
      <c r="D577" s="12"/>
      <c r="E577" s="12"/>
    </row>
    <row r="578" ht="15.75" customHeight="1">
      <c r="A578" s="12"/>
      <c r="B578" s="12"/>
      <c r="C578" s="12"/>
      <c r="D578" s="12"/>
      <c r="E578" s="12"/>
    </row>
    <row r="579" ht="15.75" customHeight="1">
      <c r="A579" s="12"/>
      <c r="B579" s="12"/>
      <c r="C579" s="12"/>
      <c r="D579" s="12"/>
      <c r="E579" s="12"/>
    </row>
    <row r="580" ht="15.75" customHeight="1">
      <c r="A580" s="12"/>
      <c r="B580" s="12"/>
      <c r="C580" s="12"/>
      <c r="D580" s="12"/>
      <c r="E580" s="12"/>
    </row>
    <row r="581" ht="15.75" customHeight="1">
      <c r="A581" s="12"/>
      <c r="B581" s="12"/>
      <c r="C581" s="12"/>
      <c r="D581" s="12"/>
      <c r="E581" s="12"/>
    </row>
    <row r="582" ht="15.75" customHeight="1">
      <c r="A582" s="12"/>
      <c r="B582" s="12"/>
      <c r="C582" s="12"/>
      <c r="D582" s="12"/>
      <c r="E582" s="12"/>
    </row>
    <row r="583" ht="15.75" customHeight="1">
      <c r="A583" s="12"/>
      <c r="B583" s="12"/>
      <c r="C583" s="12"/>
      <c r="D583" s="12"/>
      <c r="E583" s="12"/>
    </row>
    <row r="584" ht="15.75" customHeight="1">
      <c r="A584" s="12"/>
      <c r="B584" s="12"/>
      <c r="C584" s="12"/>
      <c r="D584" s="12"/>
      <c r="E584" s="12"/>
    </row>
    <row r="585" ht="15.75" customHeight="1">
      <c r="A585" s="12"/>
      <c r="B585" s="12"/>
      <c r="C585" s="12"/>
      <c r="D585" s="12"/>
      <c r="E585" s="12"/>
    </row>
    <row r="586" ht="15.75" customHeight="1">
      <c r="A586" s="12"/>
      <c r="B586" s="12"/>
      <c r="C586" s="12"/>
      <c r="D586" s="12"/>
      <c r="E586" s="12"/>
    </row>
    <row r="587" ht="15.75" customHeight="1">
      <c r="A587" s="12"/>
      <c r="B587" s="12"/>
      <c r="C587" s="12"/>
      <c r="D587" s="12"/>
      <c r="E587" s="12"/>
    </row>
    <row r="588" ht="15.75" customHeight="1">
      <c r="A588" s="12"/>
      <c r="B588" s="12"/>
      <c r="C588" s="12"/>
      <c r="D588" s="12"/>
      <c r="E588" s="12"/>
    </row>
    <row r="589" ht="15.75" customHeight="1">
      <c r="A589" s="12"/>
      <c r="B589" s="12"/>
      <c r="C589" s="12"/>
      <c r="D589" s="12"/>
      <c r="E589" s="12"/>
    </row>
    <row r="590" ht="15.75" customHeight="1">
      <c r="A590" s="12"/>
      <c r="B590" s="12"/>
      <c r="C590" s="12"/>
      <c r="D590" s="12"/>
      <c r="E590" s="12"/>
    </row>
    <row r="591" ht="15.75" customHeight="1">
      <c r="A591" s="12"/>
      <c r="B591" s="12"/>
      <c r="C591" s="12"/>
      <c r="D591" s="12"/>
      <c r="E591" s="12"/>
    </row>
    <row r="592" ht="15.75" customHeight="1">
      <c r="A592" s="12"/>
      <c r="B592" s="12"/>
      <c r="C592" s="12"/>
      <c r="D592" s="12"/>
      <c r="E592" s="12"/>
    </row>
    <row r="593" ht="15.75" customHeight="1">
      <c r="A593" s="12"/>
      <c r="B593" s="12"/>
      <c r="C593" s="12"/>
      <c r="D593" s="12"/>
      <c r="E593" s="12"/>
    </row>
    <row r="594" ht="15.75" customHeight="1">
      <c r="A594" s="12"/>
      <c r="B594" s="12"/>
      <c r="C594" s="12"/>
      <c r="D594" s="12"/>
      <c r="E594" s="12"/>
    </row>
    <row r="595" ht="15.75" customHeight="1">
      <c r="A595" s="12"/>
      <c r="B595" s="12"/>
      <c r="C595" s="12"/>
      <c r="D595" s="12"/>
      <c r="E595" s="12"/>
    </row>
    <row r="596" ht="15.75" customHeight="1">
      <c r="A596" s="12"/>
      <c r="B596" s="12"/>
      <c r="C596" s="12"/>
      <c r="D596" s="12"/>
      <c r="E596" s="12"/>
    </row>
    <row r="597" ht="15.75" customHeight="1">
      <c r="A597" s="12"/>
      <c r="B597" s="12"/>
      <c r="C597" s="12"/>
      <c r="D597" s="12"/>
      <c r="E597" s="12"/>
    </row>
    <row r="598" ht="15.75" customHeight="1">
      <c r="A598" s="12"/>
      <c r="B598" s="12"/>
      <c r="C598" s="12"/>
      <c r="D598" s="12"/>
      <c r="E598" s="12"/>
    </row>
    <row r="599" ht="15.75" customHeight="1">
      <c r="A599" s="12"/>
      <c r="B599" s="12"/>
      <c r="C599" s="12"/>
      <c r="D599" s="12"/>
      <c r="E599" s="12"/>
    </row>
    <row r="600" ht="15.75" customHeight="1">
      <c r="A600" s="12"/>
      <c r="B600" s="12"/>
      <c r="C600" s="12"/>
      <c r="D600" s="12"/>
      <c r="E600" s="12"/>
    </row>
    <row r="601" ht="15.75" customHeight="1">
      <c r="A601" s="12"/>
      <c r="B601" s="12"/>
      <c r="C601" s="12"/>
      <c r="D601" s="12"/>
      <c r="E601" s="12"/>
    </row>
    <row r="602" ht="15.75" customHeight="1">
      <c r="A602" s="12"/>
      <c r="B602" s="12"/>
      <c r="C602" s="12"/>
      <c r="D602" s="12"/>
      <c r="E602" s="12"/>
    </row>
    <row r="603" ht="15.75" customHeight="1">
      <c r="A603" s="12"/>
      <c r="B603" s="12"/>
      <c r="C603" s="12"/>
      <c r="D603" s="12"/>
      <c r="E603" s="12"/>
    </row>
    <row r="604" ht="15.75" customHeight="1">
      <c r="A604" s="12"/>
      <c r="B604" s="12"/>
      <c r="C604" s="12"/>
      <c r="D604" s="12"/>
      <c r="E604" s="12"/>
    </row>
    <row r="605" ht="15.75" customHeight="1">
      <c r="A605" s="12"/>
      <c r="B605" s="12"/>
      <c r="C605" s="12"/>
      <c r="D605" s="12"/>
      <c r="E605" s="12"/>
    </row>
    <row r="606" ht="15.75" customHeight="1">
      <c r="A606" s="12"/>
      <c r="B606" s="12"/>
      <c r="C606" s="12"/>
      <c r="D606" s="12"/>
      <c r="E606" s="12"/>
    </row>
    <row r="607" ht="15.75" customHeight="1">
      <c r="A607" s="12"/>
      <c r="B607" s="12"/>
      <c r="C607" s="12"/>
      <c r="D607" s="12"/>
      <c r="E607" s="12"/>
    </row>
    <row r="608" ht="15.75" customHeight="1">
      <c r="A608" s="12"/>
      <c r="B608" s="12"/>
      <c r="C608" s="12"/>
      <c r="D608" s="12"/>
      <c r="E608" s="12"/>
    </row>
    <row r="609" ht="15.75" customHeight="1">
      <c r="A609" s="12"/>
      <c r="B609" s="12"/>
      <c r="C609" s="12"/>
      <c r="D609" s="12"/>
      <c r="E609" s="12"/>
    </row>
    <row r="610" ht="15.75" customHeight="1">
      <c r="A610" s="12"/>
      <c r="B610" s="12"/>
      <c r="C610" s="12"/>
      <c r="D610" s="12"/>
      <c r="E610" s="12"/>
    </row>
    <row r="611" ht="15.75" customHeight="1">
      <c r="A611" s="12"/>
      <c r="B611" s="12"/>
      <c r="C611" s="12"/>
      <c r="D611" s="12"/>
      <c r="E611" s="12"/>
    </row>
    <row r="612" ht="15.75" customHeight="1">
      <c r="A612" s="12"/>
      <c r="B612" s="12"/>
      <c r="C612" s="12"/>
      <c r="D612" s="12"/>
      <c r="E612" s="12"/>
    </row>
    <row r="613" ht="15.75" customHeight="1">
      <c r="A613" s="12"/>
      <c r="B613" s="12"/>
      <c r="C613" s="12"/>
      <c r="D613" s="12"/>
      <c r="E613" s="12"/>
    </row>
    <row r="614" ht="15.75" customHeight="1">
      <c r="A614" s="12"/>
      <c r="B614" s="12"/>
      <c r="C614" s="12"/>
      <c r="D614" s="12"/>
      <c r="E614" s="12"/>
    </row>
    <row r="615" ht="15.75" customHeight="1">
      <c r="A615" s="12"/>
      <c r="B615" s="12"/>
      <c r="C615" s="12"/>
      <c r="D615" s="12"/>
      <c r="E615" s="12"/>
    </row>
    <row r="616" ht="15.75" customHeight="1">
      <c r="A616" s="12"/>
      <c r="B616" s="12"/>
      <c r="C616" s="12"/>
      <c r="D616" s="12"/>
      <c r="E616" s="12"/>
    </row>
    <row r="617" ht="15.75" customHeight="1">
      <c r="A617" s="12"/>
      <c r="B617" s="12"/>
      <c r="C617" s="12"/>
      <c r="D617" s="12"/>
      <c r="E617" s="12"/>
    </row>
    <row r="618" ht="15.75" customHeight="1">
      <c r="A618" s="12"/>
      <c r="B618" s="12"/>
      <c r="C618" s="12"/>
      <c r="D618" s="12"/>
      <c r="E618" s="12"/>
    </row>
    <row r="619" ht="15.75" customHeight="1">
      <c r="A619" s="12"/>
      <c r="B619" s="12"/>
      <c r="C619" s="12"/>
      <c r="D619" s="12"/>
      <c r="E619" s="12"/>
    </row>
    <row r="620" ht="15.75" customHeight="1">
      <c r="A620" s="12"/>
      <c r="B620" s="12"/>
      <c r="C620" s="12"/>
      <c r="D620" s="12"/>
      <c r="E620" s="12"/>
    </row>
    <row r="621" ht="15.75" customHeight="1">
      <c r="A621" s="12"/>
      <c r="B621" s="12"/>
      <c r="C621" s="12"/>
      <c r="D621" s="12"/>
      <c r="E621" s="12"/>
    </row>
    <row r="622" ht="15.75" customHeight="1">
      <c r="A622" s="12"/>
      <c r="B622" s="12"/>
      <c r="C622" s="12"/>
      <c r="D622" s="12"/>
      <c r="E622" s="12"/>
    </row>
    <row r="623" ht="15.75" customHeight="1">
      <c r="A623" s="12"/>
      <c r="B623" s="12"/>
      <c r="C623" s="12"/>
      <c r="D623" s="12"/>
      <c r="E623" s="12"/>
    </row>
    <row r="624" ht="15.75" customHeight="1">
      <c r="A624" s="12"/>
      <c r="B624" s="12"/>
      <c r="C624" s="12"/>
      <c r="D624" s="12"/>
      <c r="E624" s="12"/>
    </row>
    <row r="625" ht="15.75" customHeight="1">
      <c r="A625" s="12"/>
      <c r="B625" s="12"/>
      <c r="C625" s="12"/>
      <c r="D625" s="12"/>
      <c r="E625" s="12"/>
    </row>
    <row r="626" ht="15.75" customHeight="1">
      <c r="A626" s="12"/>
      <c r="B626" s="12"/>
      <c r="C626" s="12"/>
      <c r="D626" s="12"/>
      <c r="E626" s="12"/>
    </row>
    <row r="627" ht="15.75" customHeight="1">
      <c r="A627" s="12"/>
      <c r="B627" s="12"/>
      <c r="C627" s="12"/>
      <c r="D627" s="12"/>
      <c r="E627" s="12"/>
    </row>
    <row r="628" ht="15.75" customHeight="1">
      <c r="A628" s="12"/>
      <c r="B628" s="12"/>
      <c r="C628" s="12"/>
      <c r="D628" s="12"/>
      <c r="E628" s="12"/>
    </row>
    <row r="629" ht="15.75" customHeight="1">
      <c r="A629" s="12"/>
      <c r="B629" s="12"/>
      <c r="C629" s="12"/>
      <c r="D629" s="12"/>
      <c r="E629" s="12"/>
    </row>
    <row r="630" ht="15.75" customHeight="1">
      <c r="A630" s="12"/>
      <c r="B630" s="12"/>
      <c r="C630" s="12"/>
      <c r="D630" s="12"/>
      <c r="E630" s="12"/>
    </row>
    <row r="631" ht="15.75" customHeight="1">
      <c r="A631" s="12"/>
      <c r="B631" s="12"/>
      <c r="C631" s="12"/>
      <c r="D631" s="12"/>
      <c r="E631" s="12"/>
    </row>
    <row r="632" ht="15.75" customHeight="1">
      <c r="A632" s="12"/>
      <c r="B632" s="12"/>
      <c r="C632" s="12"/>
      <c r="D632" s="12"/>
      <c r="E632" s="12"/>
    </row>
    <row r="633" ht="15.75" customHeight="1">
      <c r="A633" s="12"/>
      <c r="B633" s="12"/>
      <c r="C633" s="12"/>
      <c r="D633" s="12"/>
      <c r="E633" s="12"/>
    </row>
    <row r="634" ht="15.75" customHeight="1">
      <c r="A634" s="12"/>
      <c r="B634" s="12"/>
      <c r="C634" s="12"/>
      <c r="D634" s="12"/>
      <c r="E634" s="12"/>
    </row>
    <row r="635" ht="15.75" customHeight="1">
      <c r="A635" s="12"/>
      <c r="B635" s="12"/>
      <c r="C635" s="12"/>
      <c r="D635" s="12"/>
      <c r="E635" s="12"/>
    </row>
    <row r="636" ht="15.75" customHeight="1">
      <c r="A636" s="12"/>
      <c r="B636" s="12"/>
      <c r="C636" s="12"/>
      <c r="D636" s="12"/>
      <c r="E636" s="12"/>
    </row>
    <row r="637" ht="15.75" customHeight="1">
      <c r="A637" s="12"/>
      <c r="B637" s="12"/>
      <c r="C637" s="12"/>
      <c r="D637" s="12"/>
      <c r="E637" s="12"/>
    </row>
    <row r="638" ht="15.75" customHeight="1">
      <c r="A638" s="12"/>
      <c r="B638" s="12"/>
      <c r="C638" s="12"/>
      <c r="D638" s="12"/>
      <c r="E638" s="12"/>
    </row>
    <row r="639" ht="15.75" customHeight="1">
      <c r="A639" s="12"/>
      <c r="B639" s="12"/>
      <c r="C639" s="12"/>
      <c r="D639" s="12"/>
      <c r="E639" s="12"/>
    </row>
    <row r="640" ht="15.75" customHeight="1">
      <c r="A640" s="12"/>
      <c r="B640" s="12"/>
      <c r="C640" s="12"/>
      <c r="D640" s="12"/>
      <c r="E640" s="12"/>
    </row>
    <row r="641" ht="15.75" customHeight="1">
      <c r="A641" s="12"/>
      <c r="B641" s="12"/>
      <c r="C641" s="12"/>
      <c r="D641" s="12"/>
      <c r="E641" s="12"/>
    </row>
    <row r="642" ht="15.75" customHeight="1">
      <c r="A642" s="12"/>
      <c r="B642" s="12"/>
      <c r="C642" s="12"/>
      <c r="D642" s="12"/>
      <c r="E642" s="12"/>
    </row>
    <row r="643" ht="15.75" customHeight="1">
      <c r="A643" s="12"/>
      <c r="B643" s="12"/>
      <c r="C643" s="12"/>
      <c r="D643" s="12"/>
      <c r="E643" s="12"/>
    </row>
    <row r="644" ht="15.75" customHeight="1">
      <c r="A644" s="12"/>
      <c r="B644" s="12"/>
      <c r="C644" s="12"/>
      <c r="D644" s="12"/>
      <c r="E644" s="12"/>
    </row>
    <row r="645" ht="15.75" customHeight="1">
      <c r="A645" s="12"/>
      <c r="B645" s="12"/>
      <c r="C645" s="12"/>
      <c r="D645" s="12"/>
      <c r="E645" s="12"/>
    </row>
    <row r="646" ht="15.75" customHeight="1">
      <c r="A646" s="12"/>
      <c r="B646" s="12"/>
      <c r="C646" s="12"/>
      <c r="D646" s="12"/>
      <c r="E646" s="12"/>
    </row>
    <row r="647" ht="15.75" customHeight="1">
      <c r="A647" s="12"/>
      <c r="B647" s="12"/>
      <c r="C647" s="12"/>
      <c r="D647" s="12"/>
      <c r="E647" s="12"/>
    </row>
    <row r="648" ht="15.75" customHeight="1">
      <c r="A648" s="12"/>
      <c r="B648" s="12"/>
      <c r="C648" s="12"/>
      <c r="D648" s="12"/>
      <c r="E648" s="12"/>
    </row>
    <row r="649" ht="15.75" customHeight="1">
      <c r="A649" s="12"/>
      <c r="B649" s="12"/>
      <c r="C649" s="12"/>
      <c r="D649" s="12"/>
      <c r="E649" s="12"/>
    </row>
    <row r="650" ht="15.75" customHeight="1">
      <c r="A650" s="12"/>
      <c r="B650" s="12"/>
      <c r="C650" s="12"/>
      <c r="D650" s="12"/>
      <c r="E650" s="12"/>
    </row>
    <row r="651" ht="15.75" customHeight="1">
      <c r="A651" s="12"/>
      <c r="B651" s="12"/>
      <c r="C651" s="12"/>
      <c r="D651" s="12"/>
      <c r="E651" s="12"/>
    </row>
    <row r="652" ht="15.75" customHeight="1">
      <c r="A652" s="12"/>
      <c r="B652" s="12"/>
      <c r="C652" s="12"/>
      <c r="D652" s="12"/>
      <c r="E652" s="12"/>
    </row>
    <row r="653" ht="15.75" customHeight="1">
      <c r="A653" s="12"/>
      <c r="B653" s="12"/>
      <c r="C653" s="12"/>
      <c r="D653" s="12"/>
      <c r="E653" s="12"/>
    </row>
    <row r="654" ht="15.75" customHeight="1">
      <c r="A654" s="12"/>
      <c r="B654" s="12"/>
      <c r="C654" s="12"/>
      <c r="D654" s="12"/>
      <c r="E654" s="12"/>
    </row>
    <row r="655" ht="15.75" customHeight="1">
      <c r="A655" s="12"/>
      <c r="B655" s="12"/>
      <c r="C655" s="12"/>
      <c r="D655" s="12"/>
      <c r="E655" s="12"/>
    </row>
    <row r="656" ht="15.75" customHeight="1">
      <c r="A656" s="12"/>
      <c r="B656" s="12"/>
      <c r="C656" s="12"/>
      <c r="D656" s="12"/>
      <c r="E656" s="12"/>
    </row>
    <row r="657" ht="15.75" customHeight="1">
      <c r="A657" s="12"/>
      <c r="B657" s="12"/>
      <c r="C657" s="12"/>
      <c r="D657" s="12"/>
      <c r="E657" s="12"/>
    </row>
    <row r="658" ht="15.75" customHeight="1">
      <c r="A658" s="12"/>
      <c r="B658" s="12"/>
      <c r="C658" s="12"/>
      <c r="D658" s="12"/>
      <c r="E658" s="12"/>
    </row>
    <row r="659" ht="15.75" customHeight="1">
      <c r="A659" s="12"/>
      <c r="B659" s="12"/>
      <c r="C659" s="12"/>
      <c r="D659" s="12"/>
      <c r="E659" s="12"/>
    </row>
    <row r="660" ht="15.75" customHeight="1">
      <c r="A660" s="12"/>
      <c r="B660" s="12"/>
      <c r="C660" s="12"/>
      <c r="D660" s="12"/>
      <c r="E660" s="12"/>
    </row>
    <row r="661" ht="15.75" customHeight="1">
      <c r="A661" s="12"/>
      <c r="B661" s="12"/>
      <c r="C661" s="12"/>
      <c r="D661" s="12"/>
      <c r="E661" s="12"/>
    </row>
    <row r="662" ht="15.75" customHeight="1">
      <c r="A662" s="12"/>
      <c r="B662" s="12"/>
      <c r="C662" s="12"/>
      <c r="D662" s="12"/>
      <c r="E662" s="12"/>
    </row>
    <row r="663" ht="15.75" customHeight="1">
      <c r="A663" s="12"/>
      <c r="B663" s="12"/>
      <c r="C663" s="12"/>
      <c r="D663" s="12"/>
      <c r="E663" s="12"/>
    </row>
    <row r="664" ht="15.75" customHeight="1">
      <c r="A664" s="12"/>
      <c r="B664" s="12"/>
      <c r="C664" s="12"/>
      <c r="D664" s="12"/>
      <c r="E664" s="12"/>
    </row>
    <row r="665" ht="15.75" customHeight="1">
      <c r="A665" s="12"/>
      <c r="B665" s="12"/>
      <c r="C665" s="12"/>
      <c r="D665" s="12"/>
      <c r="E665" s="12"/>
    </row>
    <row r="666" ht="15.75" customHeight="1">
      <c r="A666" s="12"/>
      <c r="B666" s="12"/>
      <c r="C666" s="12"/>
      <c r="D666" s="12"/>
      <c r="E666" s="12"/>
    </row>
    <row r="667" ht="15.75" customHeight="1">
      <c r="A667" s="12"/>
      <c r="B667" s="12"/>
      <c r="C667" s="12"/>
      <c r="D667" s="12"/>
      <c r="E667" s="12"/>
    </row>
    <row r="668" ht="15.75" customHeight="1">
      <c r="A668" s="12"/>
      <c r="B668" s="12"/>
      <c r="C668" s="12"/>
      <c r="D668" s="12"/>
      <c r="E668" s="12"/>
    </row>
    <row r="669" ht="15.75" customHeight="1">
      <c r="A669" s="12"/>
      <c r="B669" s="12"/>
      <c r="C669" s="12"/>
      <c r="D669" s="12"/>
      <c r="E669" s="12"/>
    </row>
    <row r="670" ht="15.75" customHeight="1">
      <c r="A670" s="12"/>
      <c r="B670" s="12"/>
      <c r="C670" s="12"/>
      <c r="D670" s="12"/>
      <c r="E670" s="12"/>
    </row>
    <row r="671" ht="15.75" customHeight="1">
      <c r="A671" s="12"/>
      <c r="B671" s="12"/>
      <c r="C671" s="12"/>
      <c r="D671" s="12"/>
      <c r="E671" s="12"/>
    </row>
    <row r="672" ht="15.75" customHeight="1">
      <c r="A672" s="12"/>
      <c r="B672" s="12"/>
      <c r="C672" s="12"/>
      <c r="D672" s="12"/>
      <c r="E672" s="12"/>
    </row>
    <row r="673" ht="15.75" customHeight="1">
      <c r="A673" s="12"/>
      <c r="B673" s="12"/>
      <c r="C673" s="12"/>
      <c r="D673" s="12"/>
      <c r="E673" s="12"/>
    </row>
    <row r="674" ht="15.75" customHeight="1">
      <c r="A674" s="12"/>
      <c r="B674" s="12"/>
      <c r="C674" s="12"/>
      <c r="D674" s="12"/>
      <c r="E674" s="12"/>
    </row>
    <row r="675" ht="15.75" customHeight="1">
      <c r="A675" s="12"/>
      <c r="B675" s="12"/>
      <c r="C675" s="12"/>
      <c r="D675" s="12"/>
      <c r="E675" s="12"/>
    </row>
    <row r="676" ht="15.75" customHeight="1">
      <c r="A676" s="12"/>
      <c r="B676" s="12"/>
      <c r="C676" s="12"/>
      <c r="D676" s="12"/>
      <c r="E676" s="12"/>
    </row>
    <row r="677" ht="15.75" customHeight="1">
      <c r="A677" s="12"/>
      <c r="B677" s="12"/>
      <c r="C677" s="12"/>
      <c r="D677" s="12"/>
      <c r="E677" s="12"/>
    </row>
    <row r="678" ht="15.75" customHeight="1">
      <c r="A678" s="12"/>
      <c r="B678" s="12"/>
      <c r="C678" s="12"/>
      <c r="D678" s="12"/>
      <c r="E678" s="12"/>
    </row>
    <row r="679" ht="15.75" customHeight="1">
      <c r="A679" s="12"/>
      <c r="B679" s="12"/>
      <c r="C679" s="12"/>
      <c r="D679" s="12"/>
      <c r="E679" s="12"/>
    </row>
    <row r="680" ht="15.75" customHeight="1">
      <c r="A680" s="12"/>
      <c r="B680" s="12"/>
      <c r="C680" s="12"/>
      <c r="D680" s="12"/>
      <c r="E680" s="12"/>
    </row>
    <row r="681" ht="15.75" customHeight="1">
      <c r="A681" s="12"/>
      <c r="B681" s="12"/>
      <c r="C681" s="12"/>
      <c r="D681" s="12"/>
      <c r="E681" s="12"/>
    </row>
    <row r="682" ht="15.75" customHeight="1">
      <c r="A682" s="12"/>
      <c r="B682" s="12"/>
      <c r="C682" s="12"/>
      <c r="D682" s="12"/>
      <c r="E682" s="12"/>
    </row>
    <row r="683" ht="15.75" customHeight="1">
      <c r="A683" s="12"/>
      <c r="B683" s="12"/>
      <c r="C683" s="12"/>
      <c r="D683" s="12"/>
      <c r="E683" s="12"/>
    </row>
    <row r="684" ht="15.75" customHeight="1">
      <c r="A684" s="12"/>
      <c r="B684" s="12"/>
      <c r="C684" s="12"/>
      <c r="D684" s="12"/>
      <c r="E684" s="12"/>
    </row>
    <row r="685" ht="15.75" customHeight="1">
      <c r="A685" s="12"/>
      <c r="B685" s="12"/>
      <c r="C685" s="12"/>
      <c r="D685" s="12"/>
      <c r="E685" s="12"/>
    </row>
    <row r="686" ht="15.75" customHeight="1">
      <c r="A686" s="12"/>
      <c r="B686" s="12"/>
      <c r="C686" s="12"/>
      <c r="D686" s="12"/>
      <c r="E686" s="12"/>
    </row>
    <row r="687" ht="15.75" customHeight="1">
      <c r="A687" s="12"/>
      <c r="B687" s="12"/>
      <c r="C687" s="12"/>
      <c r="D687" s="12"/>
      <c r="E687" s="12"/>
    </row>
    <row r="688" ht="15.75" customHeight="1">
      <c r="A688" s="12"/>
      <c r="B688" s="12"/>
      <c r="C688" s="12"/>
      <c r="D688" s="12"/>
      <c r="E688" s="12"/>
    </row>
    <row r="689" ht="15.75" customHeight="1">
      <c r="A689" s="12"/>
      <c r="B689" s="12"/>
      <c r="C689" s="12"/>
      <c r="D689" s="12"/>
      <c r="E689" s="12"/>
    </row>
    <row r="690" ht="15.75" customHeight="1">
      <c r="A690" s="12"/>
      <c r="B690" s="12"/>
      <c r="C690" s="12"/>
      <c r="D690" s="12"/>
      <c r="E690" s="12"/>
    </row>
    <row r="691" ht="15.75" customHeight="1">
      <c r="A691" s="12"/>
      <c r="B691" s="12"/>
      <c r="C691" s="12"/>
      <c r="D691" s="12"/>
      <c r="E691" s="12"/>
    </row>
    <row r="692" ht="15.75" customHeight="1">
      <c r="A692" s="12"/>
      <c r="B692" s="12"/>
      <c r="C692" s="12"/>
      <c r="D692" s="12"/>
      <c r="E692" s="12"/>
    </row>
    <row r="693" ht="15.75" customHeight="1">
      <c r="A693" s="12"/>
      <c r="B693" s="12"/>
      <c r="C693" s="12"/>
      <c r="D693" s="12"/>
      <c r="E693" s="12"/>
    </row>
    <row r="694" ht="15.75" customHeight="1">
      <c r="A694" s="12"/>
      <c r="B694" s="12"/>
      <c r="C694" s="12"/>
      <c r="D694" s="12"/>
      <c r="E694" s="12"/>
    </row>
    <row r="695" ht="15.75" customHeight="1">
      <c r="A695" s="12"/>
      <c r="B695" s="12"/>
      <c r="C695" s="12"/>
      <c r="D695" s="12"/>
      <c r="E695" s="12"/>
    </row>
    <row r="696" ht="15.75" customHeight="1">
      <c r="A696" s="12"/>
      <c r="B696" s="12"/>
      <c r="C696" s="12"/>
      <c r="D696" s="12"/>
      <c r="E696" s="12"/>
    </row>
    <row r="697" ht="15.75" customHeight="1">
      <c r="A697" s="12"/>
      <c r="B697" s="12"/>
      <c r="C697" s="12"/>
      <c r="D697" s="12"/>
      <c r="E697" s="12"/>
    </row>
    <row r="698" ht="15.75" customHeight="1">
      <c r="A698" s="12"/>
      <c r="B698" s="12"/>
      <c r="C698" s="12"/>
      <c r="D698" s="12"/>
      <c r="E698" s="12"/>
    </row>
    <row r="699" ht="15.75" customHeight="1">
      <c r="A699" s="12"/>
      <c r="B699" s="12"/>
      <c r="C699" s="12"/>
      <c r="D699" s="12"/>
      <c r="E699" s="12"/>
    </row>
    <row r="700" ht="15.75" customHeight="1">
      <c r="A700" s="12"/>
      <c r="B700" s="12"/>
      <c r="C700" s="12"/>
      <c r="D700" s="12"/>
      <c r="E700" s="12"/>
    </row>
    <row r="701" ht="15.75" customHeight="1">
      <c r="A701" s="12"/>
      <c r="B701" s="12"/>
      <c r="C701" s="12"/>
      <c r="D701" s="12"/>
      <c r="E701" s="12"/>
    </row>
    <row r="702" ht="15.75" customHeight="1">
      <c r="A702" s="12"/>
      <c r="B702" s="12"/>
      <c r="C702" s="12"/>
      <c r="D702" s="12"/>
      <c r="E702" s="12"/>
    </row>
    <row r="703" ht="15.75" customHeight="1">
      <c r="A703" s="12"/>
      <c r="B703" s="12"/>
      <c r="C703" s="12"/>
      <c r="D703" s="12"/>
      <c r="E703" s="12"/>
    </row>
    <row r="704" ht="15.75" customHeight="1">
      <c r="A704" s="12"/>
      <c r="B704" s="12"/>
      <c r="C704" s="12"/>
      <c r="D704" s="12"/>
      <c r="E704" s="12"/>
    </row>
    <row r="705" ht="15.75" customHeight="1">
      <c r="A705" s="12"/>
      <c r="B705" s="12"/>
      <c r="C705" s="12"/>
      <c r="D705" s="12"/>
      <c r="E705" s="12"/>
    </row>
    <row r="706" ht="15.75" customHeight="1">
      <c r="A706" s="12"/>
      <c r="B706" s="12"/>
      <c r="C706" s="12"/>
      <c r="D706" s="12"/>
      <c r="E706" s="12"/>
    </row>
    <row r="707" ht="15.75" customHeight="1">
      <c r="A707" s="12"/>
      <c r="B707" s="12"/>
      <c r="C707" s="12"/>
      <c r="D707" s="12"/>
      <c r="E707" s="12"/>
    </row>
    <row r="708" ht="15.75" customHeight="1">
      <c r="A708" s="12"/>
      <c r="B708" s="12"/>
      <c r="C708" s="12"/>
      <c r="D708" s="12"/>
      <c r="E708" s="12"/>
    </row>
    <row r="709" ht="15.75" customHeight="1">
      <c r="A709" s="12"/>
      <c r="B709" s="12"/>
      <c r="C709" s="12"/>
      <c r="D709" s="12"/>
      <c r="E709" s="12"/>
    </row>
    <row r="710" ht="15.75" customHeight="1">
      <c r="A710" s="12"/>
      <c r="B710" s="12"/>
      <c r="C710" s="12"/>
      <c r="D710" s="12"/>
      <c r="E710" s="12"/>
    </row>
    <row r="711" ht="15.75" customHeight="1">
      <c r="A711" s="12"/>
      <c r="B711" s="12"/>
      <c r="C711" s="12"/>
      <c r="D711" s="12"/>
      <c r="E711" s="12"/>
    </row>
    <row r="712" ht="15.75" customHeight="1">
      <c r="A712" s="12"/>
      <c r="B712" s="12"/>
      <c r="C712" s="12"/>
      <c r="D712" s="12"/>
      <c r="E712" s="12"/>
    </row>
    <row r="713" ht="15.75" customHeight="1">
      <c r="A713" s="12"/>
      <c r="B713" s="12"/>
      <c r="C713" s="12"/>
      <c r="D713" s="12"/>
      <c r="E713" s="12"/>
    </row>
    <row r="714" ht="15.75" customHeight="1">
      <c r="A714" s="12"/>
      <c r="B714" s="12"/>
      <c r="C714" s="12"/>
      <c r="D714" s="12"/>
      <c r="E714" s="12"/>
    </row>
    <row r="715" ht="15.75" customHeight="1">
      <c r="A715" s="12"/>
      <c r="B715" s="12"/>
      <c r="C715" s="12"/>
      <c r="D715" s="12"/>
      <c r="E715" s="12"/>
    </row>
    <row r="716" ht="15.75" customHeight="1">
      <c r="A716" s="12"/>
      <c r="B716" s="12"/>
      <c r="C716" s="12"/>
      <c r="D716" s="12"/>
      <c r="E716" s="12"/>
    </row>
    <row r="717" ht="15.75" customHeight="1">
      <c r="A717" s="12"/>
      <c r="B717" s="12"/>
      <c r="C717" s="12"/>
      <c r="D717" s="12"/>
      <c r="E717" s="12"/>
    </row>
    <row r="718" ht="15.75" customHeight="1">
      <c r="A718" s="12"/>
      <c r="B718" s="12"/>
      <c r="C718" s="12"/>
      <c r="D718" s="12"/>
      <c r="E718" s="12"/>
    </row>
    <row r="719" ht="15.75" customHeight="1">
      <c r="A719" s="12"/>
      <c r="B719" s="12"/>
      <c r="C719" s="12"/>
      <c r="D719" s="12"/>
      <c r="E719" s="12"/>
    </row>
    <row r="720" ht="15.75" customHeight="1">
      <c r="A720" s="12"/>
      <c r="B720" s="12"/>
      <c r="C720" s="12"/>
      <c r="D720" s="12"/>
      <c r="E720" s="12"/>
    </row>
    <row r="721" ht="15.75" customHeight="1">
      <c r="A721" s="12"/>
      <c r="B721" s="12"/>
      <c r="C721" s="12"/>
      <c r="D721" s="12"/>
      <c r="E721" s="12"/>
    </row>
    <row r="722" ht="15.75" customHeight="1">
      <c r="A722" s="12"/>
      <c r="B722" s="12"/>
      <c r="C722" s="12"/>
      <c r="D722" s="12"/>
      <c r="E722" s="12"/>
    </row>
    <row r="723" ht="15.75" customHeight="1">
      <c r="A723" s="12"/>
      <c r="B723" s="12"/>
      <c r="C723" s="12"/>
      <c r="D723" s="12"/>
      <c r="E723" s="12"/>
    </row>
    <row r="724" ht="15.75" customHeight="1">
      <c r="A724" s="12"/>
      <c r="B724" s="12"/>
      <c r="C724" s="12"/>
      <c r="D724" s="12"/>
      <c r="E724" s="12"/>
    </row>
    <row r="725" ht="15.75" customHeight="1">
      <c r="A725" s="12"/>
      <c r="B725" s="12"/>
      <c r="C725" s="12"/>
      <c r="D725" s="12"/>
      <c r="E725" s="12"/>
    </row>
    <row r="726" ht="15.75" customHeight="1">
      <c r="A726" s="12"/>
      <c r="B726" s="12"/>
      <c r="C726" s="12"/>
      <c r="D726" s="12"/>
      <c r="E726" s="12"/>
    </row>
    <row r="727" ht="15.75" customHeight="1">
      <c r="A727" s="12"/>
      <c r="B727" s="12"/>
      <c r="C727" s="12"/>
      <c r="D727" s="12"/>
      <c r="E727" s="12"/>
    </row>
    <row r="728" ht="15.75" customHeight="1">
      <c r="A728" s="12"/>
      <c r="B728" s="12"/>
      <c r="C728" s="12"/>
      <c r="D728" s="12"/>
      <c r="E728" s="12"/>
    </row>
    <row r="729" ht="15.75" customHeight="1">
      <c r="A729" s="12"/>
      <c r="B729" s="12"/>
      <c r="C729" s="12"/>
      <c r="D729" s="12"/>
      <c r="E729" s="12"/>
    </row>
    <row r="730" ht="15.75" customHeight="1">
      <c r="A730" s="12"/>
      <c r="B730" s="12"/>
      <c r="C730" s="12"/>
      <c r="D730" s="12"/>
      <c r="E730" s="12"/>
    </row>
    <row r="731" ht="15.75" customHeight="1">
      <c r="A731" s="12"/>
      <c r="B731" s="12"/>
      <c r="C731" s="12"/>
      <c r="D731" s="12"/>
      <c r="E731" s="12"/>
    </row>
    <row r="732" ht="15.75" customHeight="1">
      <c r="A732" s="12"/>
      <c r="B732" s="12"/>
      <c r="C732" s="12"/>
      <c r="D732" s="12"/>
      <c r="E732" s="12"/>
    </row>
    <row r="733" ht="15.75" customHeight="1">
      <c r="A733" s="12"/>
      <c r="B733" s="12"/>
      <c r="C733" s="12"/>
      <c r="D733" s="12"/>
      <c r="E733" s="12"/>
    </row>
    <row r="734" ht="15.75" customHeight="1">
      <c r="A734" s="12"/>
      <c r="B734" s="12"/>
      <c r="C734" s="12"/>
      <c r="D734" s="12"/>
      <c r="E734" s="12"/>
    </row>
    <row r="735" ht="15.75" customHeight="1">
      <c r="A735" s="12"/>
      <c r="B735" s="12"/>
      <c r="C735" s="12"/>
      <c r="D735" s="12"/>
      <c r="E735" s="12"/>
    </row>
    <row r="736" ht="15.75" customHeight="1">
      <c r="A736" s="12"/>
      <c r="B736" s="12"/>
      <c r="C736" s="12"/>
      <c r="D736" s="12"/>
      <c r="E736" s="12"/>
    </row>
    <row r="737" ht="15.75" customHeight="1">
      <c r="A737" s="12"/>
      <c r="B737" s="12"/>
      <c r="C737" s="12"/>
      <c r="D737" s="12"/>
      <c r="E737" s="12"/>
    </row>
    <row r="738" ht="15.75" customHeight="1">
      <c r="A738" s="12"/>
      <c r="B738" s="12"/>
      <c r="C738" s="12"/>
      <c r="D738" s="12"/>
      <c r="E738" s="12"/>
    </row>
    <row r="739" ht="15.75" customHeight="1">
      <c r="A739" s="12"/>
      <c r="B739" s="12"/>
      <c r="C739" s="12"/>
      <c r="D739" s="12"/>
      <c r="E739" s="12"/>
    </row>
    <row r="740" ht="15.75" customHeight="1">
      <c r="A740" s="12"/>
      <c r="B740" s="12"/>
      <c r="C740" s="12"/>
      <c r="D740" s="12"/>
      <c r="E740" s="12"/>
    </row>
    <row r="741" ht="15.75" customHeight="1">
      <c r="A741" s="12"/>
      <c r="B741" s="12"/>
      <c r="C741" s="12"/>
      <c r="D741" s="12"/>
      <c r="E741" s="12"/>
    </row>
    <row r="742" ht="15.75" customHeight="1">
      <c r="A742" s="12"/>
      <c r="B742" s="12"/>
      <c r="C742" s="12"/>
      <c r="D742" s="12"/>
      <c r="E742" s="12"/>
    </row>
    <row r="743" ht="15.75" customHeight="1">
      <c r="A743" s="12"/>
      <c r="B743" s="12"/>
      <c r="C743" s="12"/>
      <c r="D743" s="12"/>
      <c r="E743" s="12"/>
    </row>
    <row r="744" ht="15.75" customHeight="1">
      <c r="A744" s="12"/>
      <c r="B744" s="12"/>
      <c r="C744" s="12"/>
      <c r="D744" s="12"/>
      <c r="E744" s="12"/>
    </row>
    <row r="745" ht="15.75" customHeight="1">
      <c r="A745" s="12"/>
      <c r="B745" s="12"/>
      <c r="C745" s="12"/>
      <c r="D745" s="12"/>
      <c r="E745" s="12"/>
    </row>
    <row r="746" ht="15.75" customHeight="1">
      <c r="A746" s="12"/>
      <c r="B746" s="12"/>
      <c r="C746" s="12"/>
      <c r="D746" s="12"/>
      <c r="E746" s="12"/>
    </row>
    <row r="747" ht="15.75" customHeight="1">
      <c r="A747" s="12"/>
      <c r="B747" s="12"/>
      <c r="C747" s="12"/>
      <c r="D747" s="12"/>
      <c r="E747" s="12"/>
    </row>
    <row r="748" ht="15.75" customHeight="1">
      <c r="A748" s="12"/>
      <c r="B748" s="12"/>
      <c r="C748" s="12"/>
      <c r="D748" s="12"/>
      <c r="E748" s="12"/>
    </row>
    <row r="749" ht="15.75" customHeight="1">
      <c r="A749" s="12"/>
      <c r="B749" s="12"/>
      <c r="C749" s="12"/>
      <c r="D749" s="12"/>
      <c r="E749" s="12"/>
    </row>
    <row r="750" ht="15.75" customHeight="1">
      <c r="A750" s="12"/>
      <c r="B750" s="12"/>
      <c r="C750" s="12"/>
      <c r="D750" s="12"/>
      <c r="E750" s="12"/>
    </row>
    <row r="751" ht="15.75" customHeight="1">
      <c r="A751" s="12"/>
      <c r="B751" s="12"/>
      <c r="C751" s="12"/>
      <c r="D751" s="12"/>
      <c r="E751" s="12"/>
    </row>
    <row r="752" ht="15.75" customHeight="1">
      <c r="A752" s="12"/>
      <c r="B752" s="12"/>
      <c r="C752" s="12"/>
      <c r="D752" s="12"/>
      <c r="E752" s="12"/>
    </row>
    <row r="753" ht="15.75" customHeight="1">
      <c r="A753" s="12"/>
      <c r="B753" s="12"/>
      <c r="C753" s="12"/>
      <c r="D753" s="12"/>
      <c r="E753" s="12"/>
    </row>
    <row r="754" ht="15.75" customHeight="1">
      <c r="A754" s="12"/>
      <c r="B754" s="12"/>
      <c r="C754" s="12"/>
      <c r="D754" s="12"/>
      <c r="E754" s="12"/>
    </row>
    <row r="755" ht="15.75" customHeight="1">
      <c r="A755" s="12"/>
      <c r="B755" s="12"/>
      <c r="C755" s="12"/>
      <c r="D755" s="12"/>
      <c r="E755" s="12"/>
    </row>
    <row r="756" ht="15.75" customHeight="1">
      <c r="A756" s="12"/>
      <c r="B756" s="12"/>
      <c r="C756" s="12"/>
      <c r="D756" s="12"/>
      <c r="E756" s="12"/>
    </row>
    <row r="757" ht="15.75" customHeight="1">
      <c r="A757" s="12"/>
      <c r="B757" s="12"/>
      <c r="C757" s="12"/>
      <c r="D757" s="12"/>
      <c r="E757" s="12"/>
    </row>
    <row r="758" ht="15.75" customHeight="1">
      <c r="A758" s="12"/>
      <c r="B758" s="12"/>
      <c r="C758" s="12"/>
      <c r="D758" s="12"/>
      <c r="E758" s="12"/>
    </row>
    <row r="759" ht="15.75" customHeight="1">
      <c r="A759" s="12"/>
      <c r="B759" s="12"/>
      <c r="C759" s="12"/>
      <c r="D759" s="12"/>
      <c r="E759" s="12"/>
    </row>
    <row r="760" ht="15.75" customHeight="1">
      <c r="A760" s="12"/>
      <c r="B760" s="12"/>
      <c r="C760" s="12"/>
      <c r="D760" s="12"/>
      <c r="E760" s="12"/>
    </row>
    <row r="761" ht="15.75" customHeight="1">
      <c r="A761" s="12"/>
      <c r="B761" s="12"/>
      <c r="C761" s="12"/>
      <c r="D761" s="12"/>
      <c r="E761" s="12"/>
    </row>
    <row r="762" ht="15.75" customHeight="1">
      <c r="A762" s="12"/>
      <c r="B762" s="12"/>
      <c r="C762" s="12"/>
      <c r="D762" s="12"/>
      <c r="E762" s="12"/>
    </row>
    <row r="763" ht="15.75" customHeight="1">
      <c r="A763" s="12"/>
      <c r="B763" s="12"/>
      <c r="C763" s="12"/>
      <c r="D763" s="12"/>
      <c r="E763" s="12"/>
    </row>
    <row r="764" ht="15.75" customHeight="1">
      <c r="A764" s="12"/>
      <c r="B764" s="12"/>
      <c r="C764" s="12"/>
      <c r="D764" s="12"/>
      <c r="E764" s="12"/>
    </row>
    <row r="765" ht="15.75" customHeight="1">
      <c r="A765" s="12"/>
      <c r="B765" s="12"/>
      <c r="C765" s="12"/>
      <c r="D765" s="12"/>
      <c r="E765" s="12"/>
    </row>
    <row r="766" ht="15.75" customHeight="1">
      <c r="A766" s="12"/>
      <c r="B766" s="12"/>
      <c r="C766" s="12"/>
      <c r="D766" s="12"/>
      <c r="E766" s="12"/>
    </row>
    <row r="767" ht="15.75" customHeight="1">
      <c r="A767" s="12"/>
      <c r="B767" s="12"/>
      <c r="C767" s="12"/>
      <c r="D767" s="12"/>
      <c r="E767" s="12"/>
    </row>
    <row r="768" ht="15.75" customHeight="1">
      <c r="A768" s="12"/>
      <c r="B768" s="12"/>
      <c r="C768" s="12"/>
      <c r="D768" s="12"/>
      <c r="E768" s="12"/>
    </row>
    <row r="769" ht="15.75" customHeight="1">
      <c r="A769" s="12"/>
      <c r="B769" s="12"/>
      <c r="C769" s="12"/>
      <c r="D769" s="12"/>
      <c r="E769" s="12"/>
    </row>
    <row r="770" ht="15.75" customHeight="1">
      <c r="A770" s="12"/>
      <c r="B770" s="12"/>
      <c r="C770" s="12"/>
      <c r="D770" s="12"/>
      <c r="E770" s="12"/>
    </row>
    <row r="771" ht="15.75" customHeight="1">
      <c r="A771" s="12"/>
      <c r="B771" s="12"/>
      <c r="C771" s="12"/>
      <c r="D771" s="12"/>
      <c r="E771" s="12"/>
    </row>
    <row r="772" ht="15.75" customHeight="1">
      <c r="A772" s="12"/>
      <c r="B772" s="12"/>
      <c r="C772" s="12"/>
      <c r="D772" s="12"/>
      <c r="E772" s="12"/>
    </row>
    <row r="773" ht="15.75" customHeight="1">
      <c r="A773" s="12"/>
      <c r="B773" s="12"/>
      <c r="C773" s="12"/>
      <c r="D773" s="12"/>
      <c r="E773" s="12"/>
    </row>
    <row r="774" ht="15.75" customHeight="1">
      <c r="A774" s="12"/>
      <c r="B774" s="12"/>
      <c r="C774" s="12"/>
      <c r="D774" s="12"/>
      <c r="E774" s="12"/>
    </row>
    <row r="775" ht="15.75" customHeight="1">
      <c r="A775" s="12"/>
      <c r="B775" s="12"/>
      <c r="C775" s="12"/>
      <c r="D775" s="12"/>
      <c r="E775" s="12"/>
    </row>
    <row r="776" ht="15.75" customHeight="1">
      <c r="A776" s="12"/>
      <c r="B776" s="12"/>
      <c r="C776" s="12"/>
      <c r="D776" s="12"/>
      <c r="E776" s="12"/>
    </row>
    <row r="777" ht="15.75" customHeight="1">
      <c r="A777" s="12"/>
      <c r="B777" s="12"/>
      <c r="C777" s="12"/>
      <c r="D777" s="12"/>
      <c r="E777" s="12"/>
    </row>
    <row r="778" ht="15.75" customHeight="1">
      <c r="A778" s="12"/>
      <c r="B778" s="12"/>
      <c r="C778" s="12"/>
      <c r="D778" s="12"/>
      <c r="E778" s="12"/>
    </row>
    <row r="779" ht="15.75" customHeight="1">
      <c r="A779" s="12"/>
      <c r="B779" s="12"/>
      <c r="C779" s="12"/>
      <c r="D779" s="12"/>
      <c r="E779" s="12"/>
    </row>
    <row r="780" ht="15.75" customHeight="1">
      <c r="A780" s="12"/>
      <c r="B780" s="12"/>
      <c r="C780" s="12"/>
      <c r="D780" s="12"/>
      <c r="E780" s="12"/>
    </row>
    <row r="781" ht="15.75" customHeight="1">
      <c r="A781" s="12"/>
      <c r="B781" s="12"/>
      <c r="C781" s="12"/>
      <c r="D781" s="12"/>
      <c r="E781" s="12"/>
    </row>
    <row r="782" ht="15.75" customHeight="1">
      <c r="A782" s="12"/>
      <c r="B782" s="12"/>
      <c r="C782" s="12"/>
      <c r="D782" s="12"/>
      <c r="E782" s="12"/>
    </row>
    <row r="783" ht="15.75" customHeight="1">
      <c r="A783" s="12"/>
      <c r="B783" s="12"/>
      <c r="C783" s="12"/>
      <c r="D783" s="12"/>
      <c r="E783" s="12"/>
    </row>
    <row r="784" ht="15.75" customHeight="1">
      <c r="A784" s="12"/>
      <c r="B784" s="12"/>
      <c r="C784" s="12"/>
      <c r="D784" s="12"/>
      <c r="E784" s="12"/>
    </row>
    <row r="785" ht="15.75" customHeight="1">
      <c r="A785" s="12"/>
      <c r="B785" s="12"/>
      <c r="C785" s="12"/>
      <c r="D785" s="12"/>
      <c r="E785" s="12"/>
    </row>
    <row r="786" ht="15.75" customHeight="1">
      <c r="A786" s="12"/>
      <c r="B786" s="12"/>
      <c r="C786" s="12"/>
      <c r="D786" s="12"/>
      <c r="E786" s="12"/>
    </row>
    <row r="787" ht="15.75" customHeight="1">
      <c r="A787" s="12"/>
      <c r="B787" s="12"/>
      <c r="C787" s="12"/>
      <c r="D787" s="12"/>
      <c r="E787" s="12"/>
    </row>
    <row r="788" ht="15.75" customHeight="1">
      <c r="A788" s="12"/>
      <c r="B788" s="12"/>
      <c r="C788" s="12"/>
      <c r="D788" s="12"/>
      <c r="E788" s="12"/>
    </row>
    <row r="789" ht="15.75" customHeight="1">
      <c r="A789" s="12"/>
      <c r="B789" s="12"/>
      <c r="C789" s="12"/>
      <c r="D789" s="12"/>
      <c r="E789" s="12"/>
    </row>
    <row r="790" ht="15.75" customHeight="1">
      <c r="A790" s="12"/>
      <c r="B790" s="12"/>
      <c r="C790" s="12"/>
      <c r="D790" s="12"/>
      <c r="E790" s="12"/>
    </row>
    <row r="791" ht="15.75" customHeight="1">
      <c r="A791" s="12"/>
      <c r="B791" s="12"/>
      <c r="C791" s="12"/>
      <c r="D791" s="12"/>
      <c r="E791" s="12"/>
    </row>
    <row r="792" ht="15.75" customHeight="1">
      <c r="A792" s="12"/>
      <c r="B792" s="12"/>
      <c r="C792" s="12"/>
      <c r="D792" s="12"/>
      <c r="E792" s="12"/>
    </row>
    <row r="793" ht="15.75" customHeight="1">
      <c r="A793" s="12"/>
      <c r="B793" s="12"/>
      <c r="C793" s="12"/>
      <c r="D793" s="12"/>
      <c r="E793" s="12"/>
    </row>
    <row r="794" ht="15.75" customHeight="1">
      <c r="A794" s="12"/>
      <c r="B794" s="12"/>
      <c r="C794" s="12"/>
      <c r="D794" s="12"/>
      <c r="E794" s="12"/>
    </row>
    <row r="795" ht="15.75" customHeight="1">
      <c r="A795" s="12"/>
      <c r="B795" s="12"/>
      <c r="C795" s="12"/>
      <c r="D795" s="12"/>
      <c r="E795" s="12"/>
    </row>
    <row r="796" ht="15.75" customHeight="1">
      <c r="A796" s="12"/>
      <c r="B796" s="12"/>
      <c r="C796" s="12"/>
      <c r="D796" s="12"/>
      <c r="E796" s="12"/>
    </row>
    <row r="797" ht="15.75" customHeight="1">
      <c r="A797" s="12"/>
      <c r="B797" s="12"/>
      <c r="C797" s="12"/>
      <c r="D797" s="12"/>
      <c r="E797" s="12"/>
    </row>
    <row r="798" ht="15.75" customHeight="1">
      <c r="A798" s="12"/>
      <c r="B798" s="12"/>
      <c r="C798" s="12"/>
      <c r="D798" s="12"/>
      <c r="E798" s="12"/>
    </row>
    <row r="799" ht="15.75" customHeight="1">
      <c r="A799" s="12"/>
      <c r="B799" s="12"/>
      <c r="C799" s="12"/>
      <c r="D799" s="12"/>
      <c r="E799" s="12"/>
    </row>
    <row r="800" ht="15.75" customHeight="1">
      <c r="A800" s="12"/>
      <c r="B800" s="12"/>
      <c r="C800" s="12"/>
      <c r="D800" s="12"/>
      <c r="E800" s="12"/>
    </row>
    <row r="801" ht="15.75" customHeight="1">
      <c r="A801" s="12"/>
      <c r="B801" s="12"/>
      <c r="C801" s="12"/>
      <c r="D801" s="12"/>
      <c r="E801" s="12"/>
    </row>
    <row r="802" ht="15.75" customHeight="1">
      <c r="A802" s="12"/>
      <c r="B802" s="12"/>
      <c r="C802" s="12"/>
      <c r="D802" s="12"/>
      <c r="E802" s="12"/>
    </row>
    <row r="803" ht="15.75" customHeight="1">
      <c r="A803" s="12"/>
      <c r="B803" s="12"/>
      <c r="C803" s="12"/>
      <c r="D803" s="12"/>
      <c r="E803" s="12"/>
    </row>
    <row r="804" ht="15.75" customHeight="1">
      <c r="A804" s="12"/>
      <c r="B804" s="12"/>
      <c r="C804" s="12"/>
      <c r="D804" s="12"/>
      <c r="E804" s="12"/>
    </row>
    <row r="805" ht="15.75" customHeight="1">
      <c r="A805" s="12"/>
      <c r="B805" s="12"/>
      <c r="C805" s="12"/>
      <c r="D805" s="12"/>
      <c r="E805" s="12"/>
    </row>
    <row r="806" ht="15.75" customHeight="1">
      <c r="A806" s="12"/>
      <c r="B806" s="12"/>
      <c r="C806" s="12"/>
      <c r="D806" s="12"/>
      <c r="E806" s="12"/>
    </row>
    <row r="807" ht="15.75" customHeight="1">
      <c r="A807" s="12"/>
      <c r="B807" s="12"/>
      <c r="C807" s="12"/>
      <c r="D807" s="12"/>
      <c r="E807" s="12"/>
    </row>
    <row r="808" ht="15.75" customHeight="1">
      <c r="A808" s="12"/>
      <c r="B808" s="12"/>
      <c r="C808" s="12"/>
      <c r="D808" s="12"/>
      <c r="E808" s="12"/>
    </row>
    <row r="809" ht="15.75" customHeight="1">
      <c r="A809" s="12"/>
      <c r="B809" s="12"/>
      <c r="C809" s="12"/>
      <c r="D809" s="12"/>
      <c r="E809" s="12"/>
    </row>
    <row r="810" ht="15.75" customHeight="1">
      <c r="A810" s="12"/>
      <c r="B810" s="12"/>
      <c r="C810" s="12"/>
      <c r="D810" s="12"/>
      <c r="E810" s="12"/>
    </row>
    <row r="811" ht="15.75" customHeight="1">
      <c r="A811" s="12"/>
      <c r="B811" s="12"/>
      <c r="C811" s="12"/>
      <c r="D811" s="12"/>
      <c r="E811" s="12"/>
    </row>
    <row r="812" ht="15.75" customHeight="1">
      <c r="A812" s="12"/>
      <c r="B812" s="12"/>
      <c r="C812" s="12"/>
      <c r="D812" s="12"/>
      <c r="E812" s="12"/>
    </row>
    <row r="813" ht="15.75" customHeight="1">
      <c r="A813" s="12"/>
      <c r="B813" s="12"/>
      <c r="C813" s="12"/>
      <c r="D813" s="12"/>
      <c r="E813" s="12"/>
    </row>
    <row r="814" ht="15.75" customHeight="1">
      <c r="A814" s="12"/>
      <c r="B814" s="12"/>
      <c r="C814" s="12"/>
      <c r="D814" s="12"/>
      <c r="E814" s="12"/>
    </row>
    <row r="815" ht="15.75" customHeight="1">
      <c r="A815" s="12"/>
      <c r="B815" s="12"/>
      <c r="C815" s="12"/>
      <c r="D815" s="12"/>
      <c r="E815" s="12"/>
    </row>
    <row r="816" ht="15.75" customHeight="1">
      <c r="A816" s="12"/>
      <c r="B816" s="12"/>
      <c r="C816" s="12"/>
      <c r="D816" s="12"/>
      <c r="E816" s="12"/>
    </row>
    <row r="817" ht="15.75" customHeight="1">
      <c r="A817" s="12"/>
      <c r="B817" s="12"/>
      <c r="C817" s="12"/>
      <c r="D817" s="12"/>
      <c r="E817" s="12"/>
    </row>
    <row r="818" ht="15.75" customHeight="1">
      <c r="A818" s="12"/>
      <c r="B818" s="12"/>
      <c r="C818" s="12"/>
      <c r="D818" s="12"/>
      <c r="E818" s="12"/>
    </row>
    <row r="819" ht="15.75" customHeight="1">
      <c r="A819" s="12"/>
      <c r="B819" s="12"/>
      <c r="C819" s="12"/>
      <c r="D819" s="12"/>
      <c r="E819" s="12"/>
    </row>
    <row r="820" ht="15.75" customHeight="1">
      <c r="A820" s="12"/>
      <c r="B820" s="12"/>
      <c r="C820" s="12"/>
      <c r="D820" s="12"/>
      <c r="E820" s="12"/>
    </row>
    <row r="821" ht="15.75" customHeight="1">
      <c r="A821" s="12"/>
      <c r="B821" s="12"/>
      <c r="C821" s="12"/>
      <c r="D821" s="12"/>
      <c r="E821" s="12"/>
    </row>
    <row r="822" ht="15.75" customHeight="1">
      <c r="A822" s="12"/>
      <c r="B822" s="12"/>
      <c r="C822" s="12"/>
      <c r="D822" s="12"/>
      <c r="E822" s="12"/>
    </row>
    <row r="823" ht="15.75" customHeight="1">
      <c r="A823" s="12"/>
      <c r="B823" s="12"/>
      <c r="C823" s="12"/>
      <c r="D823" s="12"/>
      <c r="E823" s="12"/>
    </row>
    <row r="824" ht="15.75" customHeight="1">
      <c r="A824" s="12"/>
      <c r="B824" s="12"/>
      <c r="C824" s="12"/>
      <c r="D824" s="12"/>
      <c r="E824" s="12"/>
    </row>
    <row r="825" ht="15.75" customHeight="1">
      <c r="A825" s="12"/>
      <c r="B825" s="12"/>
      <c r="C825" s="12"/>
      <c r="D825" s="12"/>
      <c r="E825" s="12"/>
    </row>
    <row r="826" ht="15.75" customHeight="1">
      <c r="A826" s="12"/>
      <c r="B826" s="12"/>
      <c r="C826" s="12"/>
      <c r="D826" s="12"/>
      <c r="E826" s="12"/>
    </row>
    <row r="827" ht="15.75" customHeight="1">
      <c r="A827" s="12"/>
      <c r="B827" s="12"/>
      <c r="C827" s="12"/>
      <c r="D827" s="12"/>
      <c r="E827" s="12"/>
    </row>
    <row r="828" ht="15.75" customHeight="1">
      <c r="A828" s="12"/>
      <c r="B828" s="12"/>
      <c r="C828" s="12"/>
      <c r="D828" s="12"/>
      <c r="E828" s="12"/>
    </row>
    <row r="829" ht="15.75" customHeight="1">
      <c r="A829" s="12"/>
      <c r="B829" s="12"/>
      <c r="C829" s="12"/>
      <c r="D829" s="12"/>
      <c r="E829" s="12"/>
    </row>
    <row r="830" ht="15.75" customHeight="1">
      <c r="A830" s="12"/>
      <c r="B830" s="12"/>
      <c r="C830" s="12"/>
      <c r="D830" s="12"/>
      <c r="E830" s="12"/>
    </row>
    <row r="831" ht="15.75" customHeight="1">
      <c r="A831" s="12"/>
      <c r="B831" s="12"/>
      <c r="C831" s="12"/>
      <c r="D831" s="12"/>
      <c r="E831" s="12"/>
    </row>
    <row r="832" ht="15.75" customHeight="1">
      <c r="A832" s="12"/>
      <c r="B832" s="12"/>
      <c r="C832" s="12"/>
      <c r="D832" s="12"/>
      <c r="E832" s="12"/>
    </row>
    <row r="833" ht="15.75" customHeight="1">
      <c r="A833" s="12"/>
      <c r="B833" s="12"/>
      <c r="C833" s="12"/>
      <c r="D833" s="12"/>
      <c r="E833" s="12"/>
    </row>
    <row r="834" ht="15.75" customHeight="1">
      <c r="A834" s="12"/>
      <c r="B834" s="12"/>
      <c r="C834" s="12"/>
      <c r="D834" s="12"/>
      <c r="E834" s="12"/>
    </row>
    <row r="835" ht="15.75" customHeight="1">
      <c r="A835" s="12"/>
      <c r="B835" s="12"/>
      <c r="C835" s="12"/>
      <c r="D835" s="12"/>
      <c r="E835" s="12"/>
    </row>
    <row r="836" ht="15.75" customHeight="1">
      <c r="A836" s="12"/>
      <c r="B836" s="12"/>
      <c r="C836" s="12"/>
      <c r="D836" s="12"/>
      <c r="E836" s="12"/>
    </row>
    <row r="837" ht="15.75" customHeight="1">
      <c r="A837" s="12"/>
      <c r="B837" s="12"/>
      <c r="C837" s="12"/>
      <c r="D837" s="12"/>
      <c r="E837" s="12"/>
    </row>
    <row r="838" ht="15.75" customHeight="1">
      <c r="A838" s="12"/>
      <c r="B838" s="12"/>
      <c r="C838" s="12"/>
      <c r="D838" s="12"/>
      <c r="E838" s="12"/>
    </row>
    <row r="839" ht="15.75" customHeight="1">
      <c r="A839" s="12"/>
      <c r="B839" s="12"/>
      <c r="C839" s="12"/>
      <c r="D839" s="12"/>
      <c r="E839" s="12"/>
    </row>
    <row r="840" ht="15.75" customHeight="1">
      <c r="A840" s="12"/>
      <c r="B840" s="12"/>
      <c r="C840" s="12"/>
      <c r="D840" s="12"/>
      <c r="E840" s="12"/>
    </row>
    <row r="841" ht="15.75" customHeight="1">
      <c r="A841" s="12"/>
      <c r="B841" s="12"/>
      <c r="C841" s="12"/>
      <c r="D841" s="12"/>
      <c r="E841" s="12"/>
    </row>
    <row r="842" ht="15.75" customHeight="1">
      <c r="A842" s="12"/>
      <c r="B842" s="12"/>
      <c r="C842" s="12"/>
      <c r="D842" s="12"/>
      <c r="E842" s="12"/>
    </row>
    <row r="843" ht="15.75" customHeight="1">
      <c r="A843" s="12"/>
      <c r="B843" s="12"/>
      <c r="C843" s="12"/>
      <c r="D843" s="12"/>
      <c r="E843" s="12"/>
    </row>
    <row r="844" ht="15.75" customHeight="1">
      <c r="A844" s="12"/>
      <c r="B844" s="12"/>
      <c r="C844" s="12"/>
      <c r="D844" s="12"/>
      <c r="E844" s="12"/>
    </row>
    <row r="845" ht="15.75" customHeight="1">
      <c r="A845" s="12"/>
      <c r="B845" s="12"/>
      <c r="C845" s="12"/>
      <c r="D845" s="12"/>
      <c r="E845" s="12"/>
    </row>
    <row r="846" ht="15.75" customHeight="1">
      <c r="A846" s="12"/>
      <c r="B846" s="12"/>
      <c r="C846" s="12"/>
      <c r="D846" s="12"/>
      <c r="E846" s="12"/>
    </row>
    <row r="847" ht="15.75" customHeight="1">
      <c r="A847" s="12"/>
      <c r="B847" s="12"/>
      <c r="C847" s="12"/>
      <c r="D847" s="12"/>
      <c r="E847" s="12"/>
    </row>
    <row r="848" ht="15.75" customHeight="1">
      <c r="A848" s="12"/>
      <c r="B848" s="12"/>
      <c r="C848" s="12"/>
      <c r="D848" s="12"/>
      <c r="E848" s="12"/>
    </row>
    <row r="849" ht="15.75" customHeight="1">
      <c r="A849" s="12"/>
      <c r="B849" s="12"/>
      <c r="C849" s="12"/>
      <c r="D849" s="12"/>
      <c r="E849" s="12"/>
    </row>
    <row r="850" ht="15.75" customHeight="1">
      <c r="A850" s="12"/>
      <c r="B850" s="12"/>
      <c r="C850" s="12"/>
      <c r="D850" s="12"/>
      <c r="E850" s="12"/>
    </row>
    <row r="851" ht="15.75" customHeight="1">
      <c r="A851" s="12"/>
      <c r="B851" s="12"/>
      <c r="C851" s="12"/>
      <c r="D851" s="12"/>
      <c r="E851" s="12"/>
    </row>
    <row r="852" ht="15.75" customHeight="1">
      <c r="A852" s="12"/>
      <c r="B852" s="12"/>
      <c r="C852" s="12"/>
      <c r="D852" s="12"/>
      <c r="E852" s="12"/>
    </row>
    <row r="853" ht="15.75" customHeight="1">
      <c r="A853" s="12"/>
      <c r="B853" s="12"/>
      <c r="C853" s="12"/>
      <c r="D853" s="12"/>
      <c r="E853" s="12"/>
    </row>
    <row r="854" ht="15.75" customHeight="1">
      <c r="A854" s="12"/>
      <c r="B854" s="12"/>
      <c r="C854" s="12"/>
      <c r="D854" s="12"/>
      <c r="E854" s="12"/>
    </row>
    <row r="855" ht="15.75" customHeight="1">
      <c r="A855" s="12"/>
      <c r="B855" s="12"/>
      <c r="C855" s="12"/>
      <c r="D855" s="12"/>
      <c r="E855" s="12"/>
    </row>
    <row r="856" ht="15.75" customHeight="1">
      <c r="A856" s="12"/>
      <c r="B856" s="12"/>
      <c r="C856" s="12"/>
      <c r="D856" s="12"/>
      <c r="E856" s="12"/>
    </row>
    <row r="857" ht="15.75" customHeight="1">
      <c r="A857" s="12"/>
      <c r="B857" s="12"/>
      <c r="C857" s="12"/>
      <c r="D857" s="12"/>
      <c r="E857" s="12"/>
    </row>
    <row r="858" ht="15.75" customHeight="1">
      <c r="A858" s="12"/>
      <c r="B858" s="12"/>
      <c r="C858" s="12"/>
      <c r="D858" s="12"/>
      <c r="E858" s="12"/>
    </row>
    <row r="859" ht="15.75" customHeight="1">
      <c r="A859" s="12"/>
      <c r="B859" s="12"/>
      <c r="C859" s="12"/>
      <c r="D859" s="12"/>
      <c r="E859" s="12"/>
    </row>
    <row r="860" ht="15.75" customHeight="1">
      <c r="A860" s="12"/>
      <c r="B860" s="12"/>
      <c r="C860" s="12"/>
      <c r="D860" s="12"/>
      <c r="E860" s="12"/>
    </row>
    <row r="861" ht="15.75" customHeight="1">
      <c r="A861" s="12"/>
      <c r="B861" s="12"/>
      <c r="C861" s="12"/>
      <c r="D861" s="12"/>
      <c r="E861" s="12"/>
    </row>
    <row r="862" ht="15.75" customHeight="1">
      <c r="A862" s="12"/>
      <c r="B862" s="12"/>
      <c r="C862" s="12"/>
      <c r="D862" s="12"/>
      <c r="E862" s="12"/>
    </row>
    <row r="863" ht="15.75" customHeight="1">
      <c r="A863" s="12"/>
      <c r="B863" s="12"/>
      <c r="C863" s="12"/>
      <c r="D863" s="12"/>
      <c r="E863" s="12"/>
    </row>
    <row r="864" ht="15.75" customHeight="1">
      <c r="A864" s="12"/>
      <c r="B864" s="12"/>
      <c r="C864" s="12"/>
      <c r="D864" s="12"/>
      <c r="E864" s="12"/>
    </row>
    <row r="865" ht="15.75" customHeight="1">
      <c r="A865" s="12"/>
      <c r="B865" s="12"/>
      <c r="C865" s="12"/>
      <c r="D865" s="12"/>
      <c r="E865" s="12"/>
    </row>
    <row r="866" ht="15.75" customHeight="1">
      <c r="A866" s="12"/>
      <c r="B866" s="12"/>
      <c r="C866" s="12"/>
      <c r="D866" s="12"/>
      <c r="E866" s="12"/>
    </row>
    <row r="867" ht="15.75" customHeight="1">
      <c r="A867" s="12"/>
      <c r="B867" s="12"/>
      <c r="C867" s="12"/>
      <c r="D867" s="12"/>
      <c r="E867" s="12"/>
    </row>
    <row r="868" ht="15.75" customHeight="1">
      <c r="A868" s="12"/>
      <c r="B868" s="12"/>
      <c r="C868" s="12"/>
      <c r="D868" s="12"/>
      <c r="E868" s="12"/>
    </row>
    <row r="869" ht="15.75" customHeight="1">
      <c r="A869" s="12"/>
      <c r="B869" s="12"/>
      <c r="C869" s="12"/>
      <c r="D869" s="12"/>
      <c r="E869" s="12"/>
    </row>
    <row r="870" ht="15.75" customHeight="1">
      <c r="A870" s="12"/>
      <c r="B870" s="12"/>
      <c r="C870" s="12"/>
      <c r="D870" s="12"/>
      <c r="E870" s="12"/>
    </row>
    <row r="871" ht="15.75" customHeight="1">
      <c r="A871" s="12"/>
      <c r="B871" s="12"/>
      <c r="C871" s="12"/>
      <c r="D871" s="12"/>
      <c r="E871" s="12"/>
    </row>
    <row r="872" ht="15.75" customHeight="1">
      <c r="A872" s="12"/>
      <c r="B872" s="12"/>
      <c r="C872" s="12"/>
      <c r="D872" s="12"/>
      <c r="E872" s="12"/>
    </row>
    <row r="873" ht="15.75" customHeight="1">
      <c r="A873" s="12"/>
      <c r="B873" s="12"/>
      <c r="C873" s="12"/>
      <c r="D873" s="12"/>
      <c r="E873" s="12"/>
    </row>
    <row r="874" ht="15.75" customHeight="1">
      <c r="A874" s="12"/>
      <c r="B874" s="12"/>
      <c r="C874" s="12"/>
      <c r="D874" s="12"/>
      <c r="E874" s="12"/>
    </row>
    <row r="875" ht="15.75" customHeight="1">
      <c r="A875" s="12"/>
      <c r="B875" s="12"/>
      <c r="C875" s="12"/>
      <c r="D875" s="12"/>
      <c r="E875" s="12"/>
    </row>
    <row r="876" ht="15.75" customHeight="1">
      <c r="A876" s="12"/>
      <c r="B876" s="12"/>
      <c r="C876" s="12"/>
      <c r="D876" s="12"/>
      <c r="E876" s="12"/>
    </row>
    <row r="877" ht="15.75" customHeight="1">
      <c r="A877" s="12"/>
      <c r="B877" s="12"/>
      <c r="C877" s="12"/>
      <c r="D877" s="12"/>
      <c r="E877" s="12"/>
    </row>
    <row r="878" ht="15.75" customHeight="1">
      <c r="A878" s="12"/>
      <c r="B878" s="12"/>
      <c r="C878" s="12"/>
      <c r="D878" s="12"/>
      <c r="E878" s="12"/>
    </row>
    <row r="879" ht="15.75" customHeight="1">
      <c r="A879" s="12"/>
      <c r="B879" s="12"/>
      <c r="C879" s="12"/>
      <c r="D879" s="12"/>
      <c r="E879" s="12"/>
    </row>
    <row r="880" ht="15.75" customHeight="1">
      <c r="A880" s="12"/>
      <c r="B880" s="12"/>
      <c r="C880" s="12"/>
      <c r="D880" s="12"/>
      <c r="E880" s="12"/>
    </row>
    <row r="881" ht="15.75" customHeight="1">
      <c r="A881" s="12"/>
      <c r="B881" s="12"/>
      <c r="C881" s="12"/>
      <c r="D881" s="12"/>
      <c r="E881" s="12"/>
    </row>
    <row r="882" ht="15.75" customHeight="1">
      <c r="A882" s="12"/>
      <c r="B882" s="12"/>
      <c r="C882" s="12"/>
      <c r="D882" s="12"/>
      <c r="E882" s="12"/>
    </row>
    <row r="883" ht="15.75" customHeight="1">
      <c r="A883" s="12"/>
      <c r="B883" s="12"/>
      <c r="C883" s="12"/>
      <c r="D883" s="12"/>
      <c r="E883" s="12"/>
    </row>
    <row r="884" ht="15.75" customHeight="1">
      <c r="A884" s="12"/>
      <c r="B884" s="12"/>
      <c r="C884" s="12"/>
      <c r="D884" s="12"/>
      <c r="E884" s="12"/>
    </row>
    <row r="885" ht="15.75" customHeight="1">
      <c r="A885" s="12"/>
      <c r="B885" s="12"/>
      <c r="C885" s="12"/>
      <c r="D885" s="12"/>
      <c r="E885" s="12"/>
    </row>
    <row r="886" ht="15.75" customHeight="1">
      <c r="A886" s="12"/>
      <c r="B886" s="12"/>
      <c r="C886" s="12"/>
      <c r="D886" s="12"/>
      <c r="E886" s="12"/>
    </row>
    <row r="887" ht="15.75" customHeight="1">
      <c r="A887" s="12"/>
      <c r="B887" s="12"/>
      <c r="C887" s="12"/>
      <c r="D887" s="12"/>
      <c r="E887" s="12"/>
    </row>
    <row r="888" ht="15.75" customHeight="1">
      <c r="A888" s="12"/>
      <c r="B888" s="12"/>
      <c r="C888" s="12"/>
      <c r="D888" s="12"/>
      <c r="E888" s="12"/>
    </row>
    <row r="889" ht="15.75" customHeight="1">
      <c r="A889" s="12"/>
      <c r="B889" s="12"/>
      <c r="C889" s="12"/>
      <c r="D889" s="12"/>
      <c r="E889" s="12"/>
    </row>
    <row r="890" ht="15.75" customHeight="1">
      <c r="A890" s="12"/>
      <c r="B890" s="12"/>
      <c r="C890" s="12"/>
      <c r="D890" s="12"/>
      <c r="E890" s="12"/>
    </row>
    <row r="891" ht="15.75" customHeight="1">
      <c r="A891" s="12"/>
      <c r="B891" s="12"/>
      <c r="C891" s="12"/>
      <c r="D891" s="12"/>
      <c r="E891" s="12"/>
    </row>
    <row r="892" ht="15.75" customHeight="1">
      <c r="A892" s="12"/>
      <c r="B892" s="12"/>
      <c r="C892" s="12"/>
      <c r="D892" s="12"/>
      <c r="E892" s="12"/>
    </row>
    <row r="893" ht="15.75" customHeight="1">
      <c r="A893" s="12"/>
      <c r="B893" s="12"/>
      <c r="C893" s="12"/>
      <c r="D893" s="12"/>
      <c r="E893" s="12"/>
    </row>
    <row r="894" ht="15.75" customHeight="1">
      <c r="A894" s="12"/>
      <c r="B894" s="12"/>
      <c r="C894" s="12"/>
      <c r="D894" s="12"/>
      <c r="E894" s="12"/>
    </row>
    <row r="895" ht="15.75" customHeight="1">
      <c r="A895" s="12"/>
      <c r="B895" s="12"/>
      <c r="C895" s="12"/>
      <c r="D895" s="12"/>
      <c r="E895" s="12"/>
    </row>
    <row r="896" ht="15.75" customHeight="1">
      <c r="A896" s="12"/>
      <c r="B896" s="12"/>
      <c r="C896" s="12"/>
      <c r="D896" s="12"/>
      <c r="E896" s="12"/>
    </row>
    <row r="897" ht="15.75" customHeight="1">
      <c r="A897" s="12"/>
      <c r="B897" s="12"/>
      <c r="C897" s="12"/>
      <c r="D897" s="12"/>
      <c r="E897" s="12"/>
    </row>
    <row r="898" ht="15.75" customHeight="1">
      <c r="A898" s="12"/>
      <c r="B898" s="12"/>
      <c r="C898" s="12"/>
      <c r="D898" s="12"/>
      <c r="E898" s="12"/>
    </row>
    <row r="899" ht="15.75" customHeight="1">
      <c r="A899" s="12"/>
      <c r="B899" s="12"/>
      <c r="C899" s="12"/>
      <c r="D899" s="12"/>
      <c r="E899" s="12"/>
    </row>
    <row r="900" ht="15.75" customHeight="1">
      <c r="A900" s="12"/>
      <c r="B900" s="12"/>
      <c r="C900" s="12"/>
      <c r="D900" s="12"/>
      <c r="E900" s="12"/>
    </row>
    <row r="901" ht="15.75" customHeight="1">
      <c r="A901" s="12"/>
      <c r="B901" s="12"/>
      <c r="C901" s="12"/>
      <c r="D901" s="12"/>
      <c r="E901" s="12"/>
    </row>
    <row r="902" ht="15.75" customHeight="1">
      <c r="A902" s="12"/>
      <c r="B902" s="12"/>
      <c r="C902" s="12"/>
      <c r="D902" s="12"/>
      <c r="E902" s="12"/>
    </row>
    <row r="903" ht="15.75" customHeight="1">
      <c r="A903" s="12"/>
      <c r="B903" s="12"/>
      <c r="C903" s="12"/>
      <c r="D903" s="12"/>
      <c r="E903" s="12"/>
    </row>
    <row r="904" ht="15.75" customHeight="1">
      <c r="A904" s="12"/>
      <c r="B904" s="12"/>
      <c r="C904" s="12"/>
      <c r="D904" s="12"/>
      <c r="E904" s="12"/>
    </row>
    <row r="905" ht="15.75" customHeight="1">
      <c r="A905" s="12"/>
      <c r="B905" s="12"/>
      <c r="C905" s="12"/>
      <c r="D905" s="12"/>
      <c r="E905" s="12"/>
    </row>
    <row r="906" ht="15.75" customHeight="1">
      <c r="A906" s="12"/>
      <c r="B906" s="12"/>
      <c r="C906" s="12"/>
      <c r="D906" s="12"/>
      <c r="E906" s="12"/>
    </row>
    <row r="907" ht="15.75" customHeight="1">
      <c r="A907" s="12"/>
      <c r="B907" s="12"/>
      <c r="C907" s="12"/>
      <c r="D907" s="12"/>
      <c r="E907" s="12"/>
    </row>
    <row r="908" ht="15.75" customHeight="1">
      <c r="A908" s="12"/>
      <c r="B908" s="12"/>
      <c r="C908" s="12"/>
      <c r="D908" s="12"/>
      <c r="E908" s="12"/>
    </row>
    <row r="909" ht="15.75" customHeight="1">
      <c r="A909" s="12"/>
      <c r="B909" s="12"/>
      <c r="C909" s="12"/>
      <c r="D909" s="12"/>
      <c r="E909" s="12"/>
    </row>
    <row r="910" ht="15.75" customHeight="1">
      <c r="A910" s="12"/>
      <c r="B910" s="12"/>
      <c r="C910" s="12"/>
      <c r="D910" s="12"/>
      <c r="E910" s="12"/>
    </row>
    <row r="911" ht="15.75" customHeight="1">
      <c r="A911" s="12"/>
      <c r="B911" s="12"/>
      <c r="C911" s="12"/>
      <c r="D911" s="12"/>
      <c r="E911" s="12"/>
    </row>
    <row r="912" ht="15.75" customHeight="1">
      <c r="A912" s="12"/>
      <c r="B912" s="12"/>
      <c r="C912" s="12"/>
      <c r="D912" s="12"/>
      <c r="E912" s="12"/>
    </row>
    <row r="913" ht="15.75" customHeight="1">
      <c r="A913" s="12"/>
      <c r="B913" s="12"/>
      <c r="C913" s="12"/>
      <c r="D913" s="12"/>
      <c r="E913" s="12"/>
    </row>
    <row r="914" ht="15.75" customHeight="1">
      <c r="A914" s="12"/>
      <c r="B914" s="12"/>
      <c r="C914" s="12"/>
      <c r="D914" s="12"/>
      <c r="E914" s="12"/>
    </row>
    <row r="915" ht="15.75" customHeight="1">
      <c r="A915" s="12"/>
      <c r="B915" s="12"/>
      <c r="C915" s="12"/>
      <c r="D915" s="12"/>
      <c r="E915" s="12"/>
    </row>
    <row r="916" ht="15.75" customHeight="1">
      <c r="A916" s="12"/>
      <c r="B916" s="12"/>
      <c r="C916" s="12"/>
      <c r="D916" s="12"/>
      <c r="E916" s="12"/>
    </row>
    <row r="917" ht="15.75" customHeight="1">
      <c r="A917" s="12"/>
      <c r="B917" s="12"/>
      <c r="C917" s="12"/>
      <c r="D917" s="12"/>
      <c r="E917" s="12"/>
    </row>
    <row r="918" ht="15.75" customHeight="1">
      <c r="A918" s="12"/>
      <c r="B918" s="12"/>
      <c r="C918" s="12"/>
      <c r="D918" s="12"/>
      <c r="E918" s="12"/>
    </row>
    <row r="919" ht="15.75" customHeight="1">
      <c r="A919" s="12"/>
      <c r="B919" s="12"/>
      <c r="C919" s="12"/>
      <c r="D919" s="12"/>
      <c r="E919" s="12"/>
    </row>
    <row r="920" ht="15.75" customHeight="1">
      <c r="A920" s="12"/>
      <c r="B920" s="12"/>
      <c r="C920" s="12"/>
      <c r="D920" s="12"/>
      <c r="E920" s="12"/>
    </row>
    <row r="921" ht="15.75" customHeight="1">
      <c r="A921" s="12"/>
      <c r="B921" s="12"/>
      <c r="C921" s="12"/>
      <c r="D921" s="12"/>
      <c r="E921" s="12"/>
    </row>
    <row r="922" ht="15.75" customHeight="1">
      <c r="A922" s="12"/>
      <c r="B922" s="12"/>
      <c r="C922" s="12"/>
      <c r="D922" s="12"/>
      <c r="E922" s="12"/>
    </row>
    <row r="923" ht="15.75" customHeight="1">
      <c r="A923" s="12"/>
      <c r="B923" s="12"/>
      <c r="C923" s="12"/>
      <c r="D923" s="12"/>
      <c r="E923" s="12"/>
    </row>
    <row r="924" ht="15.75" customHeight="1">
      <c r="A924" s="12"/>
      <c r="B924" s="12"/>
      <c r="C924" s="12"/>
      <c r="D924" s="12"/>
      <c r="E924" s="12"/>
    </row>
    <row r="925" ht="15.75" customHeight="1">
      <c r="A925" s="12"/>
      <c r="B925" s="12"/>
      <c r="C925" s="12"/>
      <c r="D925" s="12"/>
      <c r="E925" s="12"/>
    </row>
    <row r="926" ht="15.75" customHeight="1">
      <c r="A926" s="12"/>
      <c r="B926" s="12"/>
      <c r="C926" s="12"/>
      <c r="D926" s="12"/>
      <c r="E926" s="12"/>
    </row>
    <row r="927" ht="15.75" customHeight="1">
      <c r="A927" s="12"/>
      <c r="B927" s="12"/>
      <c r="C927" s="12"/>
      <c r="D927" s="12"/>
      <c r="E927" s="12"/>
    </row>
    <row r="928" ht="15.75" customHeight="1">
      <c r="A928" s="12"/>
      <c r="B928" s="12"/>
      <c r="C928" s="12"/>
      <c r="D928" s="12"/>
      <c r="E928" s="12"/>
    </row>
    <row r="929" ht="15.75" customHeight="1">
      <c r="A929" s="12"/>
      <c r="B929" s="12"/>
      <c r="C929" s="12"/>
      <c r="D929" s="12"/>
      <c r="E929" s="12"/>
    </row>
    <row r="930" ht="15.75" customHeight="1">
      <c r="A930" s="12"/>
      <c r="B930" s="12"/>
      <c r="C930" s="12"/>
      <c r="D930" s="12"/>
      <c r="E930" s="12"/>
    </row>
    <row r="931" ht="15.75" customHeight="1">
      <c r="A931" s="12"/>
      <c r="B931" s="12"/>
      <c r="C931" s="12"/>
      <c r="D931" s="12"/>
      <c r="E931" s="12"/>
    </row>
    <row r="932" ht="15.75" customHeight="1">
      <c r="A932" s="12"/>
      <c r="B932" s="12"/>
      <c r="C932" s="12"/>
      <c r="D932" s="12"/>
      <c r="E932" s="12"/>
    </row>
    <row r="933" ht="15.75" customHeight="1">
      <c r="A933" s="12"/>
      <c r="B933" s="12"/>
      <c r="C933" s="12"/>
      <c r="D933" s="12"/>
      <c r="E933" s="12"/>
    </row>
    <row r="934" ht="15.75" customHeight="1">
      <c r="A934" s="12"/>
      <c r="B934" s="12"/>
      <c r="C934" s="12"/>
      <c r="D934" s="12"/>
      <c r="E934" s="12"/>
    </row>
    <row r="935" ht="15.75" customHeight="1">
      <c r="A935" s="12"/>
      <c r="B935" s="12"/>
      <c r="C935" s="12"/>
      <c r="D935" s="12"/>
      <c r="E935" s="12"/>
    </row>
    <row r="936" ht="15.75" customHeight="1">
      <c r="A936" s="12"/>
      <c r="B936" s="12"/>
      <c r="C936" s="12"/>
      <c r="D936" s="12"/>
      <c r="E936" s="12"/>
    </row>
    <row r="937" ht="15.75" customHeight="1">
      <c r="A937" s="12"/>
      <c r="B937" s="12"/>
      <c r="C937" s="12"/>
      <c r="D937" s="12"/>
      <c r="E937" s="12"/>
    </row>
    <row r="938" ht="15.75" customHeight="1">
      <c r="A938" s="12"/>
      <c r="B938" s="12"/>
      <c r="C938" s="12"/>
      <c r="D938" s="12"/>
      <c r="E938" s="12"/>
    </row>
    <row r="939" ht="15.75" customHeight="1">
      <c r="A939" s="12"/>
      <c r="B939" s="12"/>
      <c r="C939" s="12"/>
      <c r="D939" s="12"/>
      <c r="E939" s="12"/>
    </row>
    <row r="940" ht="15.75" customHeight="1">
      <c r="A940" s="12"/>
      <c r="B940" s="12"/>
      <c r="C940" s="12"/>
      <c r="D940" s="12"/>
      <c r="E940" s="12"/>
    </row>
    <row r="941" ht="15.75" customHeight="1">
      <c r="A941" s="12"/>
      <c r="B941" s="12"/>
      <c r="C941" s="12"/>
      <c r="D941" s="12"/>
      <c r="E941" s="12"/>
    </row>
    <row r="942" ht="15.75" customHeight="1">
      <c r="A942" s="12"/>
      <c r="B942" s="12"/>
      <c r="C942" s="12"/>
      <c r="D942" s="12"/>
      <c r="E942" s="12"/>
    </row>
    <row r="943" ht="15.75" customHeight="1">
      <c r="A943" s="12"/>
      <c r="B943" s="12"/>
      <c r="C943" s="12"/>
      <c r="D943" s="12"/>
      <c r="E943" s="12"/>
    </row>
    <row r="944" ht="15.75" customHeight="1">
      <c r="A944" s="12"/>
      <c r="B944" s="12"/>
      <c r="C944" s="12"/>
      <c r="D944" s="12"/>
      <c r="E944" s="12"/>
    </row>
    <row r="945" ht="15.75" customHeight="1">
      <c r="A945" s="12"/>
      <c r="B945" s="12"/>
      <c r="C945" s="12"/>
      <c r="D945" s="12"/>
      <c r="E945" s="12"/>
    </row>
    <row r="946" ht="15.75" customHeight="1">
      <c r="A946" s="12"/>
      <c r="B946" s="12"/>
      <c r="C946" s="12"/>
      <c r="D946" s="12"/>
      <c r="E946" s="12"/>
    </row>
    <row r="947" ht="15.75" customHeight="1">
      <c r="A947" s="12"/>
      <c r="B947" s="12"/>
      <c r="C947" s="12"/>
      <c r="D947" s="12"/>
      <c r="E947" s="12"/>
    </row>
    <row r="948" ht="15.75" customHeight="1">
      <c r="A948" s="12"/>
      <c r="B948" s="12"/>
      <c r="C948" s="12"/>
      <c r="D948" s="12"/>
      <c r="E948" s="12"/>
    </row>
    <row r="949" ht="15.75" customHeight="1">
      <c r="A949" s="12"/>
      <c r="B949" s="12"/>
      <c r="C949" s="12"/>
      <c r="D949" s="12"/>
      <c r="E949" s="12"/>
    </row>
    <row r="950" ht="15.75" customHeight="1">
      <c r="A950" s="12"/>
      <c r="B950" s="12"/>
      <c r="C950" s="12"/>
      <c r="D950" s="12"/>
      <c r="E950" s="12"/>
    </row>
    <row r="951" ht="15.75" customHeight="1">
      <c r="A951" s="12"/>
      <c r="B951" s="12"/>
      <c r="C951" s="12"/>
      <c r="D951" s="12"/>
      <c r="E951" s="12"/>
    </row>
    <row r="952" ht="15.75" customHeight="1">
      <c r="A952" s="12"/>
      <c r="B952" s="12"/>
      <c r="C952" s="12"/>
      <c r="D952" s="12"/>
      <c r="E952" s="12"/>
    </row>
    <row r="953" ht="15.75" customHeight="1">
      <c r="A953" s="12"/>
      <c r="B953" s="12"/>
      <c r="C953" s="12"/>
      <c r="D953" s="12"/>
      <c r="E953" s="12"/>
    </row>
    <row r="954" ht="15.75" customHeight="1">
      <c r="A954" s="12"/>
      <c r="B954" s="12"/>
      <c r="C954" s="12"/>
      <c r="D954" s="12"/>
      <c r="E954" s="12"/>
    </row>
    <row r="955" ht="15.75" customHeight="1">
      <c r="A955" s="12"/>
      <c r="B955" s="12"/>
      <c r="C955" s="12"/>
      <c r="D955" s="12"/>
      <c r="E955" s="12"/>
    </row>
    <row r="956" ht="15.75" customHeight="1">
      <c r="A956" s="12"/>
      <c r="B956" s="12"/>
      <c r="C956" s="12"/>
      <c r="D956" s="12"/>
      <c r="E956" s="12"/>
    </row>
    <row r="957" ht="15.75" customHeight="1">
      <c r="A957" s="12"/>
      <c r="B957" s="12"/>
      <c r="C957" s="12"/>
      <c r="D957" s="12"/>
      <c r="E957" s="12"/>
    </row>
    <row r="958" ht="15.75" customHeight="1">
      <c r="A958" s="12"/>
      <c r="B958" s="12"/>
      <c r="C958" s="12"/>
      <c r="D958" s="12"/>
      <c r="E958" s="12"/>
    </row>
    <row r="959" ht="15.75" customHeight="1">
      <c r="A959" s="12"/>
      <c r="B959" s="12"/>
      <c r="C959" s="12"/>
      <c r="D959" s="12"/>
      <c r="E959" s="12"/>
    </row>
    <row r="960" ht="15.75" customHeight="1">
      <c r="A960" s="12"/>
      <c r="B960" s="12"/>
      <c r="C960" s="12"/>
      <c r="D960" s="12"/>
      <c r="E960" s="12"/>
    </row>
    <row r="961" ht="15.75" customHeight="1">
      <c r="A961" s="12"/>
      <c r="B961" s="12"/>
      <c r="C961" s="12"/>
      <c r="D961" s="12"/>
      <c r="E961" s="12"/>
    </row>
    <row r="962" ht="15.75" customHeight="1">
      <c r="A962" s="12"/>
      <c r="B962" s="12"/>
      <c r="C962" s="12"/>
      <c r="D962" s="12"/>
      <c r="E962" s="12"/>
    </row>
    <row r="963" ht="15.75" customHeight="1">
      <c r="A963" s="12"/>
      <c r="B963" s="12"/>
      <c r="C963" s="12"/>
      <c r="D963" s="12"/>
      <c r="E963" s="12"/>
    </row>
    <row r="964" ht="15.75" customHeight="1">
      <c r="A964" s="12"/>
      <c r="B964" s="12"/>
      <c r="C964" s="12"/>
      <c r="D964" s="12"/>
      <c r="E964" s="12"/>
    </row>
    <row r="965" ht="15.75" customHeight="1">
      <c r="A965" s="12"/>
      <c r="B965" s="12"/>
      <c r="C965" s="12"/>
      <c r="D965" s="12"/>
      <c r="E965" s="12"/>
    </row>
    <row r="966" ht="15.75" customHeight="1">
      <c r="A966" s="12"/>
      <c r="B966" s="12"/>
      <c r="C966" s="12"/>
      <c r="D966" s="12"/>
      <c r="E966" s="12"/>
    </row>
    <row r="967" ht="15.75" customHeight="1">
      <c r="A967" s="12"/>
      <c r="B967" s="12"/>
      <c r="C967" s="12"/>
      <c r="D967" s="12"/>
      <c r="E967" s="12"/>
    </row>
    <row r="968" ht="15.75" customHeight="1">
      <c r="A968" s="12"/>
      <c r="B968" s="12"/>
      <c r="C968" s="12"/>
      <c r="D968" s="12"/>
      <c r="E968" s="12"/>
    </row>
    <row r="969" ht="15.75" customHeight="1">
      <c r="A969" s="12"/>
      <c r="B969" s="12"/>
      <c r="C969" s="12"/>
      <c r="D969" s="12"/>
      <c r="E969" s="12"/>
    </row>
    <row r="970" ht="15.75" customHeight="1">
      <c r="A970" s="12"/>
      <c r="B970" s="12"/>
      <c r="C970" s="12"/>
      <c r="D970" s="12"/>
      <c r="E970" s="12"/>
    </row>
    <row r="971" ht="15.75" customHeight="1">
      <c r="A971" s="12"/>
      <c r="B971" s="12"/>
      <c r="C971" s="12"/>
      <c r="D971" s="12"/>
      <c r="E971" s="12"/>
    </row>
    <row r="972" ht="15.75" customHeight="1">
      <c r="A972" s="12"/>
      <c r="B972" s="12"/>
      <c r="C972" s="12"/>
      <c r="D972" s="12"/>
      <c r="E972" s="12"/>
    </row>
    <row r="973" ht="15.75" customHeight="1">
      <c r="A973" s="12"/>
      <c r="B973" s="12"/>
      <c r="C973" s="12"/>
      <c r="D973" s="12"/>
      <c r="E973" s="12"/>
    </row>
    <row r="974" ht="15.75" customHeight="1">
      <c r="A974" s="12"/>
      <c r="B974" s="12"/>
      <c r="C974" s="12"/>
      <c r="D974" s="12"/>
      <c r="E974" s="12"/>
    </row>
    <row r="975" ht="15.75" customHeight="1">
      <c r="A975" s="12"/>
      <c r="B975" s="12"/>
      <c r="C975" s="12"/>
      <c r="D975" s="12"/>
      <c r="E975" s="12"/>
    </row>
    <row r="976" ht="15.75" customHeight="1">
      <c r="A976" s="12"/>
      <c r="B976" s="12"/>
      <c r="C976" s="12"/>
      <c r="D976" s="12"/>
      <c r="E976" s="12"/>
    </row>
    <row r="977" ht="15.75" customHeight="1">
      <c r="A977" s="12"/>
      <c r="B977" s="12"/>
      <c r="C977" s="12"/>
      <c r="D977" s="12"/>
      <c r="E977" s="12"/>
    </row>
    <row r="978" ht="15.75" customHeight="1">
      <c r="A978" s="12"/>
      <c r="B978" s="12"/>
      <c r="C978" s="12"/>
      <c r="D978" s="12"/>
      <c r="E978" s="12"/>
    </row>
    <row r="979" ht="15.75" customHeight="1">
      <c r="A979" s="12"/>
      <c r="B979" s="12"/>
      <c r="C979" s="12"/>
      <c r="D979" s="12"/>
      <c r="E979" s="12"/>
    </row>
    <row r="980" ht="15.75" customHeight="1">
      <c r="A980" s="12"/>
      <c r="B980" s="12"/>
      <c r="C980" s="12"/>
      <c r="D980" s="12"/>
      <c r="E980" s="12"/>
    </row>
    <row r="981" ht="15.75" customHeight="1">
      <c r="A981" s="12"/>
      <c r="B981" s="12"/>
      <c r="C981" s="12"/>
      <c r="D981" s="12"/>
      <c r="E981" s="12"/>
    </row>
    <row r="982" ht="15.75" customHeight="1">
      <c r="A982" s="12"/>
      <c r="B982" s="12"/>
      <c r="C982" s="12"/>
      <c r="D982" s="12"/>
      <c r="E982" s="12"/>
    </row>
    <row r="983" ht="15.75" customHeight="1">
      <c r="A983" s="12"/>
      <c r="B983" s="12"/>
      <c r="C983" s="12"/>
      <c r="D983" s="12"/>
      <c r="E983" s="12"/>
    </row>
    <row r="984" ht="15.75" customHeight="1">
      <c r="A984" s="12"/>
      <c r="B984" s="12"/>
      <c r="C984" s="12"/>
      <c r="D984" s="12"/>
      <c r="E984" s="12"/>
    </row>
    <row r="985" ht="15.75" customHeight="1">
      <c r="A985" s="12"/>
      <c r="B985" s="12"/>
      <c r="C985" s="12"/>
      <c r="D985" s="12"/>
      <c r="E985" s="12"/>
    </row>
    <row r="986" ht="15.75" customHeight="1">
      <c r="A986" s="12"/>
      <c r="B986" s="12"/>
      <c r="C986" s="12"/>
      <c r="D986" s="12"/>
      <c r="E986" s="12"/>
    </row>
    <row r="987" ht="15.75" customHeight="1">
      <c r="A987" s="12"/>
      <c r="B987" s="12"/>
      <c r="C987" s="12"/>
      <c r="D987" s="12"/>
      <c r="E987" s="12"/>
    </row>
    <row r="988" ht="15.75" customHeight="1">
      <c r="A988" s="12"/>
      <c r="B988" s="12"/>
      <c r="C988" s="12"/>
      <c r="D988" s="12"/>
      <c r="E988" s="12"/>
    </row>
    <row r="989" ht="15.75" customHeight="1">
      <c r="A989" s="12"/>
      <c r="B989" s="12"/>
      <c r="C989" s="12"/>
      <c r="D989" s="12"/>
      <c r="E989" s="12"/>
    </row>
    <row r="990" ht="15.75" customHeight="1">
      <c r="A990" s="12"/>
      <c r="B990" s="12"/>
      <c r="C990" s="12"/>
      <c r="D990" s="12"/>
      <c r="E990" s="12"/>
    </row>
    <row r="991" ht="15.75" customHeight="1">
      <c r="A991" s="12"/>
      <c r="B991" s="12"/>
      <c r="C991" s="12"/>
      <c r="D991" s="12"/>
      <c r="E991" s="12"/>
    </row>
    <row r="992" ht="15.75" customHeight="1">
      <c r="A992" s="12"/>
      <c r="B992" s="12"/>
      <c r="C992" s="12"/>
      <c r="D992" s="12"/>
      <c r="E992" s="12"/>
    </row>
    <row r="993" ht="15.75" customHeight="1">
      <c r="A993" s="12"/>
      <c r="B993" s="12"/>
      <c r="C993" s="12"/>
      <c r="D993" s="12"/>
      <c r="E993" s="12"/>
    </row>
    <row r="994" ht="15.75" customHeight="1">
      <c r="A994" s="12"/>
      <c r="B994" s="12"/>
      <c r="C994" s="12"/>
      <c r="D994" s="12"/>
      <c r="E994" s="12"/>
    </row>
    <row r="995" ht="15.75" customHeight="1">
      <c r="A995" s="12"/>
      <c r="B995" s="12"/>
      <c r="C995" s="12"/>
      <c r="D995" s="12"/>
      <c r="E995" s="12"/>
    </row>
    <row r="996" ht="15.75" customHeight="1">
      <c r="A996" s="12"/>
      <c r="B996" s="12"/>
      <c r="C996" s="12"/>
      <c r="D996" s="12"/>
      <c r="E996" s="12"/>
    </row>
    <row r="997" ht="15.75" customHeight="1">
      <c r="A997" s="12"/>
      <c r="B997" s="12"/>
      <c r="C997" s="12"/>
      <c r="D997" s="12"/>
      <c r="E997" s="12"/>
    </row>
    <row r="998" ht="15.75" customHeight="1">
      <c r="A998" s="12"/>
      <c r="B998" s="12"/>
      <c r="C998" s="12"/>
      <c r="D998" s="12"/>
      <c r="E998" s="12"/>
    </row>
    <row r="999" ht="15.75" customHeight="1">
      <c r="A999" s="12"/>
      <c r="B999" s="12"/>
      <c r="C999" s="12"/>
      <c r="D999" s="12"/>
      <c r="E999" s="12"/>
    </row>
    <row r="1000" ht="15.75" customHeight="1">
      <c r="A1000" s="12"/>
      <c r="B1000" s="12"/>
      <c r="C1000" s="12"/>
      <c r="D1000" s="12"/>
      <c r="E1000" s="12"/>
    </row>
  </sheetData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0.0"/>
    <col customWidth="1" min="2" max="8" width="12.0"/>
    <col customWidth="1" min="9" max="9" width="29.43"/>
    <col customWidth="1" min="10" max="10" width="30.0"/>
    <col customWidth="1" min="11" max="14" width="18.0"/>
    <col customWidth="1" min="15" max="15" width="16.43"/>
    <col customWidth="1" min="16" max="26" width="8.71"/>
  </cols>
  <sheetData>
    <row r="1" ht="15.0" customHeight="1">
      <c r="A1" s="2" t="s">
        <v>27</v>
      </c>
      <c r="B1" s="2" t="s">
        <v>29</v>
      </c>
      <c r="C1" s="2" t="s">
        <v>30</v>
      </c>
      <c r="D1" s="2" t="s">
        <v>32</v>
      </c>
      <c r="E1" s="2" t="s">
        <v>34</v>
      </c>
      <c r="F1" s="6" t="s">
        <v>37</v>
      </c>
      <c r="G1" s="6" t="s">
        <v>62</v>
      </c>
      <c r="H1" s="2" t="s">
        <v>64</v>
      </c>
      <c r="I1" s="2" t="s">
        <v>66</v>
      </c>
      <c r="J1" s="2" t="s">
        <v>67</v>
      </c>
      <c r="K1" s="2" t="s">
        <v>70</v>
      </c>
      <c r="L1" s="2" t="s">
        <v>73</v>
      </c>
      <c r="M1" s="2" t="s">
        <v>75</v>
      </c>
      <c r="N1" s="2" t="s">
        <v>77</v>
      </c>
      <c r="O1" s="2" t="s">
        <v>79</v>
      </c>
    </row>
    <row r="2" ht="15.0" customHeight="1">
      <c r="A2" s="3">
        <v>1.0</v>
      </c>
      <c r="B2" s="8" t="s">
        <v>83</v>
      </c>
      <c r="C2" s="8" t="s">
        <v>98</v>
      </c>
      <c r="D2" s="8" t="s">
        <v>83</v>
      </c>
      <c r="E2" s="8" t="s">
        <v>83</v>
      </c>
      <c r="F2" s="8" t="s">
        <v>83</v>
      </c>
      <c r="G2" s="8" t="s">
        <v>83</v>
      </c>
      <c r="H2" s="8" t="s">
        <v>83</v>
      </c>
      <c r="I2" s="8" t="s">
        <v>102</v>
      </c>
      <c r="J2" s="3"/>
      <c r="K2" s="8" t="s">
        <v>102</v>
      </c>
      <c r="L2" s="3"/>
      <c r="M2" s="3"/>
      <c r="N2" s="3"/>
      <c r="O2" s="10" t="s">
        <v>14</v>
      </c>
    </row>
    <row r="3">
      <c r="A3" s="12"/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</row>
    <row r="4">
      <c r="A4" s="12"/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</row>
    <row r="5">
      <c r="A5" s="12"/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</row>
    <row r="6">
      <c r="A6" s="12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</row>
    <row r="7">
      <c r="A7" s="12"/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</row>
    <row r="8">
      <c r="A8" s="12"/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</row>
    <row r="9">
      <c r="A9" s="12"/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</row>
    <row r="10">
      <c r="A10" s="12"/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</row>
    <row r="11">
      <c r="A11" s="12"/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</row>
    <row r="12">
      <c r="A12" s="12"/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</row>
    <row r="13">
      <c r="A13" s="12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</row>
    <row r="14">
      <c r="A14" s="12"/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</row>
    <row r="15">
      <c r="A15" s="12"/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</row>
    <row r="16">
      <c r="A16" s="12"/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</row>
    <row r="17">
      <c r="A17" s="12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</row>
    <row r="18">
      <c r="A18" s="12"/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</row>
    <row r="19">
      <c r="A19" s="12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</row>
    <row r="20">
      <c r="A20" s="12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</row>
    <row r="21" ht="15.75" customHeight="1">
      <c r="A21" s="12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</row>
    <row r="22" ht="15.75" customHeight="1">
      <c r="A22" s="12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</row>
    <row r="23" ht="15.75" customHeight="1">
      <c r="A23" s="12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</row>
    <row r="24" ht="15.75" customHeight="1">
      <c r="A24" s="12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</row>
    <row r="25" ht="15.75" customHeight="1">
      <c r="A25" s="12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</row>
    <row r="26" ht="15.75" customHeight="1">
      <c r="A26" s="12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</row>
    <row r="27" ht="15.75" customHeight="1">
      <c r="A27" s="12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</row>
    <row r="28" ht="15.75" customHeight="1">
      <c r="A28" s="12"/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</row>
    <row r="29" ht="15.75" customHeight="1">
      <c r="A29" s="12"/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</row>
    <row r="30" ht="15.75" customHeight="1">
      <c r="A30" s="12"/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</row>
    <row r="31" ht="15.75" customHeight="1">
      <c r="A31" s="12"/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</row>
    <row r="32" ht="15.75" customHeight="1">
      <c r="A32" s="12"/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</row>
    <row r="33" ht="15.75" customHeight="1">
      <c r="A33" s="12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</row>
    <row r="34" ht="15.75" customHeight="1">
      <c r="A34" s="12"/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</row>
    <row r="35" ht="15.75" customHeight="1">
      <c r="A35" s="12"/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</row>
    <row r="36" ht="15.75" customHeight="1">
      <c r="A36" s="12"/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</row>
    <row r="37" ht="15.75" customHeight="1">
      <c r="A37" s="12"/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</row>
    <row r="38" ht="15.75" customHeight="1">
      <c r="A38" s="12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</row>
    <row r="39" ht="15.75" customHeight="1">
      <c r="A39" s="12"/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</row>
    <row r="40" ht="15.75" customHeight="1">
      <c r="A40" s="12"/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</row>
    <row r="41" ht="15.75" customHeight="1">
      <c r="A41" s="12"/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</row>
    <row r="42" ht="15.75" customHeight="1">
      <c r="A42" s="12"/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</row>
    <row r="43" ht="15.75" customHeight="1">
      <c r="A43" s="12"/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</row>
    <row r="44" ht="15.75" customHeight="1">
      <c r="A44" s="12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</row>
    <row r="45" ht="15.75" customHeight="1">
      <c r="A45" s="12"/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</row>
    <row r="46" ht="15.75" customHeight="1">
      <c r="A46" s="12"/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</row>
    <row r="47" ht="15.75" customHeight="1">
      <c r="A47" s="12"/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</row>
    <row r="48" ht="15.75" customHeight="1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</row>
    <row r="49" ht="15.75" customHeight="1">
      <c r="A49" s="12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</row>
    <row r="50" ht="15.75" customHeight="1">
      <c r="A50" s="12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</row>
    <row r="51" ht="15.75" customHeight="1">
      <c r="A51" s="12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</row>
    <row r="52" ht="15.75" customHeight="1">
      <c r="A52" s="12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</row>
    <row r="53" ht="15.75" customHeight="1">
      <c r="A53" s="12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</row>
    <row r="54" ht="15.75" customHeight="1">
      <c r="A54" s="12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</row>
    <row r="55" ht="15.75" customHeight="1">
      <c r="A55" s="12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</row>
    <row r="56" ht="15.75" customHeight="1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</row>
    <row r="57" ht="15.75" customHeight="1">
      <c r="A57" s="12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</row>
    <row r="58" ht="15.75" customHeight="1">
      <c r="A58" s="12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</row>
    <row r="59" ht="15.75" customHeight="1">
      <c r="A59" s="12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</row>
    <row r="60" ht="15.75" customHeight="1">
      <c r="A60" s="12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</row>
    <row r="61" ht="15.75" customHeight="1">
      <c r="A61" s="12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</row>
    <row r="62" ht="15.75" customHeight="1">
      <c r="A62" s="12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</row>
    <row r="63" ht="15.75" customHeight="1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</row>
    <row r="64" ht="15.75" customHeight="1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</row>
    <row r="65" ht="15.75" customHeight="1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</row>
    <row r="66" ht="15.75" customHeight="1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</row>
    <row r="67" ht="15.75" customHeight="1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</row>
    <row r="68" ht="15.75" customHeight="1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</row>
    <row r="69" ht="15.75" customHeight="1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</row>
    <row r="70" ht="15.75" customHeight="1">
      <c r="A70" s="12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</row>
    <row r="71" ht="15.75" customHeight="1">
      <c r="A71" s="12"/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</row>
    <row r="72" ht="15.75" customHeight="1">
      <c r="A72" s="12"/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</row>
    <row r="73" ht="15.75" customHeight="1">
      <c r="A73" s="12"/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</row>
    <row r="74" ht="15.75" customHeight="1">
      <c r="A74" s="12"/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</row>
    <row r="75" ht="15.75" customHeight="1">
      <c r="A75" s="12"/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</row>
    <row r="76" ht="15.75" customHeight="1">
      <c r="A76" s="12"/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</row>
    <row r="77" ht="15.75" customHeight="1">
      <c r="A77" s="12"/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</row>
    <row r="78" ht="15.75" customHeight="1">
      <c r="A78" s="12"/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</row>
    <row r="79" ht="15.75" customHeight="1">
      <c r="A79" s="12"/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</row>
    <row r="80" ht="15.75" customHeight="1">
      <c r="A80" s="12"/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</row>
    <row r="81" ht="15.75" customHeight="1">
      <c r="A81" s="12"/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</row>
    <row r="82" ht="15.75" customHeight="1">
      <c r="A82" s="12"/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</row>
    <row r="83" ht="15.75" customHeight="1">
      <c r="A83" s="12"/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</row>
    <row r="84" ht="15.75" customHeight="1">
      <c r="A84" s="12"/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</row>
    <row r="85" ht="15.75" customHeight="1">
      <c r="A85" s="12"/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</row>
    <row r="86" ht="15.75" customHeight="1">
      <c r="A86" s="12"/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</row>
    <row r="87" ht="15.75" customHeight="1">
      <c r="A87" s="12"/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</row>
    <row r="88" ht="15.75" customHeight="1">
      <c r="A88" s="12"/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</row>
    <row r="89" ht="15.75" customHeight="1">
      <c r="A89" s="12"/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</row>
    <row r="90" ht="15.75" customHeight="1">
      <c r="A90" s="12"/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</row>
    <row r="91" ht="15.75" customHeight="1">
      <c r="A91" s="12"/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</row>
    <row r="92" ht="15.75" customHeight="1">
      <c r="A92" s="12"/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</row>
    <row r="93" ht="15.75" customHeight="1">
      <c r="A93" s="12"/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</row>
    <row r="94" ht="15.75" customHeight="1">
      <c r="A94" s="12"/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</row>
    <row r="95" ht="15.75" customHeight="1">
      <c r="A95" s="12"/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</row>
    <row r="96" ht="15.75" customHeight="1">
      <c r="A96" s="12"/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</row>
    <row r="97" ht="15.75" customHeight="1">
      <c r="A97" s="12"/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</row>
    <row r="98" ht="15.75" customHeight="1">
      <c r="A98" s="12"/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</row>
    <row r="99" ht="15.75" customHeight="1">
      <c r="A99" s="12"/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</row>
    <row r="100" ht="15.75" customHeight="1">
      <c r="A100" s="12"/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</row>
    <row r="101" ht="15.75" customHeight="1">
      <c r="A101" s="12"/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</row>
    <row r="102" ht="15.75" customHeight="1">
      <c r="A102" s="12"/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</row>
    <row r="103" ht="15.75" customHeight="1">
      <c r="A103" s="12"/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</row>
    <row r="104" ht="15.75" customHeight="1">
      <c r="A104" s="12"/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</row>
    <row r="105" ht="15.75" customHeight="1">
      <c r="A105" s="12"/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</row>
    <row r="106" ht="15.75" customHeight="1">
      <c r="A106" s="12"/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</row>
    <row r="107" ht="15.75" customHeight="1">
      <c r="A107" s="12"/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</row>
    <row r="108" ht="15.75" customHeight="1">
      <c r="A108" s="12"/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</row>
    <row r="109" ht="15.75" customHeight="1">
      <c r="A109" s="12"/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</row>
    <row r="110" ht="15.75" customHeight="1">
      <c r="A110" s="12"/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</row>
    <row r="111" ht="15.75" customHeight="1">
      <c r="A111" s="12"/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</row>
    <row r="112" ht="15.75" customHeight="1">
      <c r="A112" s="12"/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</row>
    <row r="113" ht="15.75" customHeight="1">
      <c r="A113" s="12"/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</row>
    <row r="114" ht="15.75" customHeight="1">
      <c r="A114" s="12"/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</row>
    <row r="115" ht="15.75" customHeight="1">
      <c r="A115" s="12"/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</row>
    <row r="116" ht="15.75" customHeight="1">
      <c r="A116" s="12"/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</row>
    <row r="117" ht="15.75" customHeight="1">
      <c r="A117" s="12"/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</row>
    <row r="118" ht="15.75" customHeight="1">
      <c r="A118" s="12"/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</row>
    <row r="119" ht="15.75" customHeight="1">
      <c r="A119" s="12"/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</row>
    <row r="120" ht="15.75" customHeight="1">
      <c r="A120" s="12"/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</row>
    <row r="121" ht="15.75" customHeight="1">
      <c r="A121" s="12"/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</row>
    <row r="122" ht="15.75" customHeight="1">
      <c r="A122" s="12"/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</row>
    <row r="123" ht="15.75" customHeight="1">
      <c r="A123" s="12"/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</row>
    <row r="124" ht="15.75" customHeight="1">
      <c r="A124" s="12"/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</row>
    <row r="125" ht="15.75" customHeight="1">
      <c r="A125" s="12"/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</row>
    <row r="126" ht="15.75" customHeight="1">
      <c r="A126" s="12"/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</row>
    <row r="127" ht="15.75" customHeight="1">
      <c r="A127" s="12"/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</row>
    <row r="128" ht="15.75" customHeight="1">
      <c r="A128" s="12"/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</row>
    <row r="129" ht="15.75" customHeight="1">
      <c r="A129" s="12"/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</row>
    <row r="130" ht="15.75" customHeight="1">
      <c r="A130" s="12"/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</row>
    <row r="131" ht="15.75" customHeight="1">
      <c r="A131" s="12"/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</row>
    <row r="132" ht="15.75" customHeight="1">
      <c r="A132" s="12"/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</row>
    <row r="133" ht="15.75" customHeight="1">
      <c r="A133" s="12"/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</row>
    <row r="134" ht="15.75" customHeight="1">
      <c r="A134" s="12"/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</row>
    <row r="135" ht="15.75" customHeight="1">
      <c r="A135" s="12"/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</row>
    <row r="136" ht="15.75" customHeight="1">
      <c r="A136" s="12"/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</row>
    <row r="137" ht="15.75" customHeight="1">
      <c r="A137" s="12"/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</row>
    <row r="138" ht="15.75" customHeight="1">
      <c r="A138" s="12"/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</row>
    <row r="139" ht="15.75" customHeight="1">
      <c r="A139" s="12"/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</row>
    <row r="140" ht="15.75" customHeight="1">
      <c r="A140" s="12"/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</row>
    <row r="141" ht="15.75" customHeight="1">
      <c r="A141" s="12"/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</row>
    <row r="142" ht="15.75" customHeight="1">
      <c r="A142" s="12"/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</row>
    <row r="143" ht="15.75" customHeight="1">
      <c r="A143" s="12"/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</row>
    <row r="144" ht="15.75" customHeight="1">
      <c r="A144" s="12"/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</row>
    <row r="145" ht="15.75" customHeight="1">
      <c r="A145" s="12"/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</row>
    <row r="146" ht="15.75" customHeight="1">
      <c r="A146" s="12"/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</row>
    <row r="147" ht="15.75" customHeight="1">
      <c r="A147" s="12"/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</row>
    <row r="148" ht="15.75" customHeight="1">
      <c r="A148" s="12"/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</row>
    <row r="149" ht="15.75" customHeight="1">
      <c r="A149" s="12"/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</row>
    <row r="150" ht="15.75" customHeight="1">
      <c r="A150" s="12"/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</row>
    <row r="151" ht="15.75" customHeight="1">
      <c r="A151" s="12"/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</row>
    <row r="152" ht="15.75" customHeight="1">
      <c r="A152" s="12"/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</row>
    <row r="153" ht="15.75" customHeight="1">
      <c r="A153" s="12"/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</row>
    <row r="154" ht="15.75" customHeight="1">
      <c r="A154" s="12"/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</row>
    <row r="155" ht="15.75" customHeight="1">
      <c r="A155" s="12"/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</row>
    <row r="156" ht="15.75" customHeight="1">
      <c r="A156" s="12"/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</row>
    <row r="157" ht="15.75" customHeight="1">
      <c r="A157" s="12"/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</row>
    <row r="158" ht="15.75" customHeight="1">
      <c r="A158" s="12"/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</row>
    <row r="159" ht="15.75" customHeight="1">
      <c r="A159" s="12"/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</row>
    <row r="160" ht="15.75" customHeight="1">
      <c r="A160" s="12"/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</row>
    <row r="161" ht="15.75" customHeight="1">
      <c r="A161" s="12"/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</row>
    <row r="162" ht="15.75" customHeight="1">
      <c r="A162" s="12"/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</row>
    <row r="163" ht="15.75" customHeight="1">
      <c r="A163" s="12"/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</row>
    <row r="164" ht="15.75" customHeight="1">
      <c r="A164" s="12"/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</row>
    <row r="165" ht="15.75" customHeight="1">
      <c r="A165" s="12"/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</row>
    <row r="166" ht="15.75" customHeight="1">
      <c r="A166" s="12"/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</row>
    <row r="167" ht="15.75" customHeight="1">
      <c r="A167" s="12"/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</row>
    <row r="168" ht="15.75" customHeight="1">
      <c r="A168" s="12"/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</row>
    <row r="169" ht="15.75" customHeight="1">
      <c r="A169" s="12"/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</row>
    <row r="170" ht="15.75" customHeight="1">
      <c r="A170" s="12"/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</row>
    <row r="171" ht="15.75" customHeight="1">
      <c r="A171" s="12"/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</row>
    <row r="172" ht="15.75" customHeight="1">
      <c r="A172" s="12"/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</row>
    <row r="173" ht="15.75" customHeight="1">
      <c r="A173" s="12"/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</row>
    <row r="174" ht="15.75" customHeight="1">
      <c r="A174" s="12"/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</row>
    <row r="175" ht="15.75" customHeight="1">
      <c r="A175" s="12"/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</row>
    <row r="176" ht="15.75" customHeight="1">
      <c r="A176" s="12"/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</row>
    <row r="177" ht="15.75" customHeight="1">
      <c r="A177" s="12"/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</row>
    <row r="178" ht="15.75" customHeight="1">
      <c r="A178" s="12"/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</row>
    <row r="179" ht="15.75" customHeight="1">
      <c r="A179" s="12"/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</row>
    <row r="180" ht="15.75" customHeight="1">
      <c r="A180" s="12"/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</row>
    <row r="181" ht="15.75" customHeight="1">
      <c r="A181" s="12"/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</row>
    <row r="182" ht="15.75" customHeight="1">
      <c r="A182" s="12"/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</row>
    <row r="183" ht="15.75" customHeight="1">
      <c r="A183" s="12"/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</row>
    <row r="184" ht="15.75" customHeight="1">
      <c r="A184" s="12"/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</row>
    <row r="185" ht="15.75" customHeight="1">
      <c r="A185" s="12"/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</row>
    <row r="186" ht="15.75" customHeight="1">
      <c r="A186" s="12"/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</row>
    <row r="187" ht="15.75" customHeight="1">
      <c r="A187" s="12"/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</row>
    <row r="188" ht="15.75" customHeight="1">
      <c r="A188" s="12"/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</row>
    <row r="189" ht="15.75" customHeight="1">
      <c r="A189" s="12"/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</row>
    <row r="190" ht="15.75" customHeight="1">
      <c r="A190" s="12"/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</row>
    <row r="191" ht="15.75" customHeight="1">
      <c r="A191" s="12"/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</row>
    <row r="192" ht="15.75" customHeight="1">
      <c r="A192" s="12"/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</row>
    <row r="193" ht="15.75" customHeight="1">
      <c r="A193" s="12"/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</row>
    <row r="194" ht="15.75" customHeight="1">
      <c r="A194" s="12"/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</row>
    <row r="195" ht="15.75" customHeight="1">
      <c r="A195" s="12"/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</row>
    <row r="196" ht="15.75" customHeight="1">
      <c r="A196" s="12"/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</row>
    <row r="197" ht="15.75" customHeight="1">
      <c r="A197" s="12"/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</row>
    <row r="198" ht="15.75" customHeight="1">
      <c r="A198" s="12"/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</row>
    <row r="199" ht="15.75" customHeight="1">
      <c r="A199" s="12"/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</row>
    <row r="200" ht="15.75" customHeight="1">
      <c r="A200" s="12"/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</row>
    <row r="201" ht="15.75" customHeight="1">
      <c r="A201" s="12"/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</row>
    <row r="202" ht="15.75" customHeight="1">
      <c r="A202" s="12"/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</row>
    <row r="203" ht="15.75" customHeight="1">
      <c r="A203" s="12"/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</row>
    <row r="204" ht="15.75" customHeight="1">
      <c r="A204" s="12"/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</row>
    <row r="205" ht="15.75" customHeight="1">
      <c r="A205" s="12"/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</row>
    <row r="206" ht="15.75" customHeight="1">
      <c r="A206" s="12"/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</row>
    <row r="207" ht="15.75" customHeight="1">
      <c r="A207" s="12"/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</row>
    <row r="208" ht="15.75" customHeight="1">
      <c r="A208" s="12"/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</row>
    <row r="209" ht="15.75" customHeight="1">
      <c r="A209" s="12"/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</row>
    <row r="210" ht="15.75" customHeight="1">
      <c r="A210" s="12"/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</row>
    <row r="211" ht="15.75" customHeight="1">
      <c r="A211" s="12"/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</row>
    <row r="212" ht="15.75" customHeight="1">
      <c r="A212" s="12"/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</row>
    <row r="213" ht="15.75" customHeight="1">
      <c r="A213" s="12"/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</row>
    <row r="214" ht="15.75" customHeight="1">
      <c r="A214" s="12"/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</row>
    <row r="215" ht="15.75" customHeight="1">
      <c r="A215" s="12"/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</row>
    <row r="216" ht="15.75" customHeight="1">
      <c r="A216" s="12"/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</row>
    <row r="217" ht="15.75" customHeight="1">
      <c r="A217" s="12"/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</row>
    <row r="218" ht="15.75" customHeight="1">
      <c r="A218" s="12"/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</row>
    <row r="219" ht="15.75" customHeight="1">
      <c r="A219" s="12"/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</row>
    <row r="220" ht="15.75" customHeight="1">
      <c r="A220" s="12"/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</row>
    <row r="221" ht="15.75" customHeight="1">
      <c r="A221" s="12"/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</row>
    <row r="222" ht="15.75" customHeight="1">
      <c r="A222" s="12"/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</row>
    <row r="223" ht="15.75" customHeight="1">
      <c r="A223" s="12"/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</row>
    <row r="224" ht="15.75" customHeight="1">
      <c r="A224" s="12"/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</row>
    <row r="225" ht="15.75" customHeight="1">
      <c r="A225" s="12"/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</row>
    <row r="226" ht="15.75" customHeight="1">
      <c r="A226" s="12"/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</row>
    <row r="227" ht="15.75" customHeight="1">
      <c r="A227" s="12"/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</row>
    <row r="228" ht="15.75" customHeight="1">
      <c r="A228" s="12"/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</row>
    <row r="229" ht="15.75" customHeight="1">
      <c r="A229" s="12"/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</row>
    <row r="230" ht="15.75" customHeight="1">
      <c r="A230" s="12"/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</row>
    <row r="231" ht="15.75" customHeight="1">
      <c r="A231" s="12"/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</row>
    <row r="232" ht="15.75" customHeight="1">
      <c r="A232" s="12"/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</row>
    <row r="233" ht="15.75" customHeight="1">
      <c r="A233" s="12"/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</row>
    <row r="234" ht="15.75" customHeight="1">
      <c r="A234" s="12"/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</row>
    <row r="235" ht="15.75" customHeight="1">
      <c r="A235" s="12"/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</row>
    <row r="236" ht="15.75" customHeight="1">
      <c r="A236" s="12"/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</row>
    <row r="237" ht="15.75" customHeight="1">
      <c r="A237" s="12"/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</row>
    <row r="238" ht="15.75" customHeight="1">
      <c r="A238" s="12"/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</row>
    <row r="239" ht="15.75" customHeight="1">
      <c r="A239" s="12"/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</row>
    <row r="240" ht="15.75" customHeight="1">
      <c r="A240" s="12"/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</row>
    <row r="241" ht="15.75" customHeight="1">
      <c r="A241" s="12"/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</row>
    <row r="242" ht="15.75" customHeight="1">
      <c r="A242" s="12"/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</row>
    <row r="243" ht="15.75" customHeight="1">
      <c r="A243" s="12"/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</row>
    <row r="244" ht="15.75" customHeight="1">
      <c r="A244" s="12"/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</row>
    <row r="245" ht="15.75" customHeight="1">
      <c r="A245" s="12"/>
      <c r="B245" s="12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</row>
    <row r="246" ht="15.75" customHeight="1">
      <c r="A246" s="12"/>
      <c r="B246" s="12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</row>
    <row r="247" ht="15.75" customHeight="1">
      <c r="A247" s="12"/>
      <c r="B247" s="12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</row>
    <row r="248" ht="15.75" customHeight="1">
      <c r="A248" s="12"/>
      <c r="B248" s="12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</row>
    <row r="249" ht="15.75" customHeight="1">
      <c r="A249" s="12"/>
      <c r="B249" s="12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</row>
    <row r="250" ht="15.75" customHeight="1">
      <c r="A250" s="12"/>
      <c r="B250" s="12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</row>
    <row r="251" ht="15.75" customHeight="1">
      <c r="A251" s="12"/>
      <c r="B251" s="12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</row>
    <row r="252" ht="15.75" customHeight="1">
      <c r="A252" s="12"/>
      <c r="B252" s="12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</row>
    <row r="253" ht="15.75" customHeight="1">
      <c r="A253" s="12"/>
      <c r="B253" s="12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</row>
    <row r="254" ht="15.75" customHeight="1">
      <c r="A254" s="12"/>
      <c r="B254" s="12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</row>
    <row r="255" ht="15.75" customHeight="1">
      <c r="A255" s="12"/>
      <c r="B255" s="12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</row>
    <row r="256" ht="15.75" customHeight="1">
      <c r="A256" s="12"/>
      <c r="B256" s="12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</row>
    <row r="257" ht="15.75" customHeight="1">
      <c r="A257" s="12"/>
      <c r="B257" s="12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</row>
    <row r="258" ht="15.75" customHeight="1">
      <c r="A258" s="12"/>
      <c r="B258" s="12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</row>
    <row r="259" ht="15.75" customHeight="1">
      <c r="A259" s="12"/>
      <c r="B259" s="12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</row>
    <row r="260" ht="15.75" customHeight="1">
      <c r="A260" s="12"/>
      <c r="B260" s="12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</row>
    <row r="261" ht="15.75" customHeight="1">
      <c r="A261" s="12"/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</row>
    <row r="262" ht="15.75" customHeight="1">
      <c r="A262" s="12"/>
      <c r="B262" s="12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</row>
    <row r="263" ht="15.75" customHeight="1">
      <c r="A263" s="12"/>
      <c r="B263" s="12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</row>
    <row r="264" ht="15.75" customHeight="1">
      <c r="A264" s="12"/>
      <c r="B264" s="12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</row>
    <row r="265" ht="15.75" customHeight="1">
      <c r="A265" s="12"/>
      <c r="B265" s="12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</row>
    <row r="266" ht="15.75" customHeight="1">
      <c r="A266" s="12"/>
      <c r="B266" s="12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</row>
    <row r="267" ht="15.75" customHeight="1">
      <c r="A267" s="12"/>
      <c r="B267" s="12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</row>
    <row r="268" ht="15.75" customHeight="1">
      <c r="A268" s="12"/>
      <c r="B268" s="12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</row>
    <row r="269" ht="15.75" customHeight="1">
      <c r="A269" s="12"/>
      <c r="B269" s="12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</row>
    <row r="270" ht="15.75" customHeight="1">
      <c r="A270" s="12"/>
      <c r="B270" s="12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</row>
    <row r="271" ht="15.75" customHeight="1">
      <c r="A271" s="12"/>
      <c r="B271" s="12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</row>
    <row r="272" ht="15.75" customHeight="1">
      <c r="A272" s="12"/>
      <c r="B272" s="12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</row>
    <row r="273" ht="15.75" customHeight="1">
      <c r="A273" s="12"/>
      <c r="B273" s="12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</row>
    <row r="274" ht="15.75" customHeight="1">
      <c r="A274" s="12"/>
      <c r="B274" s="12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</row>
    <row r="275" ht="15.75" customHeight="1">
      <c r="A275" s="12"/>
      <c r="B275" s="12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</row>
    <row r="276" ht="15.75" customHeight="1">
      <c r="A276" s="12"/>
      <c r="B276" s="12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</row>
    <row r="277" ht="15.75" customHeight="1">
      <c r="A277" s="12"/>
      <c r="B277" s="12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</row>
    <row r="278" ht="15.75" customHeight="1">
      <c r="A278" s="12"/>
      <c r="B278" s="12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</row>
    <row r="279" ht="15.75" customHeight="1">
      <c r="A279" s="12"/>
      <c r="B279" s="12"/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</row>
    <row r="280" ht="15.75" customHeight="1">
      <c r="A280" s="12"/>
      <c r="B280" s="12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</row>
    <row r="281" ht="15.75" customHeight="1">
      <c r="A281" s="12"/>
      <c r="B281" s="12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</row>
    <row r="282" ht="15.75" customHeight="1">
      <c r="A282" s="12"/>
      <c r="B282" s="12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</row>
    <row r="283" ht="15.75" customHeight="1">
      <c r="A283" s="12"/>
      <c r="B283" s="12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</row>
    <row r="284" ht="15.75" customHeight="1">
      <c r="A284" s="12"/>
      <c r="B284" s="12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</row>
    <row r="285" ht="15.75" customHeight="1">
      <c r="A285" s="12"/>
      <c r="B285" s="12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</row>
    <row r="286" ht="15.75" customHeight="1">
      <c r="A286" s="12"/>
      <c r="B286" s="12"/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</row>
    <row r="287" ht="15.75" customHeight="1">
      <c r="A287" s="12"/>
      <c r="B287" s="12"/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</row>
    <row r="288" ht="15.75" customHeight="1">
      <c r="A288" s="12"/>
      <c r="B288" s="12"/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</row>
    <row r="289" ht="15.75" customHeight="1">
      <c r="A289" s="12"/>
      <c r="B289" s="12"/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</row>
    <row r="290" ht="15.75" customHeight="1">
      <c r="A290" s="12"/>
      <c r="B290" s="12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</row>
    <row r="291" ht="15.75" customHeight="1">
      <c r="A291" s="12"/>
      <c r="B291" s="12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</row>
    <row r="292" ht="15.75" customHeight="1">
      <c r="A292" s="12"/>
      <c r="B292" s="12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</row>
    <row r="293" ht="15.75" customHeight="1">
      <c r="A293" s="12"/>
      <c r="B293" s="12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</row>
    <row r="294" ht="15.75" customHeight="1">
      <c r="A294" s="12"/>
      <c r="B294" s="12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</row>
    <row r="295" ht="15.75" customHeight="1">
      <c r="A295" s="12"/>
      <c r="B295" s="12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</row>
    <row r="296" ht="15.75" customHeight="1">
      <c r="A296" s="12"/>
      <c r="B296" s="12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</row>
    <row r="297" ht="15.75" customHeight="1">
      <c r="A297" s="12"/>
      <c r="B297" s="12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</row>
    <row r="298" ht="15.75" customHeight="1">
      <c r="A298" s="12"/>
      <c r="B298" s="12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</row>
    <row r="299" ht="15.75" customHeight="1">
      <c r="A299" s="12"/>
      <c r="B299" s="12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</row>
    <row r="300" ht="15.75" customHeight="1">
      <c r="A300" s="12"/>
      <c r="B300" s="12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</row>
    <row r="301" ht="15.75" customHeight="1">
      <c r="A301" s="12"/>
      <c r="B301" s="12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</row>
    <row r="302" ht="15.75" customHeight="1">
      <c r="A302" s="12"/>
      <c r="B302" s="12"/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</row>
    <row r="303" ht="15.75" customHeight="1">
      <c r="A303" s="12"/>
      <c r="B303" s="12"/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</row>
    <row r="304" ht="15.75" customHeight="1">
      <c r="A304" s="12"/>
      <c r="B304" s="12"/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</row>
    <row r="305" ht="15.75" customHeight="1">
      <c r="A305" s="12"/>
      <c r="B305" s="12"/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</row>
    <row r="306" ht="15.75" customHeight="1">
      <c r="A306" s="12"/>
      <c r="B306" s="12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</row>
    <row r="307" ht="15.75" customHeight="1">
      <c r="A307" s="12"/>
      <c r="B307" s="12"/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</row>
    <row r="308" ht="15.75" customHeight="1">
      <c r="A308" s="12"/>
      <c r="B308" s="12"/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</row>
    <row r="309" ht="15.75" customHeight="1">
      <c r="A309" s="12"/>
      <c r="B309" s="12"/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</row>
    <row r="310" ht="15.75" customHeight="1">
      <c r="A310" s="12"/>
      <c r="B310" s="12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</row>
    <row r="311" ht="15.75" customHeight="1">
      <c r="A311" s="12"/>
      <c r="B311" s="12"/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</row>
    <row r="312" ht="15.75" customHeight="1">
      <c r="A312" s="12"/>
      <c r="B312" s="12"/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</row>
    <row r="313" ht="15.75" customHeight="1">
      <c r="A313" s="12"/>
      <c r="B313" s="12"/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</row>
    <row r="314" ht="15.75" customHeight="1">
      <c r="A314" s="12"/>
      <c r="B314" s="12"/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</row>
    <row r="315" ht="15.75" customHeight="1">
      <c r="A315" s="12"/>
      <c r="B315" s="12"/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</row>
    <row r="316" ht="15.75" customHeight="1">
      <c r="A316" s="12"/>
      <c r="B316" s="12"/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</row>
    <row r="317" ht="15.75" customHeight="1">
      <c r="A317" s="12"/>
      <c r="B317" s="12"/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</row>
    <row r="318" ht="15.75" customHeight="1">
      <c r="A318" s="12"/>
      <c r="B318" s="12"/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</row>
    <row r="319" ht="15.75" customHeight="1">
      <c r="A319" s="12"/>
      <c r="B319" s="12"/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</row>
    <row r="320" ht="15.75" customHeight="1">
      <c r="A320" s="12"/>
      <c r="B320" s="12"/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</row>
    <row r="321" ht="15.75" customHeight="1">
      <c r="A321" s="12"/>
      <c r="B321" s="12"/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</row>
    <row r="322" ht="15.75" customHeight="1">
      <c r="A322" s="12"/>
      <c r="B322" s="12"/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</row>
    <row r="323" ht="15.75" customHeight="1">
      <c r="A323" s="12"/>
      <c r="B323" s="12"/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</row>
    <row r="324" ht="15.75" customHeight="1">
      <c r="A324" s="12"/>
      <c r="B324" s="12"/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</row>
    <row r="325" ht="15.75" customHeight="1">
      <c r="A325" s="12"/>
      <c r="B325" s="12"/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/>
    </row>
    <row r="326" ht="15.75" customHeight="1">
      <c r="A326" s="12"/>
      <c r="B326" s="12"/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</row>
    <row r="327" ht="15.75" customHeight="1">
      <c r="A327" s="12"/>
      <c r="B327" s="12"/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/>
    </row>
    <row r="328" ht="15.75" customHeight="1">
      <c r="A328" s="12"/>
      <c r="B328" s="12"/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</row>
    <row r="329" ht="15.75" customHeight="1">
      <c r="A329" s="12"/>
      <c r="B329" s="12"/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2"/>
    </row>
    <row r="330" ht="15.75" customHeight="1">
      <c r="A330" s="12"/>
      <c r="B330" s="12"/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/>
    </row>
    <row r="331" ht="15.75" customHeight="1">
      <c r="A331" s="12"/>
      <c r="B331" s="12"/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2"/>
    </row>
    <row r="332" ht="15.75" customHeight="1">
      <c r="A332" s="12"/>
      <c r="B332" s="12"/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/>
    </row>
    <row r="333" ht="15.75" customHeight="1">
      <c r="A333" s="12"/>
      <c r="B333" s="12"/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</row>
    <row r="334" ht="15.75" customHeight="1">
      <c r="A334" s="12"/>
      <c r="B334" s="12"/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</row>
    <row r="335" ht="15.75" customHeight="1">
      <c r="A335" s="12"/>
      <c r="B335" s="12"/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/>
    </row>
    <row r="336" ht="15.75" customHeight="1">
      <c r="A336" s="12"/>
      <c r="B336" s="12"/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</row>
    <row r="337" ht="15.75" customHeight="1">
      <c r="A337" s="12"/>
      <c r="B337" s="12"/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/>
    </row>
    <row r="338" ht="15.75" customHeight="1">
      <c r="A338" s="12"/>
      <c r="B338" s="12"/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</row>
    <row r="339" ht="15.75" customHeight="1">
      <c r="A339" s="12"/>
      <c r="B339" s="12"/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/>
    </row>
    <row r="340" ht="15.75" customHeight="1">
      <c r="A340" s="12"/>
      <c r="B340" s="12"/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</row>
    <row r="341" ht="15.75" customHeight="1">
      <c r="A341" s="12"/>
      <c r="B341" s="12"/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</row>
    <row r="342" ht="15.75" customHeight="1">
      <c r="A342" s="12"/>
      <c r="B342" s="12"/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</row>
    <row r="343" ht="15.75" customHeight="1">
      <c r="A343" s="12"/>
      <c r="B343" s="12"/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</row>
    <row r="344" ht="15.75" customHeight="1">
      <c r="A344" s="12"/>
      <c r="B344" s="12"/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</row>
    <row r="345" ht="15.75" customHeight="1">
      <c r="A345" s="12"/>
      <c r="B345" s="12"/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/>
    </row>
    <row r="346" ht="15.75" customHeight="1">
      <c r="A346" s="12"/>
      <c r="B346" s="12"/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</row>
    <row r="347" ht="15.75" customHeight="1">
      <c r="A347" s="12"/>
      <c r="B347" s="12"/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/>
    </row>
    <row r="348" ht="15.75" customHeight="1">
      <c r="A348" s="12"/>
      <c r="B348" s="12"/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</row>
    <row r="349" ht="15.75" customHeight="1">
      <c r="A349" s="12"/>
      <c r="B349" s="12"/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</row>
    <row r="350" ht="15.75" customHeight="1">
      <c r="A350" s="12"/>
      <c r="B350" s="12"/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</row>
    <row r="351" ht="15.75" customHeight="1">
      <c r="A351" s="12"/>
      <c r="B351" s="12"/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</row>
    <row r="352" ht="15.75" customHeight="1">
      <c r="A352" s="12"/>
      <c r="B352" s="12"/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</row>
    <row r="353" ht="15.75" customHeight="1">
      <c r="A353" s="12"/>
      <c r="B353" s="12"/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/>
    </row>
    <row r="354" ht="15.75" customHeight="1">
      <c r="A354" s="12"/>
      <c r="B354" s="12"/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</row>
    <row r="355" ht="15.75" customHeight="1">
      <c r="A355" s="12"/>
      <c r="B355" s="12"/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/>
    </row>
    <row r="356" ht="15.75" customHeight="1">
      <c r="A356" s="12"/>
      <c r="B356" s="12"/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/>
    </row>
    <row r="357" ht="15.75" customHeight="1">
      <c r="A357" s="12"/>
      <c r="B357" s="12"/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12"/>
    </row>
    <row r="358" ht="15.75" customHeight="1">
      <c r="A358" s="12"/>
      <c r="B358" s="12"/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/>
    </row>
    <row r="359" ht="15.75" customHeight="1">
      <c r="A359" s="12"/>
      <c r="B359" s="12"/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2"/>
    </row>
    <row r="360" ht="15.75" customHeight="1">
      <c r="A360" s="12"/>
      <c r="B360" s="12"/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/>
    </row>
    <row r="361" ht="15.75" customHeight="1">
      <c r="A361" s="12"/>
      <c r="B361" s="12"/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/>
    </row>
    <row r="362" ht="15.75" customHeight="1">
      <c r="A362" s="12"/>
      <c r="B362" s="12"/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</row>
    <row r="363" ht="15.75" customHeight="1">
      <c r="A363" s="12"/>
      <c r="B363" s="12"/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/>
    </row>
    <row r="364" ht="15.75" customHeight="1">
      <c r="A364" s="12"/>
      <c r="B364" s="12"/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/>
    </row>
    <row r="365" ht="15.75" customHeight="1">
      <c r="A365" s="12"/>
      <c r="B365" s="12"/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</row>
    <row r="366" ht="15.75" customHeight="1">
      <c r="A366" s="12"/>
      <c r="B366" s="12"/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</row>
    <row r="367" ht="15.75" customHeight="1">
      <c r="A367" s="12"/>
      <c r="B367" s="12"/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/>
    </row>
    <row r="368" ht="15.75" customHeight="1">
      <c r="A368" s="12"/>
      <c r="B368" s="12"/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</row>
    <row r="369" ht="15.75" customHeight="1">
      <c r="A369" s="12"/>
      <c r="B369" s="12"/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2"/>
    </row>
    <row r="370" ht="15.75" customHeight="1">
      <c r="A370" s="12"/>
      <c r="B370" s="12"/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</row>
    <row r="371" ht="15.75" customHeight="1">
      <c r="A371" s="12"/>
      <c r="B371" s="12"/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2"/>
    </row>
    <row r="372" ht="15.75" customHeight="1">
      <c r="A372" s="12"/>
      <c r="B372" s="12"/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/>
    </row>
    <row r="373" ht="15.75" customHeight="1">
      <c r="A373" s="12"/>
      <c r="B373" s="12"/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/>
    </row>
    <row r="374" ht="15.75" customHeight="1">
      <c r="A374" s="12"/>
      <c r="B374" s="12"/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/>
    </row>
    <row r="375" ht="15.75" customHeight="1">
      <c r="A375" s="12"/>
      <c r="B375" s="12"/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2"/>
    </row>
    <row r="376" ht="15.75" customHeight="1">
      <c r="A376" s="12"/>
      <c r="B376" s="12"/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/>
    </row>
    <row r="377" ht="15.75" customHeight="1">
      <c r="A377" s="12"/>
      <c r="B377" s="12"/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2"/>
    </row>
    <row r="378" ht="15.75" customHeight="1">
      <c r="A378" s="12"/>
      <c r="B378" s="12"/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/>
    </row>
    <row r="379" ht="15.75" customHeight="1">
      <c r="A379" s="12"/>
      <c r="B379" s="12"/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/>
    </row>
    <row r="380" ht="15.75" customHeight="1">
      <c r="A380" s="12"/>
      <c r="B380" s="12"/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</row>
    <row r="381" ht="15.75" customHeight="1">
      <c r="A381" s="12"/>
      <c r="B381" s="12"/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</row>
    <row r="382" ht="15.75" customHeight="1">
      <c r="A382" s="12"/>
      <c r="B382" s="12"/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</row>
    <row r="383" ht="15.75" customHeight="1">
      <c r="A383" s="12"/>
      <c r="B383" s="12"/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</row>
    <row r="384" ht="15.75" customHeight="1">
      <c r="A384" s="12"/>
      <c r="B384" s="12"/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</row>
    <row r="385" ht="15.75" customHeight="1">
      <c r="A385" s="12"/>
      <c r="B385" s="12"/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/>
    </row>
    <row r="386" ht="15.75" customHeight="1">
      <c r="A386" s="12"/>
      <c r="B386" s="12"/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</row>
    <row r="387" ht="15.75" customHeight="1">
      <c r="A387" s="12"/>
      <c r="B387" s="12"/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/>
    </row>
    <row r="388" ht="15.75" customHeight="1">
      <c r="A388" s="12"/>
      <c r="B388" s="12"/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</row>
    <row r="389" ht="15.75" customHeight="1">
      <c r="A389" s="12"/>
      <c r="B389" s="12"/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/>
    </row>
    <row r="390" ht="15.75" customHeight="1">
      <c r="A390" s="12"/>
      <c r="B390" s="12"/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/>
    </row>
    <row r="391" ht="15.75" customHeight="1">
      <c r="A391" s="12"/>
      <c r="B391" s="12"/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</row>
    <row r="392" ht="15.75" customHeight="1">
      <c r="A392" s="12"/>
      <c r="B392" s="12"/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</row>
    <row r="393" ht="15.75" customHeight="1">
      <c r="A393" s="12"/>
      <c r="B393" s="12"/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/>
    </row>
    <row r="394" ht="15.75" customHeight="1">
      <c r="A394" s="12"/>
      <c r="B394" s="12"/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</row>
    <row r="395" ht="15.75" customHeight="1">
      <c r="A395" s="12"/>
      <c r="B395" s="12"/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</row>
    <row r="396" ht="15.75" customHeight="1">
      <c r="A396" s="12"/>
      <c r="B396" s="12"/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</row>
    <row r="397" ht="15.75" customHeight="1">
      <c r="A397" s="12"/>
      <c r="B397" s="12"/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/>
    </row>
    <row r="398" ht="15.75" customHeight="1">
      <c r="A398" s="12"/>
      <c r="B398" s="12"/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</row>
    <row r="399" ht="15.75" customHeight="1">
      <c r="A399" s="12"/>
      <c r="B399" s="12"/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/>
    </row>
    <row r="400" ht="15.75" customHeight="1">
      <c r="A400" s="12"/>
      <c r="B400" s="12"/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</row>
    <row r="401" ht="15.75" customHeight="1">
      <c r="A401" s="12"/>
      <c r="B401" s="12"/>
      <c r="C401" s="12"/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12"/>
    </row>
    <row r="402" ht="15.75" customHeight="1">
      <c r="A402" s="12"/>
      <c r="B402" s="12"/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/>
    </row>
    <row r="403" ht="15.75" customHeight="1">
      <c r="A403" s="12"/>
      <c r="B403" s="12"/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</row>
    <row r="404" ht="15.75" customHeight="1">
      <c r="A404" s="12"/>
      <c r="B404" s="12"/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</row>
    <row r="405" ht="15.75" customHeight="1">
      <c r="A405" s="12"/>
      <c r="B405" s="12"/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/>
    </row>
    <row r="406" ht="15.75" customHeight="1">
      <c r="A406" s="12"/>
      <c r="B406" s="12"/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</row>
    <row r="407" ht="15.75" customHeight="1">
      <c r="A407" s="12"/>
      <c r="B407" s="12"/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2"/>
    </row>
    <row r="408" ht="15.75" customHeight="1">
      <c r="A408" s="12"/>
      <c r="B408" s="12"/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</row>
    <row r="409" ht="15.75" customHeight="1">
      <c r="A409" s="12"/>
      <c r="B409" s="12"/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/>
    </row>
    <row r="410" ht="15.75" customHeight="1">
      <c r="A410" s="12"/>
      <c r="B410" s="12"/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</row>
    <row r="411" ht="15.75" customHeight="1">
      <c r="A411" s="12"/>
      <c r="B411" s="12"/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/>
    </row>
    <row r="412" ht="15.75" customHeight="1">
      <c r="A412" s="12"/>
      <c r="B412" s="12"/>
      <c r="C412" s="12"/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2"/>
    </row>
    <row r="413" ht="15.75" customHeight="1">
      <c r="A413" s="12"/>
      <c r="B413" s="12"/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2"/>
    </row>
    <row r="414" ht="15.75" customHeight="1">
      <c r="A414" s="12"/>
      <c r="B414" s="12"/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/>
    </row>
    <row r="415" ht="15.75" customHeight="1">
      <c r="A415" s="12"/>
      <c r="B415" s="12"/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12"/>
    </row>
    <row r="416" ht="15.75" customHeight="1">
      <c r="A416" s="12"/>
      <c r="B416" s="12"/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/>
    </row>
    <row r="417" ht="15.75" customHeight="1">
      <c r="A417" s="12"/>
      <c r="B417" s="12"/>
      <c r="C417" s="12"/>
      <c r="D417" s="12"/>
      <c r="E417" s="12"/>
      <c r="F417" s="12"/>
      <c r="G417" s="12"/>
      <c r="H417" s="12"/>
      <c r="I417" s="12"/>
      <c r="J417" s="12"/>
      <c r="K417" s="12"/>
      <c r="L417" s="12"/>
      <c r="M417" s="12"/>
      <c r="N417" s="12"/>
    </row>
    <row r="418" ht="15.75" customHeight="1">
      <c r="A418" s="12"/>
      <c r="B418" s="12"/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/>
    </row>
    <row r="419" ht="15.75" customHeight="1">
      <c r="A419" s="12"/>
      <c r="B419" s="12"/>
      <c r="C419" s="12"/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12"/>
    </row>
    <row r="420" ht="15.75" customHeight="1">
      <c r="A420" s="12"/>
      <c r="B420" s="12"/>
      <c r="C420" s="12"/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2"/>
    </row>
    <row r="421" ht="15.75" customHeight="1">
      <c r="A421" s="12"/>
      <c r="B421" s="12"/>
      <c r="C421" s="12"/>
      <c r="D421" s="12"/>
      <c r="E421" s="12"/>
      <c r="F421" s="12"/>
      <c r="G421" s="12"/>
      <c r="H421" s="12"/>
      <c r="I421" s="12"/>
      <c r="J421" s="12"/>
      <c r="K421" s="12"/>
      <c r="L421" s="12"/>
      <c r="M421" s="12"/>
      <c r="N421" s="12"/>
    </row>
    <row r="422" ht="15.75" customHeight="1">
      <c r="A422" s="12"/>
      <c r="B422" s="12"/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/>
    </row>
    <row r="423" ht="15.75" customHeight="1">
      <c r="A423" s="12"/>
      <c r="B423" s="12"/>
      <c r="C423" s="12"/>
      <c r="D423" s="12"/>
      <c r="E423" s="12"/>
      <c r="F423" s="12"/>
      <c r="G423" s="12"/>
      <c r="H423" s="12"/>
      <c r="I423" s="12"/>
      <c r="J423" s="12"/>
      <c r="K423" s="12"/>
      <c r="L423" s="12"/>
      <c r="M423" s="12"/>
      <c r="N423" s="12"/>
    </row>
    <row r="424" ht="15.75" customHeight="1">
      <c r="A424" s="12"/>
      <c r="B424" s="12"/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/>
    </row>
    <row r="425" ht="15.75" customHeight="1">
      <c r="A425" s="12"/>
      <c r="B425" s="12"/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2"/>
    </row>
    <row r="426" ht="15.75" customHeight="1">
      <c r="A426" s="12"/>
      <c r="B426" s="12"/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</row>
    <row r="427" ht="15.75" customHeight="1">
      <c r="A427" s="12"/>
      <c r="B427" s="12"/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/>
    </row>
    <row r="428" ht="15.75" customHeight="1">
      <c r="A428" s="12"/>
      <c r="B428" s="12"/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/>
    </row>
    <row r="429" ht="15.75" customHeight="1">
      <c r="A429" s="12"/>
      <c r="B429" s="12"/>
      <c r="C429" s="12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12"/>
    </row>
    <row r="430" ht="15.75" customHeight="1">
      <c r="A430" s="12"/>
      <c r="B430" s="12"/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/>
    </row>
    <row r="431" ht="15.75" customHeight="1">
      <c r="A431" s="12"/>
      <c r="B431" s="12"/>
      <c r="C431" s="12"/>
      <c r="D431" s="12"/>
      <c r="E431" s="12"/>
      <c r="F431" s="12"/>
      <c r="G431" s="12"/>
      <c r="H431" s="12"/>
      <c r="I431" s="12"/>
      <c r="J431" s="12"/>
      <c r="K431" s="12"/>
      <c r="L431" s="12"/>
      <c r="M431" s="12"/>
      <c r="N431" s="12"/>
    </row>
    <row r="432" ht="15.75" customHeight="1">
      <c r="A432" s="12"/>
      <c r="B432" s="12"/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/>
    </row>
    <row r="433" ht="15.75" customHeight="1">
      <c r="A433" s="12"/>
      <c r="B433" s="12"/>
      <c r="C433" s="12"/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12"/>
    </row>
    <row r="434" ht="15.75" customHeight="1">
      <c r="A434" s="12"/>
      <c r="B434" s="12"/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/>
    </row>
    <row r="435" ht="15.75" customHeight="1">
      <c r="A435" s="12"/>
      <c r="B435" s="12"/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2"/>
    </row>
    <row r="436" ht="15.75" customHeight="1">
      <c r="A436" s="12"/>
      <c r="B436" s="12"/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/>
    </row>
    <row r="437" ht="15.75" customHeight="1">
      <c r="A437" s="12"/>
      <c r="B437" s="12"/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/>
    </row>
    <row r="438" ht="15.75" customHeight="1">
      <c r="A438" s="12"/>
      <c r="B438" s="12"/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</row>
    <row r="439" ht="15.75" customHeight="1">
      <c r="A439" s="12"/>
      <c r="B439" s="12"/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/>
    </row>
    <row r="440" ht="15.75" customHeight="1">
      <c r="A440" s="12"/>
      <c r="B440" s="12"/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/>
    </row>
    <row r="441" ht="15.75" customHeight="1">
      <c r="A441" s="12"/>
      <c r="B441" s="12"/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/>
    </row>
    <row r="442" ht="15.75" customHeight="1">
      <c r="A442" s="12"/>
      <c r="B442" s="12"/>
      <c r="C442" s="12"/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12"/>
    </row>
    <row r="443" ht="15.75" customHeight="1">
      <c r="A443" s="12"/>
      <c r="B443" s="12"/>
      <c r="C443" s="12"/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12"/>
    </row>
    <row r="444" ht="15.75" customHeight="1">
      <c r="A444" s="12"/>
      <c r="B444" s="12"/>
      <c r="C444" s="12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2"/>
    </row>
    <row r="445" ht="15.75" customHeight="1">
      <c r="A445" s="12"/>
      <c r="B445" s="12"/>
      <c r="C445" s="12"/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12"/>
    </row>
    <row r="446" ht="15.75" customHeight="1">
      <c r="A446" s="12"/>
      <c r="B446" s="12"/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/>
    </row>
    <row r="447" ht="15.75" customHeight="1">
      <c r="A447" s="12"/>
      <c r="B447" s="12"/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2"/>
    </row>
    <row r="448" ht="15.75" customHeight="1">
      <c r="A448" s="12"/>
      <c r="B448" s="12"/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/>
    </row>
    <row r="449" ht="15.75" customHeight="1">
      <c r="A449" s="12"/>
      <c r="B449" s="12"/>
      <c r="C449" s="12"/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12"/>
    </row>
    <row r="450" ht="15.75" customHeight="1">
      <c r="A450" s="12"/>
      <c r="B450" s="12"/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/>
    </row>
    <row r="451" ht="15.75" customHeight="1">
      <c r="A451" s="12"/>
      <c r="B451" s="12"/>
      <c r="C451" s="12"/>
      <c r="D451" s="12"/>
      <c r="E451" s="12"/>
      <c r="F451" s="12"/>
      <c r="G451" s="12"/>
      <c r="H451" s="12"/>
      <c r="I451" s="12"/>
      <c r="J451" s="12"/>
      <c r="K451" s="12"/>
      <c r="L451" s="12"/>
      <c r="M451" s="12"/>
      <c r="N451" s="12"/>
    </row>
    <row r="452" ht="15.75" customHeight="1">
      <c r="A452" s="12"/>
      <c r="B452" s="12"/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2"/>
    </row>
    <row r="453" ht="15.75" customHeight="1">
      <c r="A453" s="12"/>
      <c r="B453" s="12"/>
      <c r="C453" s="12"/>
      <c r="D453" s="12"/>
      <c r="E453" s="12"/>
      <c r="F453" s="12"/>
      <c r="G453" s="12"/>
      <c r="H453" s="12"/>
      <c r="I453" s="12"/>
      <c r="J453" s="12"/>
      <c r="K453" s="12"/>
      <c r="L453" s="12"/>
      <c r="M453" s="12"/>
      <c r="N453" s="12"/>
    </row>
    <row r="454" ht="15.75" customHeight="1">
      <c r="A454" s="12"/>
      <c r="B454" s="12"/>
      <c r="C454" s="12"/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12"/>
    </row>
    <row r="455" ht="15.75" customHeight="1">
      <c r="A455" s="12"/>
      <c r="B455" s="12"/>
      <c r="C455" s="12"/>
      <c r="D455" s="12"/>
      <c r="E455" s="12"/>
      <c r="F455" s="12"/>
      <c r="G455" s="12"/>
      <c r="H455" s="12"/>
      <c r="I455" s="12"/>
      <c r="J455" s="12"/>
      <c r="K455" s="12"/>
      <c r="L455" s="12"/>
      <c r="M455" s="12"/>
      <c r="N455" s="12"/>
    </row>
    <row r="456" ht="15.75" customHeight="1">
      <c r="A456" s="12"/>
      <c r="B456" s="12"/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2"/>
    </row>
    <row r="457" ht="15.75" customHeight="1">
      <c r="A457" s="12"/>
      <c r="B457" s="12"/>
      <c r="C457" s="12"/>
      <c r="D457" s="12"/>
      <c r="E457" s="12"/>
      <c r="F457" s="12"/>
      <c r="G457" s="12"/>
      <c r="H457" s="12"/>
      <c r="I457" s="12"/>
      <c r="J457" s="12"/>
      <c r="K457" s="12"/>
      <c r="L457" s="12"/>
      <c r="M457" s="12"/>
      <c r="N457" s="12"/>
    </row>
    <row r="458" ht="15.75" customHeight="1">
      <c r="A458" s="12"/>
      <c r="B458" s="12"/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/>
    </row>
    <row r="459" ht="15.75" customHeight="1">
      <c r="A459" s="12"/>
      <c r="B459" s="12"/>
      <c r="C459" s="12"/>
      <c r="D459" s="12"/>
      <c r="E459" s="12"/>
      <c r="F459" s="12"/>
      <c r="G459" s="12"/>
      <c r="H459" s="12"/>
      <c r="I459" s="12"/>
      <c r="J459" s="12"/>
      <c r="K459" s="12"/>
      <c r="L459" s="12"/>
      <c r="M459" s="12"/>
      <c r="N459" s="12"/>
    </row>
    <row r="460" ht="15.75" customHeight="1">
      <c r="A460" s="12"/>
      <c r="B460" s="12"/>
      <c r="C460" s="12"/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12"/>
    </row>
    <row r="461" ht="15.75" customHeight="1">
      <c r="A461" s="12"/>
      <c r="B461" s="12"/>
      <c r="C461" s="12"/>
      <c r="D461" s="12"/>
      <c r="E461" s="12"/>
      <c r="F461" s="12"/>
      <c r="G461" s="12"/>
      <c r="H461" s="12"/>
      <c r="I461" s="12"/>
      <c r="J461" s="12"/>
      <c r="K461" s="12"/>
      <c r="L461" s="12"/>
      <c r="M461" s="12"/>
      <c r="N461" s="12"/>
    </row>
    <row r="462" ht="15.75" customHeight="1">
      <c r="A462" s="12"/>
      <c r="B462" s="12"/>
      <c r="C462" s="12"/>
      <c r="D462" s="12"/>
      <c r="E462" s="12"/>
      <c r="F462" s="12"/>
      <c r="G462" s="12"/>
      <c r="H462" s="12"/>
      <c r="I462" s="12"/>
      <c r="J462" s="12"/>
      <c r="K462" s="12"/>
      <c r="L462" s="12"/>
      <c r="M462" s="12"/>
      <c r="N462" s="12"/>
    </row>
    <row r="463" ht="15.75" customHeight="1">
      <c r="A463" s="12"/>
      <c r="B463" s="12"/>
      <c r="C463" s="12"/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12"/>
    </row>
    <row r="464" ht="15.75" customHeight="1">
      <c r="A464" s="12"/>
      <c r="B464" s="12"/>
      <c r="C464" s="12"/>
      <c r="D464" s="12"/>
      <c r="E464" s="12"/>
      <c r="F464" s="12"/>
      <c r="G464" s="12"/>
      <c r="H464" s="12"/>
      <c r="I464" s="12"/>
      <c r="J464" s="12"/>
      <c r="K464" s="12"/>
      <c r="L464" s="12"/>
      <c r="M464" s="12"/>
      <c r="N464" s="12"/>
    </row>
    <row r="465" ht="15.75" customHeight="1">
      <c r="A465" s="12"/>
      <c r="B465" s="12"/>
      <c r="C465" s="12"/>
      <c r="D465" s="12"/>
      <c r="E465" s="12"/>
      <c r="F465" s="12"/>
      <c r="G465" s="12"/>
      <c r="H465" s="12"/>
      <c r="I465" s="12"/>
      <c r="J465" s="12"/>
      <c r="K465" s="12"/>
      <c r="L465" s="12"/>
      <c r="M465" s="12"/>
      <c r="N465" s="12"/>
    </row>
    <row r="466" ht="15.75" customHeight="1">
      <c r="A466" s="12"/>
      <c r="B466" s="12"/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/>
    </row>
    <row r="467" ht="15.75" customHeight="1">
      <c r="A467" s="12"/>
      <c r="B467" s="12"/>
      <c r="C467" s="12"/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12"/>
    </row>
    <row r="468" ht="15.75" customHeight="1">
      <c r="A468" s="12"/>
      <c r="B468" s="12"/>
      <c r="C468" s="12"/>
      <c r="D468" s="12"/>
      <c r="E468" s="12"/>
      <c r="F468" s="12"/>
      <c r="G468" s="12"/>
      <c r="H468" s="12"/>
      <c r="I468" s="12"/>
      <c r="J468" s="12"/>
      <c r="K468" s="12"/>
      <c r="L468" s="12"/>
      <c r="M468" s="12"/>
      <c r="N468" s="12"/>
    </row>
    <row r="469" ht="15.75" customHeight="1">
      <c r="A469" s="12"/>
      <c r="B469" s="12"/>
      <c r="C469" s="12"/>
      <c r="D469" s="12"/>
      <c r="E469" s="12"/>
      <c r="F469" s="12"/>
      <c r="G469" s="12"/>
      <c r="H469" s="12"/>
      <c r="I469" s="12"/>
      <c r="J469" s="12"/>
      <c r="K469" s="12"/>
      <c r="L469" s="12"/>
      <c r="M469" s="12"/>
      <c r="N469" s="12"/>
    </row>
    <row r="470" ht="15.75" customHeight="1">
      <c r="A470" s="12"/>
      <c r="B470" s="12"/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/>
    </row>
    <row r="471" ht="15.75" customHeight="1">
      <c r="A471" s="12"/>
      <c r="B471" s="12"/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2"/>
    </row>
    <row r="472" ht="15.75" customHeight="1">
      <c r="A472" s="12"/>
      <c r="B472" s="12"/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/>
    </row>
    <row r="473" ht="15.75" customHeight="1">
      <c r="A473" s="12"/>
      <c r="B473" s="12"/>
      <c r="C473" s="12"/>
      <c r="D473" s="12"/>
      <c r="E473" s="12"/>
      <c r="F473" s="12"/>
      <c r="G473" s="12"/>
      <c r="H473" s="12"/>
      <c r="I473" s="12"/>
      <c r="J473" s="12"/>
      <c r="K473" s="12"/>
      <c r="L473" s="12"/>
      <c r="M473" s="12"/>
      <c r="N473" s="12"/>
    </row>
    <row r="474" ht="15.75" customHeight="1">
      <c r="A474" s="12"/>
      <c r="B474" s="12"/>
      <c r="C474" s="12"/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12"/>
    </row>
    <row r="475" ht="15.75" customHeight="1">
      <c r="A475" s="12"/>
      <c r="B475" s="12"/>
      <c r="C475" s="12"/>
      <c r="D475" s="12"/>
      <c r="E475" s="12"/>
      <c r="F475" s="12"/>
      <c r="G475" s="12"/>
      <c r="H475" s="12"/>
      <c r="I475" s="12"/>
      <c r="J475" s="12"/>
      <c r="K475" s="12"/>
      <c r="L475" s="12"/>
      <c r="M475" s="12"/>
      <c r="N475" s="12"/>
    </row>
    <row r="476" ht="15.75" customHeight="1">
      <c r="A476" s="12"/>
      <c r="B476" s="12"/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12"/>
    </row>
    <row r="477" ht="15.75" customHeight="1">
      <c r="A477" s="12"/>
      <c r="B477" s="12"/>
      <c r="C477" s="12"/>
      <c r="D477" s="12"/>
      <c r="E477" s="12"/>
      <c r="F477" s="12"/>
      <c r="G477" s="12"/>
      <c r="H477" s="12"/>
      <c r="I477" s="12"/>
      <c r="J477" s="12"/>
      <c r="K477" s="12"/>
      <c r="L477" s="12"/>
      <c r="M477" s="12"/>
      <c r="N477" s="12"/>
    </row>
    <row r="478" ht="15.75" customHeight="1">
      <c r="A478" s="12"/>
      <c r="B478" s="12"/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/>
    </row>
    <row r="479" ht="15.75" customHeight="1">
      <c r="A479" s="12"/>
      <c r="B479" s="12"/>
      <c r="C479" s="12"/>
      <c r="D479" s="12"/>
      <c r="E479" s="12"/>
      <c r="F479" s="12"/>
      <c r="G479" s="12"/>
      <c r="H479" s="12"/>
      <c r="I479" s="12"/>
      <c r="J479" s="12"/>
      <c r="K479" s="12"/>
      <c r="L479" s="12"/>
      <c r="M479" s="12"/>
      <c r="N479" s="12"/>
    </row>
    <row r="480" ht="15.75" customHeight="1">
      <c r="A480" s="12"/>
      <c r="B480" s="12"/>
      <c r="C480" s="12"/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12"/>
    </row>
    <row r="481" ht="15.75" customHeight="1">
      <c r="A481" s="12"/>
      <c r="B481" s="12"/>
      <c r="C481" s="12"/>
      <c r="D481" s="12"/>
      <c r="E481" s="12"/>
      <c r="F481" s="12"/>
      <c r="G481" s="12"/>
      <c r="H481" s="12"/>
      <c r="I481" s="12"/>
      <c r="J481" s="12"/>
      <c r="K481" s="12"/>
      <c r="L481" s="12"/>
      <c r="M481" s="12"/>
      <c r="N481" s="12"/>
    </row>
    <row r="482" ht="15.75" customHeight="1">
      <c r="A482" s="12"/>
      <c r="B482" s="12"/>
      <c r="C482" s="12"/>
      <c r="D482" s="12"/>
      <c r="E482" s="12"/>
      <c r="F482" s="12"/>
      <c r="G482" s="12"/>
      <c r="H482" s="12"/>
      <c r="I482" s="12"/>
      <c r="J482" s="12"/>
      <c r="K482" s="12"/>
      <c r="L482" s="12"/>
      <c r="M482" s="12"/>
      <c r="N482" s="12"/>
    </row>
    <row r="483" ht="15.75" customHeight="1">
      <c r="A483" s="12"/>
      <c r="B483" s="12"/>
      <c r="C483" s="12"/>
      <c r="D483" s="12"/>
      <c r="E483" s="12"/>
      <c r="F483" s="12"/>
      <c r="G483" s="12"/>
      <c r="H483" s="12"/>
      <c r="I483" s="12"/>
      <c r="J483" s="12"/>
      <c r="K483" s="12"/>
      <c r="L483" s="12"/>
      <c r="M483" s="12"/>
      <c r="N483" s="12"/>
    </row>
    <row r="484" ht="15.75" customHeight="1">
      <c r="A484" s="12"/>
      <c r="B484" s="12"/>
      <c r="C484" s="12"/>
      <c r="D484" s="12"/>
      <c r="E484" s="12"/>
      <c r="F484" s="12"/>
      <c r="G484" s="12"/>
      <c r="H484" s="12"/>
      <c r="I484" s="12"/>
      <c r="J484" s="12"/>
      <c r="K484" s="12"/>
      <c r="L484" s="12"/>
      <c r="M484" s="12"/>
      <c r="N484" s="12"/>
    </row>
    <row r="485" ht="15.75" customHeight="1">
      <c r="A485" s="12"/>
      <c r="B485" s="12"/>
      <c r="C485" s="12"/>
      <c r="D485" s="12"/>
      <c r="E485" s="12"/>
      <c r="F485" s="12"/>
      <c r="G485" s="12"/>
      <c r="H485" s="12"/>
      <c r="I485" s="12"/>
      <c r="J485" s="12"/>
      <c r="K485" s="12"/>
      <c r="L485" s="12"/>
      <c r="M485" s="12"/>
      <c r="N485" s="12"/>
    </row>
    <row r="486" ht="15.75" customHeight="1">
      <c r="A486" s="12"/>
      <c r="B486" s="12"/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/>
    </row>
    <row r="487" ht="15.75" customHeight="1">
      <c r="A487" s="12"/>
      <c r="B487" s="12"/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12"/>
    </row>
    <row r="488" ht="15.75" customHeight="1">
      <c r="A488" s="12"/>
      <c r="B488" s="12"/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2"/>
    </row>
    <row r="489" ht="15.75" customHeight="1">
      <c r="A489" s="12"/>
      <c r="B489" s="12"/>
      <c r="C489" s="12"/>
      <c r="D489" s="12"/>
      <c r="E489" s="12"/>
      <c r="F489" s="12"/>
      <c r="G489" s="12"/>
      <c r="H489" s="12"/>
      <c r="I489" s="12"/>
      <c r="J489" s="12"/>
      <c r="K489" s="12"/>
      <c r="L489" s="12"/>
      <c r="M489" s="12"/>
      <c r="N489" s="12"/>
    </row>
    <row r="490" ht="15.75" customHeight="1">
      <c r="A490" s="12"/>
      <c r="B490" s="12"/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2"/>
    </row>
    <row r="491" ht="15.75" customHeight="1">
      <c r="A491" s="12"/>
      <c r="B491" s="12"/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12"/>
    </row>
    <row r="492" ht="15.75" customHeight="1">
      <c r="A492" s="12"/>
      <c r="B492" s="12"/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/>
    </row>
    <row r="493" ht="15.75" customHeight="1">
      <c r="A493" s="12"/>
      <c r="B493" s="12"/>
      <c r="C493" s="12"/>
      <c r="D493" s="12"/>
      <c r="E493" s="12"/>
      <c r="F493" s="12"/>
      <c r="G493" s="12"/>
      <c r="H493" s="12"/>
      <c r="I493" s="12"/>
      <c r="J493" s="12"/>
      <c r="K493" s="12"/>
      <c r="L493" s="12"/>
      <c r="M493" s="12"/>
      <c r="N493" s="12"/>
    </row>
    <row r="494" ht="15.75" customHeight="1">
      <c r="A494" s="12"/>
      <c r="B494" s="12"/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/>
    </row>
    <row r="495" ht="15.75" customHeight="1">
      <c r="A495" s="12"/>
      <c r="B495" s="12"/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/>
    </row>
    <row r="496" ht="15.75" customHeight="1">
      <c r="A496" s="12"/>
      <c r="B496" s="12"/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/>
    </row>
    <row r="497" ht="15.75" customHeight="1">
      <c r="A497" s="12"/>
      <c r="B497" s="12"/>
      <c r="C497" s="12"/>
      <c r="D497" s="12"/>
      <c r="E497" s="12"/>
      <c r="F497" s="12"/>
      <c r="G497" s="12"/>
      <c r="H497" s="12"/>
      <c r="I497" s="12"/>
      <c r="J497" s="12"/>
      <c r="K497" s="12"/>
      <c r="L497" s="12"/>
      <c r="M497" s="12"/>
      <c r="N497" s="12"/>
    </row>
    <row r="498" ht="15.75" customHeight="1">
      <c r="A498" s="12"/>
      <c r="B498" s="12"/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/>
    </row>
    <row r="499" ht="15.75" customHeight="1">
      <c r="A499" s="12"/>
      <c r="B499" s="12"/>
      <c r="C499" s="12"/>
      <c r="D499" s="12"/>
      <c r="E499" s="12"/>
      <c r="F499" s="12"/>
      <c r="G499" s="12"/>
      <c r="H499" s="12"/>
      <c r="I499" s="12"/>
      <c r="J499" s="12"/>
      <c r="K499" s="12"/>
      <c r="L499" s="12"/>
      <c r="M499" s="12"/>
      <c r="N499" s="12"/>
    </row>
    <row r="500" ht="15.75" customHeight="1">
      <c r="A500" s="12"/>
      <c r="B500" s="12"/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2"/>
    </row>
    <row r="501" ht="15.75" customHeight="1">
      <c r="A501" s="12"/>
      <c r="B501" s="12"/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12"/>
    </row>
    <row r="502" ht="15.75" customHeight="1">
      <c r="A502" s="12"/>
      <c r="B502" s="12"/>
      <c r="C502" s="12"/>
      <c r="D502" s="12"/>
      <c r="E502" s="12"/>
      <c r="F502" s="12"/>
      <c r="G502" s="12"/>
      <c r="H502" s="12"/>
      <c r="I502" s="12"/>
      <c r="J502" s="12"/>
      <c r="K502" s="12"/>
      <c r="L502" s="12"/>
      <c r="M502" s="12"/>
      <c r="N502" s="12"/>
    </row>
    <row r="503" ht="15.75" customHeight="1">
      <c r="A503" s="12"/>
      <c r="B503" s="12"/>
      <c r="C503" s="12"/>
      <c r="D503" s="12"/>
      <c r="E503" s="12"/>
      <c r="F503" s="12"/>
      <c r="G503" s="12"/>
      <c r="H503" s="12"/>
      <c r="I503" s="12"/>
      <c r="J503" s="12"/>
      <c r="K503" s="12"/>
      <c r="L503" s="12"/>
      <c r="M503" s="12"/>
      <c r="N503" s="12"/>
    </row>
    <row r="504" ht="15.75" customHeight="1">
      <c r="A504" s="12"/>
      <c r="B504" s="12"/>
      <c r="C504" s="12"/>
      <c r="D504" s="12"/>
      <c r="E504" s="12"/>
      <c r="F504" s="12"/>
      <c r="G504" s="12"/>
      <c r="H504" s="12"/>
      <c r="I504" s="12"/>
      <c r="J504" s="12"/>
      <c r="K504" s="12"/>
      <c r="L504" s="12"/>
      <c r="M504" s="12"/>
      <c r="N504" s="12"/>
    </row>
    <row r="505" ht="15.75" customHeight="1">
      <c r="A505" s="12"/>
      <c r="B505" s="12"/>
      <c r="C505" s="12"/>
      <c r="D505" s="12"/>
      <c r="E505" s="12"/>
      <c r="F505" s="12"/>
      <c r="G505" s="12"/>
      <c r="H505" s="12"/>
      <c r="I505" s="12"/>
      <c r="J505" s="12"/>
      <c r="K505" s="12"/>
      <c r="L505" s="12"/>
      <c r="M505" s="12"/>
      <c r="N505" s="12"/>
    </row>
    <row r="506" ht="15.75" customHeight="1">
      <c r="A506" s="12"/>
      <c r="B506" s="12"/>
      <c r="C506" s="12"/>
      <c r="D506" s="12"/>
      <c r="E506" s="12"/>
      <c r="F506" s="12"/>
      <c r="G506" s="12"/>
      <c r="H506" s="12"/>
      <c r="I506" s="12"/>
      <c r="J506" s="12"/>
      <c r="K506" s="12"/>
      <c r="L506" s="12"/>
      <c r="M506" s="12"/>
      <c r="N506" s="12"/>
    </row>
    <row r="507" ht="15.75" customHeight="1">
      <c r="A507" s="12"/>
      <c r="B507" s="12"/>
      <c r="C507" s="12"/>
      <c r="D507" s="12"/>
      <c r="E507" s="12"/>
      <c r="F507" s="12"/>
      <c r="G507" s="12"/>
      <c r="H507" s="12"/>
      <c r="I507" s="12"/>
      <c r="J507" s="12"/>
      <c r="K507" s="12"/>
      <c r="L507" s="12"/>
      <c r="M507" s="12"/>
      <c r="N507" s="12"/>
    </row>
    <row r="508" ht="15.75" customHeight="1">
      <c r="A508" s="12"/>
      <c r="B508" s="12"/>
      <c r="C508" s="12"/>
      <c r="D508" s="12"/>
      <c r="E508" s="12"/>
      <c r="F508" s="12"/>
      <c r="G508" s="12"/>
      <c r="H508" s="12"/>
      <c r="I508" s="12"/>
      <c r="J508" s="12"/>
      <c r="K508" s="12"/>
      <c r="L508" s="12"/>
      <c r="M508" s="12"/>
      <c r="N508" s="12"/>
    </row>
    <row r="509" ht="15.75" customHeight="1">
      <c r="A509" s="12"/>
      <c r="B509" s="12"/>
      <c r="C509" s="12"/>
      <c r="D509" s="12"/>
      <c r="E509" s="12"/>
      <c r="F509" s="12"/>
      <c r="G509" s="12"/>
      <c r="H509" s="12"/>
      <c r="I509" s="12"/>
      <c r="J509" s="12"/>
      <c r="K509" s="12"/>
      <c r="L509" s="12"/>
      <c r="M509" s="12"/>
      <c r="N509" s="12"/>
    </row>
    <row r="510" ht="15.75" customHeight="1">
      <c r="A510" s="12"/>
      <c r="B510" s="12"/>
      <c r="C510" s="12"/>
      <c r="D510" s="12"/>
      <c r="E510" s="12"/>
      <c r="F510" s="12"/>
      <c r="G510" s="12"/>
      <c r="H510" s="12"/>
      <c r="I510" s="12"/>
      <c r="J510" s="12"/>
      <c r="K510" s="12"/>
      <c r="L510" s="12"/>
      <c r="M510" s="12"/>
      <c r="N510" s="12"/>
    </row>
    <row r="511" ht="15.75" customHeight="1">
      <c r="A511" s="12"/>
      <c r="B511" s="12"/>
      <c r="C511" s="12"/>
      <c r="D511" s="12"/>
      <c r="E511" s="12"/>
      <c r="F511" s="12"/>
      <c r="G511" s="12"/>
      <c r="H511" s="12"/>
      <c r="I511" s="12"/>
      <c r="J511" s="12"/>
      <c r="K511" s="12"/>
      <c r="L511" s="12"/>
      <c r="M511" s="12"/>
      <c r="N511" s="12"/>
    </row>
    <row r="512" ht="15.75" customHeight="1">
      <c r="A512" s="12"/>
      <c r="B512" s="12"/>
      <c r="C512" s="12"/>
      <c r="D512" s="12"/>
      <c r="E512" s="12"/>
      <c r="F512" s="12"/>
      <c r="G512" s="12"/>
      <c r="H512" s="12"/>
      <c r="I512" s="12"/>
      <c r="J512" s="12"/>
      <c r="K512" s="12"/>
      <c r="L512" s="12"/>
      <c r="M512" s="12"/>
      <c r="N512" s="12"/>
    </row>
    <row r="513" ht="15.75" customHeight="1">
      <c r="A513" s="12"/>
      <c r="B513" s="12"/>
      <c r="C513" s="12"/>
      <c r="D513" s="12"/>
      <c r="E513" s="12"/>
      <c r="F513" s="12"/>
      <c r="G513" s="12"/>
      <c r="H513" s="12"/>
      <c r="I513" s="12"/>
      <c r="J513" s="12"/>
      <c r="K513" s="12"/>
      <c r="L513" s="12"/>
      <c r="M513" s="12"/>
      <c r="N513" s="12"/>
    </row>
    <row r="514" ht="15.75" customHeight="1">
      <c r="A514" s="12"/>
      <c r="B514" s="12"/>
      <c r="C514" s="12"/>
      <c r="D514" s="12"/>
      <c r="E514" s="12"/>
      <c r="F514" s="12"/>
      <c r="G514" s="12"/>
      <c r="H514" s="12"/>
      <c r="I514" s="12"/>
      <c r="J514" s="12"/>
      <c r="K514" s="12"/>
      <c r="L514" s="12"/>
      <c r="M514" s="12"/>
      <c r="N514" s="12"/>
    </row>
    <row r="515" ht="15.75" customHeight="1">
      <c r="A515" s="12"/>
      <c r="B515" s="12"/>
      <c r="C515" s="12"/>
      <c r="D515" s="12"/>
      <c r="E515" s="12"/>
      <c r="F515" s="12"/>
      <c r="G515" s="12"/>
      <c r="H515" s="12"/>
      <c r="I515" s="12"/>
      <c r="J515" s="12"/>
      <c r="K515" s="12"/>
      <c r="L515" s="12"/>
      <c r="M515" s="12"/>
      <c r="N515" s="12"/>
    </row>
    <row r="516" ht="15.75" customHeight="1">
      <c r="A516" s="12"/>
      <c r="B516" s="12"/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2"/>
    </row>
    <row r="517" ht="15.75" customHeight="1">
      <c r="A517" s="12"/>
      <c r="B517" s="12"/>
      <c r="C517" s="12"/>
      <c r="D517" s="12"/>
      <c r="E517" s="12"/>
      <c r="F517" s="12"/>
      <c r="G517" s="12"/>
      <c r="H517" s="12"/>
      <c r="I517" s="12"/>
      <c r="J517" s="12"/>
      <c r="K517" s="12"/>
      <c r="L517" s="12"/>
      <c r="M517" s="12"/>
      <c r="N517" s="12"/>
    </row>
    <row r="518" ht="15.75" customHeight="1">
      <c r="A518" s="12"/>
      <c r="B518" s="12"/>
      <c r="C518" s="12"/>
      <c r="D518" s="12"/>
      <c r="E518" s="12"/>
      <c r="F518" s="12"/>
      <c r="G518" s="12"/>
      <c r="H518" s="12"/>
      <c r="I518" s="12"/>
      <c r="J518" s="12"/>
      <c r="K518" s="12"/>
      <c r="L518" s="12"/>
      <c r="M518" s="12"/>
      <c r="N518" s="12"/>
    </row>
    <row r="519" ht="15.75" customHeight="1">
      <c r="A519" s="12"/>
      <c r="B519" s="12"/>
      <c r="C519" s="12"/>
      <c r="D519" s="12"/>
      <c r="E519" s="12"/>
      <c r="F519" s="12"/>
      <c r="G519" s="12"/>
      <c r="H519" s="12"/>
      <c r="I519" s="12"/>
      <c r="J519" s="12"/>
      <c r="K519" s="12"/>
      <c r="L519" s="12"/>
      <c r="M519" s="12"/>
      <c r="N519" s="12"/>
    </row>
    <row r="520" ht="15.75" customHeight="1">
      <c r="A520" s="12"/>
      <c r="B520" s="12"/>
      <c r="C520" s="12"/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12"/>
    </row>
    <row r="521" ht="15.75" customHeight="1">
      <c r="A521" s="12"/>
      <c r="B521" s="12"/>
      <c r="C521" s="12"/>
      <c r="D521" s="12"/>
      <c r="E521" s="12"/>
      <c r="F521" s="12"/>
      <c r="G521" s="12"/>
      <c r="H521" s="12"/>
      <c r="I521" s="12"/>
      <c r="J521" s="12"/>
      <c r="K521" s="12"/>
      <c r="L521" s="12"/>
      <c r="M521" s="12"/>
      <c r="N521" s="12"/>
    </row>
    <row r="522" ht="15.75" customHeight="1">
      <c r="A522" s="12"/>
      <c r="B522" s="12"/>
      <c r="C522" s="12"/>
      <c r="D522" s="12"/>
      <c r="E522" s="12"/>
      <c r="F522" s="12"/>
      <c r="G522" s="12"/>
      <c r="H522" s="12"/>
      <c r="I522" s="12"/>
      <c r="J522" s="12"/>
      <c r="K522" s="12"/>
      <c r="L522" s="12"/>
      <c r="M522" s="12"/>
      <c r="N522" s="12"/>
    </row>
    <row r="523" ht="15.75" customHeight="1">
      <c r="A523" s="12"/>
      <c r="B523" s="12"/>
      <c r="C523" s="12"/>
      <c r="D523" s="12"/>
      <c r="E523" s="12"/>
      <c r="F523" s="12"/>
      <c r="G523" s="12"/>
      <c r="H523" s="12"/>
      <c r="I523" s="12"/>
      <c r="J523" s="12"/>
      <c r="K523" s="12"/>
      <c r="L523" s="12"/>
      <c r="M523" s="12"/>
      <c r="N523" s="12"/>
    </row>
    <row r="524" ht="15.75" customHeight="1">
      <c r="A524" s="12"/>
      <c r="B524" s="12"/>
      <c r="C524" s="12"/>
      <c r="D524" s="12"/>
      <c r="E524" s="12"/>
      <c r="F524" s="12"/>
      <c r="G524" s="12"/>
      <c r="H524" s="12"/>
      <c r="I524" s="12"/>
      <c r="J524" s="12"/>
      <c r="K524" s="12"/>
      <c r="L524" s="12"/>
      <c r="M524" s="12"/>
      <c r="N524" s="12"/>
    </row>
    <row r="525" ht="15.75" customHeight="1">
      <c r="A525" s="12"/>
      <c r="B525" s="12"/>
      <c r="C525" s="12"/>
      <c r="D525" s="12"/>
      <c r="E525" s="12"/>
      <c r="F525" s="12"/>
      <c r="G525" s="12"/>
      <c r="H525" s="12"/>
      <c r="I525" s="12"/>
      <c r="J525" s="12"/>
      <c r="K525" s="12"/>
      <c r="L525" s="12"/>
      <c r="M525" s="12"/>
      <c r="N525" s="12"/>
    </row>
    <row r="526" ht="15.75" customHeight="1">
      <c r="A526" s="12"/>
      <c r="B526" s="12"/>
      <c r="C526" s="12"/>
      <c r="D526" s="12"/>
      <c r="E526" s="12"/>
      <c r="F526" s="12"/>
      <c r="G526" s="12"/>
      <c r="H526" s="12"/>
      <c r="I526" s="12"/>
      <c r="J526" s="12"/>
      <c r="K526" s="12"/>
      <c r="L526" s="12"/>
      <c r="M526" s="12"/>
      <c r="N526" s="12"/>
    </row>
    <row r="527" ht="15.75" customHeight="1">
      <c r="A527" s="12"/>
      <c r="B527" s="12"/>
      <c r="C527" s="12"/>
      <c r="D527" s="12"/>
      <c r="E527" s="12"/>
      <c r="F527" s="12"/>
      <c r="G527" s="12"/>
      <c r="H527" s="12"/>
      <c r="I527" s="12"/>
      <c r="J527" s="12"/>
      <c r="K527" s="12"/>
      <c r="L527" s="12"/>
      <c r="M527" s="12"/>
      <c r="N527" s="12"/>
    </row>
    <row r="528" ht="15.75" customHeight="1">
      <c r="A528" s="12"/>
      <c r="B528" s="12"/>
      <c r="C528" s="12"/>
      <c r="D528" s="12"/>
      <c r="E528" s="12"/>
      <c r="F528" s="12"/>
      <c r="G528" s="12"/>
      <c r="H528" s="12"/>
      <c r="I528" s="12"/>
      <c r="J528" s="12"/>
      <c r="K528" s="12"/>
      <c r="L528" s="12"/>
      <c r="M528" s="12"/>
      <c r="N528" s="12"/>
    </row>
    <row r="529" ht="15.75" customHeight="1">
      <c r="A529" s="12"/>
      <c r="B529" s="12"/>
      <c r="C529" s="12"/>
      <c r="D529" s="12"/>
      <c r="E529" s="12"/>
      <c r="F529" s="12"/>
      <c r="G529" s="12"/>
      <c r="H529" s="12"/>
      <c r="I529" s="12"/>
      <c r="J529" s="12"/>
      <c r="K529" s="12"/>
      <c r="L529" s="12"/>
      <c r="M529" s="12"/>
      <c r="N529" s="12"/>
    </row>
    <row r="530" ht="15.75" customHeight="1">
      <c r="A530" s="12"/>
      <c r="B530" s="12"/>
      <c r="C530" s="12"/>
      <c r="D530" s="12"/>
      <c r="E530" s="12"/>
      <c r="F530" s="12"/>
      <c r="G530" s="12"/>
      <c r="H530" s="12"/>
      <c r="I530" s="12"/>
      <c r="J530" s="12"/>
      <c r="K530" s="12"/>
      <c r="L530" s="12"/>
      <c r="M530" s="12"/>
      <c r="N530" s="12"/>
    </row>
    <row r="531" ht="15.75" customHeight="1">
      <c r="A531" s="12"/>
      <c r="B531" s="12"/>
      <c r="C531" s="12"/>
      <c r="D531" s="12"/>
      <c r="E531" s="12"/>
      <c r="F531" s="12"/>
      <c r="G531" s="12"/>
      <c r="H531" s="12"/>
      <c r="I531" s="12"/>
      <c r="J531" s="12"/>
      <c r="K531" s="12"/>
      <c r="L531" s="12"/>
      <c r="M531" s="12"/>
      <c r="N531" s="12"/>
    </row>
    <row r="532" ht="15.75" customHeight="1">
      <c r="A532" s="12"/>
      <c r="B532" s="12"/>
      <c r="C532" s="12"/>
      <c r="D532" s="12"/>
      <c r="E532" s="12"/>
      <c r="F532" s="12"/>
      <c r="G532" s="12"/>
      <c r="H532" s="12"/>
      <c r="I532" s="12"/>
      <c r="J532" s="12"/>
      <c r="K532" s="12"/>
      <c r="L532" s="12"/>
      <c r="M532" s="12"/>
      <c r="N532" s="12"/>
    </row>
    <row r="533" ht="15.75" customHeight="1">
      <c r="A533" s="12"/>
      <c r="B533" s="12"/>
      <c r="C533" s="12"/>
      <c r="D533" s="12"/>
      <c r="E533" s="12"/>
      <c r="F533" s="12"/>
      <c r="G533" s="12"/>
      <c r="H533" s="12"/>
      <c r="I533" s="12"/>
      <c r="J533" s="12"/>
      <c r="K533" s="12"/>
      <c r="L533" s="12"/>
      <c r="M533" s="12"/>
      <c r="N533" s="12"/>
    </row>
    <row r="534" ht="15.75" customHeight="1">
      <c r="A534" s="12"/>
      <c r="B534" s="12"/>
      <c r="C534" s="12"/>
      <c r="D534" s="12"/>
      <c r="E534" s="12"/>
      <c r="F534" s="12"/>
      <c r="G534" s="12"/>
      <c r="H534" s="12"/>
      <c r="I534" s="12"/>
      <c r="J534" s="12"/>
      <c r="K534" s="12"/>
      <c r="L534" s="12"/>
      <c r="M534" s="12"/>
      <c r="N534" s="12"/>
    </row>
    <row r="535" ht="15.75" customHeight="1">
      <c r="A535" s="12"/>
      <c r="B535" s="12"/>
      <c r="C535" s="12"/>
      <c r="D535" s="12"/>
      <c r="E535" s="12"/>
      <c r="F535" s="12"/>
      <c r="G535" s="12"/>
      <c r="H535" s="12"/>
      <c r="I535" s="12"/>
      <c r="J535" s="12"/>
      <c r="K535" s="12"/>
      <c r="L535" s="12"/>
      <c r="M535" s="12"/>
      <c r="N535" s="12"/>
    </row>
    <row r="536" ht="15.75" customHeight="1">
      <c r="A536" s="12"/>
      <c r="B536" s="12"/>
      <c r="C536" s="12"/>
      <c r="D536" s="12"/>
      <c r="E536" s="12"/>
      <c r="F536" s="12"/>
      <c r="G536" s="12"/>
      <c r="H536" s="12"/>
      <c r="I536" s="12"/>
      <c r="J536" s="12"/>
      <c r="K536" s="12"/>
      <c r="L536" s="12"/>
      <c r="M536" s="12"/>
      <c r="N536" s="12"/>
    </row>
    <row r="537" ht="15.75" customHeight="1">
      <c r="A537" s="12"/>
      <c r="B537" s="12"/>
      <c r="C537" s="12"/>
      <c r="D537" s="12"/>
      <c r="E537" s="12"/>
      <c r="F537" s="12"/>
      <c r="G537" s="12"/>
      <c r="H537" s="12"/>
      <c r="I537" s="12"/>
      <c r="J537" s="12"/>
      <c r="K537" s="12"/>
      <c r="L537" s="12"/>
      <c r="M537" s="12"/>
      <c r="N537" s="12"/>
    </row>
    <row r="538" ht="15.75" customHeight="1">
      <c r="A538" s="12"/>
      <c r="B538" s="12"/>
      <c r="C538" s="12"/>
      <c r="D538" s="12"/>
      <c r="E538" s="12"/>
      <c r="F538" s="12"/>
      <c r="G538" s="12"/>
      <c r="H538" s="12"/>
      <c r="I538" s="12"/>
      <c r="J538" s="12"/>
      <c r="K538" s="12"/>
      <c r="L538" s="12"/>
      <c r="M538" s="12"/>
      <c r="N538" s="12"/>
    </row>
    <row r="539" ht="15.75" customHeight="1">
      <c r="A539" s="12"/>
      <c r="B539" s="12"/>
      <c r="C539" s="12"/>
      <c r="D539" s="12"/>
      <c r="E539" s="12"/>
      <c r="F539" s="12"/>
      <c r="G539" s="12"/>
      <c r="H539" s="12"/>
      <c r="I539" s="12"/>
      <c r="J539" s="12"/>
      <c r="K539" s="12"/>
      <c r="L539" s="12"/>
      <c r="M539" s="12"/>
      <c r="N539" s="12"/>
    </row>
    <row r="540" ht="15.75" customHeight="1">
      <c r="A540" s="12"/>
      <c r="B540" s="12"/>
      <c r="C540" s="12"/>
      <c r="D540" s="12"/>
      <c r="E540" s="12"/>
      <c r="F540" s="12"/>
      <c r="G540" s="12"/>
      <c r="H540" s="12"/>
      <c r="I540" s="12"/>
      <c r="J540" s="12"/>
      <c r="K540" s="12"/>
      <c r="L540" s="12"/>
      <c r="M540" s="12"/>
      <c r="N540" s="12"/>
    </row>
    <row r="541" ht="15.75" customHeight="1">
      <c r="A541" s="12"/>
      <c r="B541" s="12"/>
      <c r="C541" s="12"/>
      <c r="D541" s="12"/>
      <c r="E541" s="12"/>
      <c r="F541" s="12"/>
      <c r="G541" s="12"/>
      <c r="H541" s="12"/>
      <c r="I541" s="12"/>
      <c r="J541" s="12"/>
      <c r="K541" s="12"/>
      <c r="L541" s="12"/>
      <c r="M541" s="12"/>
      <c r="N541" s="12"/>
    </row>
    <row r="542" ht="15.75" customHeight="1">
      <c r="A542" s="12"/>
      <c r="B542" s="12"/>
      <c r="C542" s="12"/>
      <c r="D542" s="12"/>
      <c r="E542" s="12"/>
      <c r="F542" s="12"/>
      <c r="G542" s="12"/>
      <c r="H542" s="12"/>
      <c r="I542" s="12"/>
      <c r="J542" s="12"/>
      <c r="K542" s="12"/>
      <c r="L542" s="12"/>
      <c r="M542" s="12"/>
      <c r="N542" s="12"/>
    </row>
    <row r="543" ht="15.75" customHeight="1">
      <c r="A543" s="12"/>
      <c r="B543" s="12"/>
      <c r="C543" s="12"/>
      <c r="D543" s="12"/>
      <c r="E543" s="12"/>
      <c r="F543" s="12"/>
      <c r="G543" s="12"/>
      <c r="H543" s="12"/>
      <c r="I543" s="12"/>
      <c r="J543" s="12"/>
      <c r="K543" s="12"/>
      <c r="L543" s="12"/>
      <c r="M543" s="12"/>
      <c r="N543" s="12"/>
    </row>
    <row r="544" ht="15.75" customHeight="1">
      <c r="A544" s="12"/>
      <c r="B544" s="12"/>
      <c r="C544" s="12"/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12"/>
    </row>
    <row r="545" ht="15.75" customHeight="1">
      <c r="A545" s="12"/>
      <c r="B545" s="12"/>
      <c r="C545" s="12"/>
      <c r="D545" s="12"/>
      <c r="E545" s="12"/>
      <c r="F545" s="12"/>
      <c r="G545" s="12"/>
      <c r="H545" s="12"/>
      <c r="I545" s="12"/>
      <c r="J545" s="12"/>
      <c r="K545" s="12"/>
      <c r="L545" s="12"/>
      <c r="M545" s="12"/>
      <c r="N545" s="12"/>
    </row>
    <row r="546" ht="15.75" customHeight="1">
      <c r="A546" s="12"/>
      <c r="B546" s="12"/>
      <c r="C546" s="12"/>
      <c r="D546" s="12"/>
      <c r="E546" s="12"/>
      <c r="F546" s="12"/>
      <c r="G546" s="12"/>
      <c r="H546" s="12"/>
      <c r="I546" s="12"/>
      <c r="J546" s="12"/>
      <c r="K546" s="12"/>
      <c r="L546" s="12"/>
      <c r="M546" s="12"/>
      <c r="N546" s="12"/>
    </row>
    <row r="547" ht="15.75" customHeight="1">
      <c r="A547" s="12"/>
      <c r="B547" s="12"/>
      <c r="C547" s="12"/>
      <c r="D547" s="12"/>
      <c r="E547" s="12"/>
      <c r="F547" s="12"/>
      <c r="G547" s="12"/>
      <c r="H547" s="12"/>
      <c r="I547" s="12"/>
      <c r="J547" s="12"/>
      <c r="K547" s="12"/>
      <c r="L547" s="12"/>
      <c r="M547" s="12"/>
      <c r="N547" s="12"/>
    </row>
    <row r="548" ht="15.75" customHeight="1">
      <c r="A548" s="12"/>
      <c r="B548" s="12"/>
      <c r="C548" s="12"/>
      <c r="D548" s="12"/>
      <c r="E548" s="12"/>
      <c r="F548" s="12"/>
      <c r="G548" s="12"/>
      <c r="H548" s="12"/>
      <c r="I548" s="12"/>
      <c r="J548" s="12"/>
      <c r="K548" s="12"/>
      <c r="L548" s="12"/>
      <c r="M548" s="12"/>
      <c r="N548" s="12"/>
    </row>
    <row r="549" ht="15.75" customHeight="1">
      <c r="A549" s="12"/>
      <c r="B549" s="12"/>
      <c r="C549" s="12"/>
      <c r="D549" s="12"/>
      <c r="E549" s="12"/>
      <c r="F549" s="12"/>
      <c r="G549" s="12"/>
      <c r="H549" s="12"/>
      <c r="I549" s="12"/>
      <c r="J549" s="12"/>
      <c r="K549" s="12"/>
      <c r="L549" s="12"/>
      <c r="M549" s="12"/>
      <c r="N549" s="12"/>
    </row>
    <row r="550" ht="15.75" customHeight="1">
      <c r="A550" s="12"/>
      <c r="B550" s="12"/>
      <c r="C550" s="12"/>
      <c r="D550" s="12"/>
      <c r="E550" s="12"/>
      <c r="F550" s="12"/>
      <c r="G550" s="12"/>
      <c r="H550" s="12"/>
      <c r="I550" s="12"/>
      <c r="J550" s="12"/>
      <c r="K550" s="12"/>
      <c r="L550" s="12"/>
      <c r="M550" s="12"/>
      <c r="N550" s="12"/>
    </row>
    <row r="551" ht="15.75" customHeight="1">
      <c r="A551" s="12"/>
      <c r="B551" s="12"/>
      <c r="C551" s="12"/>
      <c r="D551" s="12"/>
      <c r="E551" s="12"/>
      <c r="F551" s="12"/>
      <c r="G551" s="12"/>
      <c r="H551" s="12"/>
      <c r="I551" s="12"/>
      <c r="J551" s="12"/>
      <c r="K551" s="12"/>
      <c r="L551" s="12"/>
      <c r="M551" s="12"/>
      <c r="N551" s="12"/>
    </row>
    <row r="552" ht="15.75" customHeight="1">
      <c r="A552" s="12"/>
      <c r="B552" s="12"/>
      <c r="C552" s="12"/>
      <c r="D552" s="12"/>
      <c r="E552" s="12"/>
      <c r="F552" s="12"/>
      <c r="G552" s="12"/>
      <c r="H552" s="12"/>
      <c r="I552" s="12"/>
      <c r="J552" s="12"/>
      <c r="K552" s="12"/>
      <c r="L552" s="12"/>
      <c r="M552" s="12"/>
      <c r="N552" s="12"/>
    </row>
    <row r="553" ht="15.75" customHeight="1">
      <c r="A553" s="12"/>
      <c r="B553" s="12"/>
      <c r="C553" s="12"/>
      <c r="D553" s="12"/>
      <c r="E553" s="12"/>
      <c r="F553" s="12"/>
      <c r="G553" s="12"/>
      <c r="H553" s="12"/>
      <c r="I553" s="12"/>
      <c r="J553" s="12"/>
      <c r="K553" s="12"/>
      <c r="L553" s="12"/>
      <c r="M553" s="12"/>
      <c r="N553" s="12"/>
    </row>
    <row r="554" ht="15.75" customHeight="1">
      <c r="A554" s="12"/>
      <c r="B554" s="12"/>
      <c r="C554" s="12"/>
      <c r="D554" s="12"/>
      <c r="E554" s="12"/>
      <c r="F554" s="12"/>
      <c r="G554" s="12"/>
      <c r="H554" s="12"/>
      <c r="I554" s="12"/>
      <c r="J554" s="12"/>
      <c r="K554" s="12"/>
      <c r="L554" s="12"/>
      <c r="M554" s="12"/>
      <c r="N554" s="12"/>
    </row>
    <row r="555" ht="15.75" customHeight="1">
      <c r="A555" s="12"/>
      <c r="B555" s="12"/>
      <c r="C555" s="12"/>
      <c r="D555" s="12"/>
      <c r="E555" s="12"/>
      <c r="F555" s="12"/>
      <c r="G555" s="12"/>
      <c r="H555" s="12"/>
      <c r="I555" s="12"/>
      <c r="J555" s="12"/>
      <c r="K555" s="12"/>
      <c r="L555" s="12"/>
      <c r="M555" s="12"/>
      <c r="N555" s="12"/>
    </row>
    <row r="556" ht="15.75" customHeight="1">
      <c r="A556" s="12"/>
      <c r="B556" s="12"/>
      <c r="C556" s="12"/>
      <c r="D556" s="12"/>
      <c r="E556" s="12"/>
      <c r="F556" s="12"/>
      <c r="G556" s="12"/>
      <c r="H556" s="12"/>
      <c r="I556" s="12"/>
      <c r="J556" s="12"/>
      <c r="K556" s="12"/>
      <c r="L556" s="12"/>
      <c r="M556" s="12"/>
      <c r="N556" s="12"/>
    </row>
    <row r="557" ht="15.75" customHeight="1">
      <c r="A557" s="12"/>
      <c r="B557" s="12"/>
      <c r="C557" s="12"/>
      <c r="D557" s="12"/>
      <c r="E557" s="12"/>
      <c r="F557" s="12"/>
      <c r="G557" s="12"/>
      <c r="H557" s="12"/>
      <c r="I557" s="12"/>
      <c r="J557" s="12"/>
      <c r="K557" s="12"/>
      <c r="L557" s="12"/>
      <c r="M557" s="12"/>
      <c r="N557" s="12"/>
    </row>
    <row r="558" ht="15.75" customHeight="1">
      <c r="A558" s="12"/>
      <c r="B558" s="12"/>
      <c r="C558" s="12"/>
      <c r="D558" s="12"/>
      <c r="E558" s="12"/>
      <c r="F558" s="12"/>
      <c r="G558" s="12"/>
      <c r="H558" s="12"/>
      <c r="I558" s="12"/>
      <c r="J558" s="12"/>
      <c r="K558" s="12"/>
      <c r="L558" s="12"/>
      <c r="M558" s="12"/>
      <c r="N558" s="12"/>
    </row>
    <row r="559" ht="15.75" customHeight="1">
      <c r="A559" s="12"/>
      <c r="B559" s="12"/>
      <c r="C559" s="12"/>
      <c r="D559" s="12"/>
      <c r="E559" s="12"/>
      <c r="F559" s="12"/>
      <c r="G559" s="12"/>
      <c r="H559" s="12"/>
      <c r="I559" s="12"/>
      <c r="J559" s="12"/>
      <c r="K559" s="12"/>
      <c r="L559" s="12"/>
      <c r="M559" s="12"/>
      <c r="N559" s="12"/>
    </row>
    <row r="560" ht="15.75" customHeight="1">
      <c r="A560" s="12"/>
      <c r="B560" s="12"/>
      <c r="C560" s="12"/>
      <c r="D560" s="12"/>
      <c r="E560" s="12"/>
      <c r="F560" s="12"/>
      <c r="G560" s="12"/>
      <c r="H560" s="12"/>
      <c r="I560" s="12"/>
      <c r="J560" s="12"/>
      <c r="K560" s="12"/>
      <c r="L560" s="12"/>
      <c r="M560" s="12"/>
      <c r="N560" s="12"/>
    </row>
    <row r="561" ht="15.75" customHeight="1">
      <c r="A561" s="12"/>
      <c r="B561" s="12"/>
      <c r="C561" s="12"/>
      <c r="D561" s="12"/>
      <c r="E561" s="12"/>
      <c r="F561" s="12"/>
      <c r="G561" s="12"/>
      <c r="H561" s="12"/>
      <c r="I561" s="12"/>
      <c r="J561" s="12"/>
      <c r="K561" s="12"/>
      <c r="L561" s="12"/>
      <c r="M561" s="12"/>
      <c r="N561" s="12"/>
    </row>
    <row r="562" ht="15.75" customHeight="1">
      <c r="A562" s="12"/>
      <c r="B562" s="12"/>
      <c r="C562" s="12"/>
      <c r="D562" s="12"/>
      <c r="E562" s="12"/>
      <c r="F562" s="12"/>
      <c r="G562" s="12"/>
      <c r="H562" s="12"/>
      <c r="I562" s="12"/>
      <c r="J562" s="12"/>
      <c r="K562" s="12"/>
      <c r="L562" s="12"/>
      <c r="M562" s="12"/>
      <c r="N562" s="12"/>
    </row>
    <row r="563" ht="15.75" customHeight="1">
      <c r="A563" s="12"/>
      <c r="B563" s="12"/>
      <c r="C563" s="12"/>
      <c r="D563" s="12"/>
      <c r="E563" s="12"/>
      <c r="F563" s="12"/>
      <c r="G563" s="12"/>
      <c r="H563" s="12"/>
      <c r="I563" s="12"/>
      <c r="J563" s="12"/>
      <c r="K563" s="12"/>
      <c r="L563" s="12"/>
      <c r="M563" s="12"/>
      <c r="N563" s="12"/>
    </row>
    <row r="564" ht="15.75" customHeight="1">
      <c r="A564" s="12"/>
      <c r="B564" s="12"/>
      <c r="C564" s="12"/>
      <c r="D564" s="12"/>
      <c r="E564" s="12"/>
      <c r="F564" s="12"/>
      <c r="G564" s="12"/>
      <c r="H564" s="12"/>
      <c r="I564" s="12"/>
      <c r="J564" s="12"/>
      <c r="K564" s="12"/>
      <c r="L564" s="12"/>
      <c r="M564" s="12"/>
      <c r="N564" s="12"/>
    </row>
    <row r="565" ht="15.75" customHeight="1">
      <c r="A565" s="12"/>
      <c r="B565" s="12"/>
      <c r="C565" s="12"/>
      <c r="D565" s="12"/>
      <c r="E565" s="12"/>
      <c r="F565" s="12"/>
      <c r="G565" s="12"/>
      <c r="H565" s="12"/>
      <c r="I565" s="12"/>
      <c r="J565" s="12"/>
      <c r="K565" s="12"/>
      <c r="L565" s="12"/>
      <c r="M565" s="12"/>
      <c r="N565" s="12"/>
    </row>
    <row r="566" ht="15.75" customHeight="1">
      <c r="A566" s="12"/>
      <c r="B566" s="12"/>
      <c r="C566" s="12"/>
      <c r="D566" s="12"/>
      <c r="E566" s="12"/>
      <c r="F566" s="12"/>
      <c r="G566" s="12"/>
      <c r="H566" s="12"/>
      <c r="I566" s="12"/>
      <c r="J566" s="12"/>
      <c r="K566" s="12"/>
      <c r="L566" s="12"/>
      <c r="M566" s="12"/>
      <c r="N566" s="12"/>
    </row>
    <row r="567" ht="15.75" customHeight="1">
      <c r="A567" s="12"/>
      <c r="B567" s="12"/>
      <c r="C567" s="12"/>
      <c r="D567" s="12"/>
      <c r="E567" s="12"/>
      <c r="F567" s="12"/>
      <c r="G567" s="12"/>
      <c r="H567" s="12"/>
      <c r="I567" s="12"/>
      <c r="J567" s="12"/>
      <c r="K567" s="12"/>
      <c r="L567" s="12"/>
      <c r="M567" s="12"/>
      <c r="N567" s="12"/>
    </row>
    <row r="568" ht="15.75" customHeight="1">
      <c r="A568" s="12"/>
      <c r="B568" s="12"/>
      <c r="C568" s="12"/>
      <c r="D568" s="12"/>
      <c r="E568" s="12"/>
      <c r="F568" s="12"/>
      <c r="G568" s="12"/>
      <c r="H568" s="12"/>
      <c r="I568" s="12"/>
      <c r="J568" s="12"/>
      <c r="K568" s="12"/>
      <c r="L568" s="12"/>
      <c r="M568" s="12"/>
      <c r="N568" s="12"/>
    </row>
    <row r="569" ht="15.75" customHeight="1">
      <c r="A569" s="12"/>
      <c r="B569" s="12"/>
      <c r="C569" s="12"/>
      <c r="D569" s="12"/>
      <c r="E569" s="12"/>
      <c r="F569" s="12"/>
      <c r="G569" s="12"/>
      <c r="H569" s="12"/>
      <c r="I569" s="12"/>
      <c r="J569" s="12"/>
      <c r="K569" s="12"/>
      <c r="L569" s="12"/>
      <c r="M569" s="12"/>
      <c r="N569" s="12"/>
    </row>
    <row r="570" ht="15.75" customHeight="1">
      <c r="A570" s="12"/>
      <c r="B570" s="12"/>
      <c r="C570" s="12"/>
      <c r="D570" s="12"/>
      <c r="E570" s="12"/>
      <c r="F570" s="12"/>
      <c r="G570" s="12"/>
      <c r="H570" s="12"/>
      <c r="I570" s="12"/>
      <c r="J570" s="12"/>
      <c r="K570" s="12"/>
      <c r="L570" s="12"/>
      <c r="M570" s="12"/>
      <c r="N570" s="12"/>
    </row>
    <row r="571" ht="15.75" customHeight="1">
      <c r="A571" s="12"/>
      <c r="B571" s="12"/>
      <c r="C571" s="12"/>
      <c r="D571" s="12"/>
      <c r="E571" s="12"/>
      <c r="F571" s="12"/>
      <c r="G571" s="12"/>
      <c r="H571" s="12"/>
      <c r="I571" s="12"/>
      <c r="J571" s="12"/>
      <c r="K571" s="12"/>
      <c r="L571" s="12"/>
      <c r="M571" s="12"/>
      <c r="N571" s="12"/>
    </row>
    <row r="572" ht="15.75" customHeight="1">
      <c r="A572" s="12"/>
      <c r="B572" s="12"/>
      <c r="C572" s="12"/>
      <c r="D572" s="12"/>
      <c r="E572" s="12"/>
      <c r="F572" s="12"/>
      <c r="G572" s="12"/>
      <c r="H572" s="12"/>
      <c r="I572" s="12"/>
      <c r="J572" s="12"/>
      <c r="K572" s="12"/>
      <c r="L572" s="12"/>
      <c r="M572" s="12"/>
      <c r="N572" s="12"/>
    </row>
    <row r="573" ht="15.75" customHeight="1">
      <c r="A573" s="12"/>
      <c r="B573" s="12"/>
      <c r="C573" s="12"/>
      <c r="D573" s="12"/>
      <c r="E573" s="12"/>
      <c r="F573" s="12"/>
      <c r="G573" s="12"/>
      <c r="H573" s="12"/>
      <c r="I573" s="12"/>
      <c r="J573" s="12"/>
      <c r="K573" s="12"/>
      <c r="L573" s="12"/>
      <c r="M573" s="12"/>
      <c r="N573" s="12"/>
    </row>
    <row r="574" ht="15.75" customHeight="1">
      <c r="A574" s="12"/>
      <c r="B574" s="12"/>
      <c r="C574" s="12"/>
      <c r="D574" s="12"/>
      <c r="E574" s="12"/>
      <c r="F574" s="12"/>
      <c r="G574" s="12"/>
      <c r="H574" s="12"/>
      <c r="I574" s="12"/>
      <c r="J574" s="12"/>
      <c r="K574" s="12"/>
      <c r="L574" s="12"/>
      <c r="M574" s="12"/>
      <c r="N574" s="12"/>
    </row>
    <row r="575" ht="15.75" customHeight="1">
      <c r="A575" s="12"/>
      <c r="B575" s="12"/>
      <c r="C575" s="12"/>
      <c r="D575" s="12"/>
      <c r="E575" s="12"/>
      <c r="F575" s="12"/>
      <c r="G575" s="12"/>
      <c r="H575" s="12"/>
      <c r="I575" s="12"/>
      <c r="J575" s="12"/>
      <c r="K575" s="12"/>
      <c r="L575" s="12"/>
      <c r="M575" s="12"/>
      <c r="N575" s="12"/>
    </row>
    <row r="576" ht="15.75" customHeight="1">
      <c r="A576" s="12"/>
      <c r="B576" s="12"/>
      <c r="C576" s="12"/>
      <c r="D576" s="12"/>
      <c r="E576" s="12"/>
      <c r="F576" s="12"/>
      <c r="G576" s="12"/>
      <c r="H576" s="12"/>
      <c r="I576" s="12"/>
      <c r="J576" s="12"/>
      <c r="K576" s="12"/>
      <c r="L576" s="12"/>
      <c r="M576" s="12"/>
      <c r="N576" s="12"/>
    </row>
    <row r="577" ht="15.75" customHeight="1">
      <c r="A577" s="12"/>
      <c r="B577" s="12"/>
      <c r="C577" s="12"/>
      <c r="D577" s="12"/>
      <c r="E577" s="12"/>
      <c r="F577" s="12"/>
      <c r="G577" s="12"/>
      <c r="H577" s="12"/>
      <c r="I577" s="12"/>
      <c r="J577" s="12"/>
      <c r="K577" s="12"/>
      <c r="L577" s="12"/>
      <c r="M577" s="12"/>
      <c r="N577" s="12"/>
    </row>
    <row r="578" ht="15.75" customHeight="1">
      <c r="A578" s="12"/>
      <c r="B578" s="12"/>
      <c r="C578" s="12"/>
      <c r="D578" s="12"/>
      <c r="E578" s="12"/>
      <c r="F578" s="12"/>
      <c r="G578" s="12"/>
      <c r="H578" s="12"/>
      <c r="I578" s="12"/>
      <c r="J578" s="12"/>
      <c r="K578" s="12"/>
      <c r="L578" s="12"/>
      <c r="M578" s="12"/>
      <c r="N578" s="12"/>
    </row>
    <row r="579" ht="15.75" customHeight="1">
      <c r="A579" s="12"/>
      <c r="B579" s="12"/>
      <c r="C579" s="12"/>
      <c r="D579" s="12"/>
      <c r="E579" s="12"/>
      <c r="F579" s="12"/>
      <c r="G579" s="12"/>
      <c r="H579" s="12"/>
      <c r="I579" s="12"/>
      <c r="J579" s="12"/>
      <c r="K579" s="12"/>
      <c r="L579" s="12"/>
      <c r="M579" s="12"/>
      <c r="N579" s="12"/>
    </row>
    <row r="580" ht="15.75" customHeight="1">
      <c r="A580" s="12"/>
      <c r="B580" s="12"/>
      <c r="C580" s="12"/>
      <c r="D580" s="12"/>
      <c r="E580" s="12"/>
      <c r="F580" s="12"/>
      <c r="G580" s="12"/>
      <c r="H580" s="12"/>
      <c r="I580" s="12"/>
      <c r="J580" s="12"/>
      <c r="K580" s="12"/>
      <c r="L580" s="12"/>
      <c r="M580" s="12"/>
      <c r="N580" s="12"/>
    </row>
    <row r="581" ht="15.75" customHeight="1">
      <c r="A581" s="12"/>
      <c r="B581" s="12"/>
      <c r="C581" s="12"/>
      <c r="D581" s="12"/>
      <c r="E581" s="12"/>
      <c r="F581" s="12"/>
      <c r="G581" s="12"/>
      <c r="H581" s="12"/>
      <c r="I581" s="12"/>
      <c r="J581" s="12"/>
      <c r="K581" s="12"/>
      <c r="L581" s="12"/>
      <c r="M581" s="12"/>
      <c r="N581" s="12"/>
    </row>
    <row r="582" ht="15.75" customHeight="1">
      <c r="A582" s="12"/>
      <c r="B582" s="12"/>
      <c r="C582" s="12"/>
      <c r="D582" s="12"/>
      <c r="E582" s="12"/>
      <c r="F582" s="12"/>
      <c r="G582" s="12"/>
      <c r="H582" s="12"/>
      <c r="I582" s="12"/>
      <c r="J582" s="12"/>
      <c r="K582" s="12"/>
      <c r="L582" s="12"/>
      <c r="M582" s="12"/>
      <c r="N582" s="12"/>
    </row>
    <row r="583" ht="15.75" customHeight="1">
      <c r="A583" s="12"/>
      <c r="B583" s="12"/>
      <c r="C583" s="12"/>
      <c r="D583" s="12"/>
      <c r="E583" s="12"/>
      <c r="F583" s="12"/>
      <c r="G583" s="12"/>
      <c r="H583" s="12"/>
      <c r="I583" s="12"/>
      <c r="J583" s="12"/>
      <c r="K583" s="12"/>
      <c r="L583" s="12"/>
      <c r="M583" s="12"/>
      <c r="N583" s="12"/>
    </row>
    <row r="584" ht="15.75" customHeight="1">
      <c r="A584" s="12"/>
      <c r="B584" s="12"/>
      <c r="C584" s="12"/>
      <c r="D584" s="12"/>
      <c r="E584" s="12"/>
      <c r="F584" s="12"/>
      <c r="G584" s="12"/>
      <c r="H584" s="12"/>
      <c r="I584" s="12"/>
      <c r="J584" s="12"/>
      <c r="K584" s="12"/>
      <c r="L584" s="12"/>
      <c r="M584" s="12"/>
      <c r="N584" s="12"/>
    </row>
    <row r="585" ht="15.75" customHeight="1">
      <c r="A585" s="12"/>
      <c r="B585" s="12"/>
      <c r="C585" s="12"/>
      <c r="D585" s="12"/>
      <c r="E585" s="12"/>
      <c r="F585" s="12"/>
      <c r="G585" s="12"/>
      <c r="H585" s="12"/>
      <c r="I585" s="12"/>
      <c r="J585" s="12"/>
      <c r="K585" s="12"/>
      <c r="L585" s="12"/>
      <c r="M585" s="12"/>
      <c r="N585" s="12"/>
    </row>
    <row r="586" ht="15.75" customHeight="1">
      <c r="A586" s="12"/>
      <c r="B586" s="12"/>
      <c r="C586" s="12"/>
      <c r="D586" s="12"/>
      <c r="E586" s="12"/>
      <c r="F586" s="12"/>
      <c r="G586" s="12"/>
      <c r="H586" s="12"/>
      <c r="I586" s="12"/>
      <c r="J586" s="12"/>
      <c r="K586" s="12"/>
      <c r="L586" s="12"/>
      <c r="M586" s="12"/>
      <c r="N586" s="12"/>
    </row>
    <row r="587" ht="15.75" customHeight="1">
      <c r="A587" s="12"/>
      <c r="B587" s="12"/>
      <c r="C587" s="12"/>
      <c r="D587" s="12"/>
      <c r="E587" s="12"/>
      <c r="F587" s="12"/>
      <c r="G587" s="12"/>
      <c r="H587" s="12"/>
      <c r="I587" s="12"/>
      <c r="J587" s="12"/>
      <c r="K587" s="12"/>
      <c r="L587" s="12"/>
      <c r="M587" s="12"/>
      <c r="N587" s="12"/>
    </row>
    <row r="588" ht="15.75" customHeight="1">
      <c r="A588" s="12"/>
      <c r="B588" s="12"/>
      <c r="C588" s="12"/>
      <c r="D588" s="12"/>
      <c r="E588" s="12"/>
      <c r="F588" s="12"/>
      <c r="G588" s="12"/>
      <c r="H588" s="12"/>
      <c r="I588" s="12"/>
      <c r="J588" s="12"/>
      <c r="K588" s="12"/>
      <c r="L588" s="12"/>
      <c r="M588" s="12"/>
      <c r="N588" s="12"/>
    </row>
    <row r="589" ht="15.75" customHeight="1">
      <c r="A589" s="12"/>
      <c r="B589" s="12"/>
      <c r="C589" s="12"/>
      <c r="D589" s="12"/>
      <c r="E589" s="12"/>
      <c r="F589" s="12"/>
      <c r="G589" s="12"/>
      <c r="H589" s="12"/>
      <c r="I589" s="12"/>
      <c r="J589" s="12"/>
      <c r="K589" s="12"/>
      <c r="L589" s="12"/>
      <c r="M589" s="12"/>
      <c r="N589" s="12"/>
    </row>
    <row r="590" ht="15.75" customHeight="1">
      <c r="A590" s="12"/>
      <c r="B590" s="12"/>
      <c r="C590" s="12"/>
      <c r="D590" s="12"/>
      <c r="E590" s="12"/>
      <c r="F590" s="12"/>
      <c r="G590" s="12"/>
      <c r="H590" s="12"/>
      <c r="I590" s="12"/>
      <c r="J590" s="12"/>
      <c r="K590" s="12"/>
      <c r="L590" s="12"/>
      <c r="M590" s="12"/>
      <c r="N590" s="12"/>
    </row>
    <row r="591" ht="15.75" customHeight="1">
      <c r="A591" s="12"/>
      <c r="B591" s="12"/>
      <c r="C591" s="12"/>
      <c r="D591" s="12"/>
      <c r="E591" s="12"/>
      <c r="F591" s="12"/>
      <c r="G591" s="12"/>
      <c r="H591" s="12"/>
      <c r="I591" s="12"/>
      <c r="J591" s="12"/>
      <c r="K591" s="12"/>
      <c r="L591" s="12"/>
      <c r="M591" s="12"/>
      <c r="N591" s="12"/>
    </row>
    <row r="592" ht="15.75" customHeight="1">
      <c r="A592" s="12"/>
      <c r="B592" s="12"/>
      <c r="C592" s="12"/>
      <c r="D592" s="12"/>
      <c r="E592" s="12"/>
      <c r="F592" s="12"/>
      <c r="G592" s="12"/>
      <c r="H592" s="12"/>
      <c r="I592" s="12"/>
      <c r="J592" s="12"/>
      <c r="K592" s="12"/>
      <c r="L592" s="12"/>
      <c r="M592" s="12"/>
      <c r="N592" s="12"/>
    </row>
    <row r="593" ht="15.75" customHeight="1">
      <c r="A593" s="12"/>
      <c r="B593" s="12"/>
      <c r="C593" s="12"/>
      <c r="D593" s="12"/>
      <c r="E593" s="12"/>
      <c r="F593" s="12"/>
      <c r="G593" s="12"/>
      <c r="H593" s="12"/>
      <c r="I593" s="12"/>
      <c r="J593" s="12"/>
      <c r="K593" s="12"/>
      <c r="L593" s="12"/>
      <c r="M593" s="12"/>
      <c r="N593" s="12"/>
    </row>
    <row r="594" ht="15.75" customHeight="1">
      <c r="A594" s="12"/>
      <c r="B594" s="12"/>
      <c r="C594" s="12"/>
      <c r="D594" s="12"/>
      <c r="E594" s="12"/>
      <c r="F594" s="12"/>
      <c r="G594" s="12"/>
      <c r="H594" s="12"/>
      <c r="I594" s="12"/>
      <c r="J594" s="12"/>
      <c r="K594" s="12"/>
      <c r="L594" s="12"/>
      <c r="M594" s="12"/>
      <c r="N594" s="12"/>
    </row>
    <row r="595" ht="15.75" customHeight="1">
      <c r="A595" s="12"/>
      <c r="B595" s="12"/>
      <c r="C595" s="12"/>
      <c r="D595" s="12"/>
      <c r="E595" s="12"/>
      <c r="F595" s="12"/>
      <c r="G595" s="12"/>
      <c r="H595" s="12"/>
      <c r="I595" s="12"/>
      <c r="J595" s="12"/>
      <c r="K595" s="12"/>
      <c r="L595" s="12"/>
      <c r="M595" s="12"/>
      <c r="N595" s="12"/>
    </row>
    <row r="596" ht="15.75" customHeight="1">
      <c r="A596" s="12"/>
      <c r="B596" s="12"/>
      <c r="C596" s="12"/>
      <c r="D596" s="12"/>
      <c r="E596" s="12"/>
      <c r="F596" s="12"/>
      <c r="G596" s="12"/>
      <c r="H596" s="12"/>
      <c r="I596" s="12"/>
      <c r="J596" s="12"/>
      <c r="K596" s="12"/>
      <c r="L596" s="12"/>
      <c r="M596" s="12"/>
      <c r="N596" s="12"/>
    </row>
    <row r="597" ht="15.75" customHeight="1">
      <c r="A597" s="12"/>
      <c r="B597" s="12"/>
      <c r="C597" s="12"/>
      <c r="D597" s="12"/>
      <c r="E597" s="12"/>
      <c r="F597" s="12"/>
      <c r="G597" s="12"/>
      <c r="H597" s="12"/>
      <c r="I597" s="12"/>
      <c r="J597" s="12"/>
      <c r="K597" s="12"/>
      <c r="L597" s="12"/>
      <c r="M597" s="12"/>
      <c r="N597" s="12"/>
    </row>
    <row r="598" ht="15.75" customHeight="1">
      <c r="A598" s="12"/>
      <c r="B598" s="12"/>
      <c r="C598" s="12"/>
      <c r="D598" s="12"/>
      <c r="E598" s="12"/>
      <c r="F598" s="12"/>
      <c r="G598" s="12"/>
      <c r="H598" s="12"/>
      <c r="I598" s="12"/>
      <c r="J598" s="12"/>
      <c r="K598" s="12"/>
      <c r="L598" s="12"/>
      <c r="M598" s="12"/>
      <c r="N598" s="12"/>
    </row>
    <row r="599" ht="15.75" customHeight="1">
      <c r="A599" s="12"/>
      <c r="B599" s="12"/>
      <c r="C599" s="12"/>
      <c r="D599" s="12"/>
      <c r="E599" s="12"/>
      <c r="F599" s="12"/>
      <c r="G599" s="12"/>
      <c r="H599" s="12"/>
      <c r="I599" s="12"/>
      <c r="J599" s="12"/>
      <c r="K599" s="12"/>
      <c r="L599" s="12"/>
      <c r="M599" s="12"/>
      <c r="N599" s="12"/>
    </row>
    <row r="600" ht="15.75" customHeight="1">
      <c r="A600" s="12"/>
      <c r="B600" s="12"/>
      <c r="C600" s="12"/>
      <c r="D600" s="12"/>
      <c r="E600" s="12"/>
      <c r="F600" s="12"/>
      <c r="G600" s="12"/>
      <c r="H600" s="12"/>
      <c r="I600" s="12"/>
      <c r="J600" s="12"/>
      <c r="K600" s="12"/>
      <c r="L600" s="12"/>
      <c r="M600" s="12"/>
      <c r="N600" s="12"/>
    </row>
    <row r="601" ht="15.75" customHeight="1">
      <c r="A601" s="12"/>
      <c r="B601" s="12"/>
      <c r="C601" s="12"/>
      <c r="D601" s="12"/>
      <c r="E601" s="12"/>
      <c r="F601" s="12"/>
      <c r="G601" s="12"/>
      <c r="H601" s="12"/>
      <c r="I601" s="12"/>
      <c r="J601" s="12"/>
      <c r="K601" s="12"/>
      <c r="L601" s="12"/>
      <c r="M601" s="12"/>
      <c r="N601" s="12"/>
    </row>
    <row r="602" ht="15.75" customHeight="1">
      <c r="A602" s="12"/>
      <c r="B602" s="12"/>
      <c r="C602" s="12"/>
      <c r="D602" s="12"/>
      <c r="E602" s="12"/>
      <c r="F602" s="12"/>
      <c r="G602" s="12"/>
      <c r="H602" s="12"/>
      <c r="I602" s="12"/>
      <c r="J602" s="12"/>
      <c r="K602" s="12"/>
      <c r="L602" s="12"/>
      <c r="M602" s="12"/>
      <c r="N602" s="12"/>
    </row>
    <row r="603" ht="15.75" customHeight="1">
      <c r="A603" s="12"/>
      <c r="B603" s="12"/>
      <c r="C603" s="12"/>
      <c r="D603" s="12"/>
      <c r="E603" s="12"/>
      <c r="F603" s="12"/>
      <c r="G603" s="12"/>
      <c r="H603" s="12"/>
      <c r="I603" s="12"/>
      <c r="J603" s="12"/>
      <c r="K603" s="12"/>
      <c r="L603" s="12"/>
      <c r="M603" s="12"/>
      <c r="N603" s="12"/>
    </row>
    <row r="604" ht="15.75" customHeight="1">
      <c r="A604" s="12"/>
      <c r="B604" s="12"/>
      <c r="C604" s="12"/>
      <c r="D604" s="12"/>
      <c r="E604" s="12"/>
      <c r="F604" s="12"/>
      <c r="G604" s="12"/>
      <c r="H604" s="12"/>
      <c r="I604" s="12"/>
      <c r="J604" s="12"/>
      <c r="K604" s="12"/>
      <c r="L604" s="12"/>
      <c r="M604" s="12"/>
      <c r="N604" s="12"/>
    </row>
    <row r="605" ht="15.75" customHeight="1">
      <c r="A605" s="12"/>
      <c r="B605" s="12"/>
      <c r="C605" s="12"/>
      <c r="D605" s="12"/>
      <c r="E605" s="12"/>
      <c r="F605" s="12"/>
      <c r="G605" s="12"/>
      <c r="H605" s="12"/>
      <c r="I605" s="12"/>
      <c r="J605" s="12"/>
      <c r="K605" s="12"/>
      <c r="L605" s="12"/>
      <c r="M605" s="12"/>
      <c r="N605" s="12"/>
    </row>
    <row r="606" ht="15.75" customHeight="1">
      <c r="A606" s="12"/>
      <c r="B606" s="12"/>
      <c r="C606" s="12"/>
      <c r="D606" s="12"/>
      <c r="E606" s="12"/>
      <c r="F606" s="12"/>
      <c r="G606" s="12"/>
      <c r="H606" s="12"/>
      <c r="I606" s="12"/>
      <c r="J606" s="12"/>
      <c r="K606" s="12"/>
      <c r="L606" s="12"/>
      <c r="M606" s="12"/>
      <c r="N606" s="12"/>
    </row>
    <row r="607" ht="15.75" customHeight="1">
      <c r="A607" s="12"/>
      <c r="B607" s="12"/>
      <c r="C607" s="12"/>
      <c r="D607" s="12"/>
      <c r="E607" s="12"/>
      <c r="F607" s="12"/>
      <c r="G607" s="12"/>
      <c r="H607" s="12"/>
      <c r="I607" s="12"/>
      <c r="J607" s="12"/>
      <c r="K607" s="12"/>
      <c r="L607" s="12"/>
      <c r="M607" s="12"/>
      <c r="N607" s="12"/>
    </row>
    <row r="608" ht="15.75" customHeight="1">
      <c r="A608" s="12"/>
      <c r="B608" s="12"/>
      <c r="C608" s="12"/>
      <c r="D608" s="12"/>
      <c r="E608" s="12"/>
      <c r="F608" s="12"/>
      <c r="G608" s="12"/>
      <c r="H608" s="12"/>
      <c r="I608" s="12"/>
      <c r="J608" s="12"/>
      <c r="K608" s="12"/>
      <c r="L608" s="12"/>
      <c r="M608" s="12"/>
      <c r="N608" s="12"/>
    </row>
    <row r="609" ht="15.75" customHeight="1">
      <c r="A609" s="12"/>
      <c r="B609" s="12"/>
      <c r="C609" s="12"/>
      <c r="D609" s="12"/>
      <c r="E609" s="12"/>
      <c r="F609" s="12"/>
      <c r="G609" s="12"/>
      <c r="H609" s="12"/>
      <c r="I609" s="12"/>
      <c r="J609" s="12"/>
      <c r="K609" s="12"/>
      <c r="L609" s="12"/>
      <c r="M609" s="12"/>
      <c r="N609" s="12"/>
    </row>
    <row r="610" ht="15.75" customHeight="1">
      <c r="A610" s="12"/>
      <c r="B610" s="12"/>
      <c r="C610" s="12"/>
      <c r="D610" s="12"/>
      <c r="E610" s="12"/>
      <c r="F610" s="12"/>
      <c r="G610" s="12"/>
      <c r="H610" s="12"/>
      <c r="I610" s="12"/>
      <c r="J610" s="12"/>
      <c r="K610" s="12"/>
      <c r="L610" s="12"/>
      <c r="M610" s="12"/>
      <c r="N610" s="12"/>
    </row>
    <row r="611" ht="15.75" customHeight="1">
      <c r="A611" s="12"/>
      <c r="B611" s="12"/>
      <c r="C611" s="12"/>
      <c r="D611" s="12"/>
      <c r="E611" s="12"/>
      <c r="F611" s="12"/>
      <c r="G611" s="12"/>
      <c r="H611" s="12"/>
      <c r="I611" s="12"/>
      <c r="J611" s="12"/>
      <c r="K611" s="12"/>
      <c r="L611" s="12"/>
      <c r="M611" s="12"/>
      <c r="N611" s="12"/>
    </row>
    <row r="612" ht="15.75" customHeight="1">
      <c r="A612" s="12"/>
      <c r="B612" s="12"/>
      <c r="C612" s="12"/>
      <c r="D612" s="12"/>
      <c r="E612" s="12"/>
      <c r="F612" s="12"/>
      <c r="G612" s="12"/>
      <c r="H612" s="12"/>
      <c r="I612" s="12"/>
      <c r="J612" s="12"/>
      <c r="K612" s="12"/>
      <c r="L612" s="12"/>
      <c r="M612" s="12"/>
      <c r="N612" s="12"/>
    </row>
    <row r="613" ht="15.75" customHeight="1">
      <c r="A613" s="12"/>
      <c r="B613" s="12"/>
      <c r="C613" s="12"/>
      <c r="D613" s="12"/>
      <c r="E613" s="12"/>
      <c r="F613" s="12"/>
      <c r="G613" s="12"/>
      <c r="H613" s="12"/>
      <c r="I613" s="12"/>
      <c r="J613" s="12"/>
      <c r="K613" s="12"/>
      <c r="L613" s="12"/>
      <c r="M613" s="12"/>
      <c r="N613" s="12"/>
    </row>
    <row r="614" ht="15.75" customHeight="1">
      <c r="A614" s="12"/>
      <c r="B614" s="12"/>
      <c r="C614" s="12"/>
      <c r="D614" s="12"/>
      <c r="E614" s="12"/>
      <c r="F614" s="12"/>
      <c r="G614" s="12"/>
      <c r="H614" s="12"/>
      <c r="I614" s="12"/>
      <c r="J614" s="12"/>
      <c r="K614" s="12"/>
      <c r="L614" s="12"/>
      <c r="M614" s="12"/>
      <c r="N614" s="12"/>
    </row>
    <row r="615" ht="15.75" customHeight="1">
      <c r="A615" s="12"/>
      <c r="B615" s="12"/>
      <c r="C615" s="12"/>
      <c r="D615" s="12"/>
      <c r="E615" s="12"/>
      <c r="F615" s="12"/>
      <c r="G615" s="12"/>
      <c r="H615" s="12"/>
      <c r="I615" s="12"/>
      <c r="J615" s="12"/>
      <c r="K615" s="12"/>
      <c r="L615" s="12"/>
      <c r="M615" s="12"/>
      <c r="N615" s="12"/>
    </row>
    <row r="616" ht="15.75" customHeight="1">
      <c r="A616" s="12"/>
      <c r="B616" s="12"/>
      <c r="C616" s="12"/>
      <c r="D616" s="12"/>
      <c r="E616" s="12"/>
      <c r="F616" s="12"/>
      <c r="G616" s="12"/>
      <c r="H616" s="12"/>
      <c r="I616" s="12"/>
      <c r="J616" s="12"/>
      <c r="K616" s="12"/>
      <c r="L616" s="12"/>
      <c r="M616" s="12"/>
      <c r="N616" s="12"/>
    </row>
    <row r="617" ht="15.75" customHeight="1">
      <c r="A617" s="12"/>
      <c r="B617" s="12"/>
      <c r="C617" s="12"/>
      <c r="D617" s="12"/>
      <c r="E617" s="12"/>
      <c r="F617" s="12"/>
      <c r="G617" s="12"/>
      <c r="H617" s="12"/>
      <c r="I617" s="12"/>
      <c r="J617" s="12"/>
      <c r="K617" s="12"/>
      <c r="L617" s="12"/>
      <c r="M617" s="12"/>
      <c r="N617" s="12"/>
    </row>
    <row r="618" ht="15.75" customHeight="1">
      <c r="A618" s="12"/>
      <c r="B618" s="12"/>
      <c r="C618" s="12"/>
      <c r="D618" s="12"/>
      <c r="E618" s="12"/>
      <c r="F618" s="12"/>
      <c r="G618" s="12"/>
      <c r="H618" s="12"/>
      <c r="I618" s="12"/>
      <c r="J618" s="12"/>
      <c r="K618" s="12"/>
      <c r="L618" s="12"/>
      <c r="M618" s="12"/>
      <c r="N618" s="12"/>
    </row>
    <row r="619" ht="15.75" customHeight="1">
      <c r="A619" s="12"/>
      <c r="B619" s="12"/>
      <c r="C619" s="12"/>
      <c r="D619" s="12"/>
      <c r="E619" s="12"/>
      <c r="F619" s="12"/>
      <c r="G619" s="12"/>
      <c r="H619" s="12"/>
      <c r="I619" s="12"/>
      <c r="J619" s="12"/>
      <c r="K619" s="12"/>
      <c r="L619" s="12"/>
      <c r="M619" s="12"/>
      <c r="N619" s="12"/>
    </row>
    <row r="620" ht="15.75" customHeight="1">
      <c r="A620" s="12"/>
      <c r="B620" s="12"/>
      <c r="C620" s="12"/>
      <c r="D620" s="12"/>
      <c r="E620" s="12"/>
      <c r="F620" s="12"/>
      <c r="G620" s="12"/>
      <c r="H620" s="12"/>
      <c r="I620" s="12"/>
      <c r="J620" s="12"/>
      <c r="K620" s="12"/>
      <c r="L620" s="12"/>
      <c r="M620" s="12"/>
      <c r="N620" s="12"/>
    </row>
    <row r="621" ht="15.75" customHeight="1">
      <c r="A621" s="12"/>
      <c r="B621" s="12"/>
      <c r="C621" s="12"/>
      <c r="D621" s="12"/>
      <c r="E621" s="12"/>
      <c r="F621" s="12"/>
      <c r="G621" s="12"/>
      <c r="H621" s="12"/>
      <c r="I621" s="12"/>
      <c r="J621" s="12"/>
      <c r="K621" s="12"/>
      <c r="L621" s="12"/>
      <c r="M621" s="12"/>
      <c r="N621" s="12"/>
    </row>
    <row r="622" ht="15.75" customHeight="1">
      <c r="A622" s="12"/>
      <c r="B622" s="12"/>
      <c r="C622" s="12"/>
      <c r="D622" s="12"/>
      <c r="E622" s="12"/>
      <c r="F622" s="12"/>
      <c r="G622" s="12"/>
      <c r="H622" s="12"/>
      <c r="I622" s="12"/>
      <c r="J622" s="12"/>
      <c r="K622" s="12"/>
      <c r="L622" s="12"/>
      <c r="M622" s="12"/>
      <c r="N622" s="12"/>
    </row>
    <row r="623" ht="15.75" customHeight="1">
      <c r="A623" s="12"/>
      <c r="B623" s="12"/>
      <c r="C623" s="12"/>
      <c r="D623" s="12"/>
      <c r="E623" s="12"/>
      <c r="F623" s="12"/>
      <c r="G623" s="12"/>
      <c r="H623" s="12"/>
      <c r="I623" s="12"/>
      <c r="J623" s="12"/>
      <c r="K623" s="12"/>
      <c r="L623" s="12"/>
      <c r="M623" s="12"/>
      <c r="N623" s="12"/>
    </row>
    <row r="624" ht="15.75" customHeight="1">
      <c r="A624" s="12"/>
      <c r="B624" s="12"/>
      <c r="C624" s="12"/>
      <c r="D624" s="12"/>
      <c r="E624" s="12"/>
      <c r="F624" s="12"/>
      <c r="G624" s="12"/>
      <c r="H624" s="12"/>
      <c r="I624" s="12"/>
      <c r="J624" s="12"/>
      <c r="K624" s="12"/>
      <c r="L624" s="12"/>
      <c r="M624" s="12"/>
      <c r="N624" s="12"/>
    </row>
    <row r="625" ht="15.75" customHeight="1">
      <c r="A625" s="12"/>
      <c r="B625" s="12"/>
      <c r="C625" s="12"/>
      <c r="D625" s="12"/>
      <c r="E625" s="12"/>
      <c r="F625" s="12"/>
      <c r="G625" s="12"/>
      <c r="H625" s="12"/>
      <c r="I625" s="12"/>
      <c r="J625" s="12"/>
      <c r="K625" s="12"/>
      <c r="L625" s="12"/>
      <c r="M625" s="12"/>
      <c r="N625" s="12"/>
    </row>
    <row r="626" ht="15.75" customHeight="1">
      <c r="A626" s="12"/>
      <c r="B626" s="12"/>
      <c r="C626" s="12"/>
      <c r="D626" s="12"/>
      <c r="E626" s="12"/>
      <c r="F626" s="12"/>
      <c r="G626" s="12"/>
      <c r="H626" s="12"/>
      <c r="I626" s="12"/>
      <c r="J626" s="12"/>
      <c r="K626" s="12"/>
      <c r="L626" s="12"/>
      <c r="M626" s="12"/>
      <c r="N626" s="12"/>
    </row>
    <row r="627" ht="15.75" customHeight="1">
      <c r="A627" s="12"/>
      <c r="B627" s="12"/>
      <c r="C627" s="12"/>
      <c r="D627" s="12"/>
      <c r="E627" s="12"/>
      <c r="F627" s="12"/>
      <c r="G627" s="12"/>
      <c r="H627" s="12"/>
      <c r="I627" s="12"/>
      <c r="J627" s="12"/>
      <c r="K627" s="12"/>
      <c r="L627" s="12"/>
      <c r="M627" s="12"/>
      <c r="N627" s="12"/>
    </row>
    <row r="628" ht="15.75" customHeight="1">
      <c r="A628" s="12"/>
      <c r="B628" s="12"/>
      <c r="C628" s="12"/>
      <c r="D628" s="12"/>
      <c r="E628" s="12"/>
      <c r="F628" s="12"/>
      <c r="G628" s="12"/>
      <c r="H628" s="12"/>
      <c r="I628" s="12"/>
      <c r="J628" s="12"/>
      <c r="K628" s="12"/>
      <c r="L628" s="12"/>
      <c r="M628" s="12"/>
      <c r="N628" s="12"/>
    </row>
    <row r="629" ht="15.75" customHeight="1">
      <c r="A629" s="12"/>
      <c r="B629" s="12"/>
      <c r="C629" s="12"/>
      <c r="D629" s="12"/>
      <c r="E629" s="12"/>
      <c r="F629" s="12"/>
      <c r="G629" s="12"/>
      <c r="H629" s="12"/>
      <c r="I629" s="12"/>
      <c r="J629" s="12"/>
      <c r="K629" s="12"/>
      <c r="L629" s="12"/>
      <c r="M629" s="12"/>
      <c r="N629" s="12"/>
    </row>
    <row r="630" ht="15.75" customHeight="1">
      <c r="A630" s="12"/>
      <c r="B630" s="12"/>
      <c r="C630" s="12"/>
      <c r="D630" s="12"/>
      <c r="E630" s="12"/>
      <c r="F630" s="12"/>
      <c r="G630" s="12"/>
      <c r="H630" s="12"/>
      <c r="I630" s="12"/>
      <c r="J630" s="12"/>
      <c r="K630" s="12"/>
      <c r="L630" s="12"/>
      <c r="M630" s="12"/>
      <c r="N630" s="12"/>
    </row>
    <row r="631" ht="15.75" customHeight="1">
      <c r="A631" s="12"/>
      <c r="B631" s="12"/>
      <c r="C631" s="12"/>
      <c r="D631" s="12"/>
      <c r="E631" s="12"/>
      <c r="F631" s="12"/>
      <c r="G631" s="12"/>
      <c r="H631" s="12"/>
      <c r="I631" s="12"/>
      <c r="J631" s="12"/>
      <c r="K631" s="12"/>
      <c r="L631" s="12"/>
      <c r="M631" s="12"/>
      <c r="N631" s="12"/>
    </row>
    <row r="632" ht="15.75" customHeight="1">
      <c r="A632" s="12"/>
      <c r="B632" s="12"/>
      <c r="C632" s="12"/>
      <c r="D632" s="12"/>
      <c r="E632" s="12"/>
      <c r="F632" s="12"/>
      <c r="G632" s="12"/>
      <c r="H632" s="12"/>
      <c r="I632" s="12"/>
      <c r="J632" s="12"/>
      <c r="K632" s="12"/>
      <c r="L632" s="12"/>
      <c r="M632" s="12"/>
      <c r="N632" s="12"/>
    </row>
    <row r="633" ht="15.75" customHeight="1">
      <c r="A633" s="12"/>
      <c r="B633" s="12"/>
      <c r="C633" s="12"/>
      <c r="D633" s="12"/>
      <c r="E633" s="12"/>
      <c r="F633" s="12"/>
      <c r="G633" s="12"/>
      <c r="H633" s="12"/>
      <c r="I633" s="12"/>
      <c r="J633" s="12"/>
      <c r="K633" s="12"/>
      <c r="L633" s="12"/>
      <c r="M633" s="12"/>
      <c r="N633" s="12"/>
    </row>
    <row r="634" ht="15.75" customHeight="1">
      <c r="A634" s="12"/>
      <c r="B634" s="12"/>
      <c r="C634" s="12"/>
      <c r="D634" s="12"/>
      <c r="E634" s="12"/>
      <c r="F634" s="12"/>
      <c r="G634" s="12"/>
      <c r="H634" s="12"/>
      <c r="I634" s="12"/>
      <c r="J634" s="12"/>
      <c r="K634" s="12"/>
      <c r="L634" s="12"/>
      <c r="M634" s="12"/>
      <c r="N634" s="12"/>
    </row>
    <row r="635" ht="15.75" customHeight="1">
      <c r="A635" s="12"/>
      <c r="B635" s="12"/>
      <c r="C635" s="12"/>
      <c r="D635" s="12"/>
      <c r="E635" s="12"/>
      <c r="F635" s="12"/>
      <c r="G635" s="12"/>
      <c r="H635" s="12"/>
      <c r="I635" s="12"/>
      <c r="J635" s="12"/>
      <c r="K635" s="12"/>
      <c r="L635" s="12"/>
      <c r="M635" s="12"/>
      <c r="N635" s="12"/>
    </row>
    <row r="636" ht="15.75" customHeight="1">
      <c r="A636" s="12"/>
      <c r="B636" s="12"/>
      <c r="C636" s="12"/>
      <c r="D636" s="12"/>
      <c r="E636" s="12"/>
      <c r="F636" s="12"/>
      <c r="G636" s="12"/>
      <c r="H636" s="12"/>
      <c r="I636" s="12"/>
      <c r="J636" s="12"/>
      <c r="K636" s="12"/>
      <c r="L636" s="12"/>
      <c r="M636" s="12"/>
      <c r="N636" s="12"/>
    </row>
    <row r="637" ht="15.75" customHeight="1">
      <c r="A637" s="12"/>
      <c r="B637" s="12"/>
      <c r="C637" s="12"/>
      <c r="D637" s="12"/>
      <c r="E637" s="12"/>
      <c r="F637" s="12"/>
      <c r="G637" s="12"/>
      <c r="H637" s="12"/>
      <c r="I637" s="12"/>
      <c r="J637" s="12"/>
      <c r="K637" s="12"/>
      <c r="L637" s="12"/>
      <c r="M637" s="12"/>
      <c r="N637" s="12"/>
    </row>
    <row r="638" ht="15.75" customHeight="1">
      <c r="A638" s="12"/>
      <c r="B638" s="12"/>
      <c r="C638" s="12"/>
      <c r="D638" s="12"/>
      <c r="E638" s="12"/>
      <c r="F638" s="12"/>
      <c r="G638" s="12"/>
      <c r="H638" s="12"/>
      <c r="I638" s="12"/>
      <c r="J638" s="12"/>
      <c r="K638" s="12"/>
      <c r="L638" s="12"/>
      <c r="M638" s="12"/>
      <c r="N638" s="12"/>
    </row>
    <row r="639" ht="15.75" customHeight="1">
      <c r="A639" s="12"/>
      <c r="B639" s="12"/>
      <c r="C639" s="12"/>
      <c r="D639" s="12"/>
      <c r="E639" s="12"/>
      <c r="F639" s="12"/>
      <c r="G639" s="12"/>
      <c r="H639" s="12"/>
      <c r="I639" s="12"/>
      <c r="J639" s="12"/>
      <c r="K639" s="12"/>
      <c r="L639" s="12"/>
      <c r="M639" s="12"/>
      <c r="N639" s="12"/>
    </row>
    <row r="640" ht="15.75" customHeight="1">
      <c r="A640" s="12"/>
      <c r="B640" s="12"/>
      <c r="C640" s="12"/>
      <c r="D640" s="12"/>
      <c r="E640" s="12"/>
      <c r="F640" s="12"/>
      <c r="G640" s="12"/>
      <c r="H640" s="12"/>
      <c r="I640" s="12"/>
      <c r="J640" s="12"/>
      <c r="K640" s="12"/>
      <c r="L640" s="12"/>
      <c r="M640" s="12"/>
      <c r="N640" s="12"/>
    </row>
    <row r="641" ht="15.75" customHeight="1">
      <c r="A641" s="12"/>
      <c r="B641" s="12"/>
      <c r="C641" s="12"/>
      <c r="D641" s="12"/>
      <c r="E641" s="12"/>
      <c r="F641" s="12"/>
      <c r="G641" s="12"/>
      <c r="H641" s="12"/>
      <c r="I641" s="12"/>
      <c r="J641" s="12"/>
      <c r="K641" s="12"/>
      <c r="L641" s="12"/>
      <c r="M641" s="12"/>
      <c r="N641" s="12"/>
    </row>
    <row r="642" ht="15.75" customHeight="1">
      <c r="A642" s="12"/>
      <c r="B642" s="12"/>
      <c r="C642" s="12"/>
      <c r="D642" s="12"/>
      <c r="E642" s="12"/>
      <c r="F642" s="12"/>
      <c r="G642" s="12"/>
      <c r="H642" s="12"/>
      <c r="I642" s="12"/>
      <c r="J642" s="12"/>
      <c r="K642" s="12"/>
      <c r="L642" s="12"/>
      <c r="M642" s="12"/>
      <c r="N642" s="12"/>
    </row>
    <row r="643" ht="15.75" customHeight="1">
      <c r="A643" s="12"/>
      <c r="B643" s="12"/>
      <c r="C643" s="12"/>
      <c r="D643" s="12"/>
      <c r="E643" s="12"/>
      <c r="F643" s="12"/>
      <c r="G643" s="12"/>
      <c r="H643" s="12"/>
      <c r="I643" s="12"/>
      <c r="J643" s="12"/>
      <c r="K643" s="12"/>
      <c r="L643" s="12"/>
      <c r="M643" s="12"/>
      <c r="N643" s="12"/>
    </row>
    <row r="644" ht="15.75" customHeight="1">
      <c r="A644" s="12"/>
      <c r="B644" s="12"/>
      <c r="C644" s="12"/>
      <c r="D644" s="12"/>
      <c r="E644" s="12"/>
      <c r="F644" s="12"/>
      <c r="G644" s="12"/>
      <c r="H644" s="12"/>
      <c r="I644" s="12"/>
      <c r="J644" s="12"/>
      <c r="K644" s="12"/>
      <c r="L644" s="12"/>
      <c r="M644" s="12"/>
      <c r="N644" s="12"/>
    </row>
    <row r="645" ht="15.75" customHeight="1">
      <c r="A645" s="12"/>
      <c r="B645" s="12"/>
      <c r="C645" s="12"/>
      <c r="D645" s="12"/>
      <c r="E645" s="12"/>
      <c r="F645" s="12"/>
      <c r="G645" s="12"/>
      <c r="H645" s="12"/>
      <c r="I645" s="12"/>
      <c r="J645" s="12"/>
      <c r="K645" s="12"/>
      <c r="L645" s="12"/>
      <c r="M645" s="12"/>
      <c r="N645" s="12"/>
    </row>
    <row r="646" ht="15.75" customHeight="1">
      <c r="A646" s="12"/>
      <c r="B646" s="12"/>
      <c r="C646" s="12"/>
      <c r="D646" s="12"/>
      <c r="E646" s="12"/>
      <c r="F646" s="12"/>
      <c r="G646" s="12"/>
      <c r="H646" s="12"/>
      <c r="I646" s="12"/>
      <c r="J646" s="12"/>
      <c r="K646" s="12"/>
      <c r="L646" s="12"/>
      <c r="M646" s="12"/>
      <c r="N646" s="12"/>
    </row>
    <row r="647" ht="15.75" customHeight="1">
      <c r="A647" s="12"/>
      <c r="B647" s="12"/>
      <c r="C647" s="12"/>
      <c r="D647" s="12"/>
      <c r="E647" s="12"/>
      <c r="F647" s="12"/>
      <c r="G647" s="12"/>
      <c r="H647" s="12"/>
      <c r="I647" s="12"/>
      <c r="J647" s="12"/>
      <c r="K647" s="12"/>
      <c r="L647" s="12"/>
      <c r="M647" s="12"/>
      <c r="N647" s="12"/>
    </row>
    <row r="648" ht="15.75" customHeight="1">
      <c r="A648" s="12"/>
      <c r="B648" s="12"/>
      <c r="C648" s="12"/>
      <c r="D648" s="12"/>
      <c r="E648" s="12"/>
      <c r="F648" s="12"/>
      <c r="G648" s="12"/>
      <c r="H648" s="12"/>
      <c r="I648" s="12"/>
      <c r="J648" s="12"/>
      <c r="K648" s="12"/>
      <c r="L648" s="12"/>
      <c r="M648" s="12"/>
      <c r="N648" s="12"/>
    </row>
    <row r="649" ht="15.75" customHeight="1">
      <c r="A649" s="12"/>
      <c r="B649" s="12"/>
      <c r="C649" s="12"/>
      <c r="D649" s="12"/>
      <c r="E649" s="12"/>
      <c r="F649" s="12"/>
      <c r="G649" s="12"/>
      <c r="H649" s="12"/>
      <c r="I649" s="12"/>
      <c r="J649" s="12"/>
      <c r="K649" s="12"/>
      <c r="L649" s="12"/>
      <c r="M649" s="12"/>
      <c r="N649" s="12"/>
    </row>
    <row r="650" ht="15.75" customHeight="1">
      <c r="A650" s="12"/>
      <c r="B650" s="12"/>
      <c r="C650" s="12"/>
      <c r="D650" s="12"/>
      <c r="E650" s="12"/>
      <c r="F650" s="12"/>
      <c r="G650" s="12"/>
      <c r="H650" s="12"/>
      <c r="I650" s="12"/>
      <c r="J650" s="12"/>
      <c r="K650" s="12"/>
      <c r="L650" s="12"/>
      <c r="M650" s="12"/>
      <c r="N650" s="12"/>
    </row>
    <row r="651" ht="15.75" customHeight="1">
      <c r="A651" s="12"/>
      <c r="B651" s="12"/>
      <c r="C651" s="12"/>
      <c r="D651" s="12"/>
      <c r="E651" s="12"/>
      <c r="F651" s="12"/>
      <c r="G651" s="12"/>
      <c r="H651" s="12"/>
      <c r="I651" s="12"/>
      <c r="J651" s="12"/>
      <c r="K651" s="12"/>
      <c r="L651" s="12"/>
      <c r="M651" s="12"/>
      <c r="N651" s="12"/>
    </row>
    <row r="652" ht="15.75" customHeight="1">
      <c r="A652" s="12"/>
      <c r="B652" s="12"/>
      <c r="C652" s="12"/>
      <c r="D652" s="12"/>
      <c r="E652" s="12"/>
      <c r="F652" s="12"/>
      <c r="G652" s="12"/>
      <c r="H652" s="12"/>
      <c r="I652" s="12"/>
      <c r="J652" s="12"/>
      <c r="K652" s="12"/>
      <c r="L652" s="12"/>
      <c r="M652" s="12"/>
      <c r="N652" s="12"/>
    </row>
    <row r="653" ht="15.75" customHeight="1">
      <c r="A653" s="12"/>
      <c r="B653" s="12"/>
      <c r="C653" s="12"/>
      <c r="D653" s="12"/>
      <c r="E653" s="12"/>
      <c r="F653" s="12"/>
      <c r="G653" s="12"/>
      <c r="H653" s="12"/>
      <c r="I653" s="12"/>
      <c r="J653" s="12"/>
      <c r="K653" s="12"/>
      <c r="L653" s="12"/>
      <c r="M653" s="12"/>
      <c r="N653" s="12"/>
    </row>
    <row r="654" ht="15.75" customHeight="1">
      <c r="A654" s="12"/>
      <c r="B654" s="12"/>
      <c r="C654" s="12"/>
      <c r="D654" s="12"/>
      <c r="E654" s="12"/>
      <c r="F654" s="12"/>
      <c r="G654" s="12"/>
      <c r="H654" s="12"/>
      <c r="I654" s="12"/>
      <c r="J654" s="12"/>
      <c r="K654" s="12"/>
      <c r="L654" s="12"/>
      <c r="M654" s="12"/>
      <c r="N654" s="12"/>
    </row>
    <row r="655" ht="15.75" customHeight="1">
      <c r="A655" s="12"/>
      <c r="B655" s="12"/>
      <c r="C655" s="12"/>
      <c r="D655" s="12"/>
      <c r="E655" s="12"/>
      <c r="F655" s="12"/>
      <c r="G655" s="12"/>
      <c r="H655" s="12"/>
      <c r="I655" s="12"/>
      <c r="J655" s="12"/>
      <c r="K655" s="12"/>
      <c r="L655" s="12"/>
      <c r="M655" s="12"/>
      <c r="N655" s="12"/>
    </row>
    <row r="656" ht="15.75" customHeight="1">
      <c r="A656" s="12"/>
      <c r="B656" s="12"/>
      <c r="C656" s="12"/>
      <c r="D656" s="12"/>
      <c r="E656" s="12"/>
      <c r="F656" s="12"/>
      <c r="G656" s="12"/>
      <c r="H656" s="12"/>
      <c r="I656" s="12"/>
      <c r="J656" s="12"/>
      <c r="K656" s="12"/>
      <c r="L656" s="12"/>
      <c r="M656" s="12"/>
      <c r="N656" s="12"/>
    </row>
    <row r="657" ht="15.75" customHeight="1">
      <c r="A657" s="12"/>
      <c r="B657" s="12"/>
      <c r="C657" s="12"/>
      <c r="D657" s="12"/>
      <c r="E657" s="12"/>
      <c r="F657" s="12"/>
      <c r="G657" s="12"/>
      <c r="H657" s="12"/>
      <c r="I657" s="12"/>
      <c r="J657" s="12"/>
      <c r="K657" s="12"/>
      <c r="L657" s="12"/>
      <c r="M657" s="12"/>
      <c r="N657" s="12"/>
    </row>
    <row r="658" ht="15.75" customHeight="1">
      <c r="A658" s="12"/>
      <c r="B658" s="12"/>
      <c r="C658" s="12"/>
      <c r="D658" s="12"/>
      <c r="E658" s="12"/>
      <c r="F658" s="12"/>
      <c r="G658" s="12"/>
      <c r="H658" s="12"/>
      <c r="I658" s="12"/>
      <c r="J658" s="12"/>
      <c r="K658" s="12"/>
      <c r="L658" s="12"/>
      <c r="M658" s="12"/>
      <c r="N658" s="12"/>
    </row>
    <row r="659" ht="15.75" customHeight="1">
      <c r="A659" s="12"/>
      <c r="B659" s="12"/>
      <c r="C659" s="12"/>
      <c r="D659" s="12"/>
      <c r="E659" s="12"/>
      <c r="F659" s="12"/>
      <c r="G659" s="12"/>
      <c r="H659" s="12"/>
      <c r="I659" s="12"/>
      <c r="J659" s="12"/>
      <c r="K659" s="12"/>
      <c r="L659" s="12"/>
      <c r="M659" s="12"/>
      <c r="N659" s="12"/>
    </row>
    <row r="660" ht="15.75" customHeight="1">
      <c r="A660" s="12"/>
      <c r="B660" s="12"/>
      <c r="C660" s="12"/>
      <c r="D660" s="12"/>
      <c r="E660" s="12"/>
      <c r="F660" s="12"/>
      <c r="G660" s="12"/>
      <c r="H660" s="12"/>
      <c r="I660" s="12"/>
      <c r="J660" s="12"/>
      <c r="K660" s="12"/>
      <c r="L660" s="12"/>
      <c r="M660" s="12"/>
      <c r="N660" s="12"/>
    </row>
    <row r="661" ht="15.75" customHeight="1">
      <c r="A661" s="12"/>
      <c r="B661" s="12"/>
      <c r="C661" s="12"/>
      <c r="D661" s="12"/>
      <c r="E661" s="12"/>
      <c r="F661" s="12"/>
      <c r="G661" s="12"/>
      <c r="H661" s="12"/>
      <c r="I661" s="12"/>
      <c r="J661" s="12"/>
      <c r="K661" s="12"/>
      <c r="L661" s="12"/>
      <c r="M661" s="12"/>
      <c r="N661" s="12"/>
    </row>
    <row r="662" ht="15.75" customHeight="1">
      <c r="A662" s="12"/>
      <c r="B662" s="12"/>
      <c r="C662" s="12"/>
      <c r="D662" s="12"/>
      <c r="E662" s="12"/>
      <c r="F662" s="12"/>
      <c r="G662" s="12"/>
      <c r="H662" s="12"/>
      <c r="I662" s="12"/>
      <c r="J662" s="12"/>
      <c r="K662" s="12"/>
      <c r="L662" s="12"/>
      <c r="M662" s="12"/>
      <c r="N662" s="12"/>
    </row>
    <row r="663" ht="15.75" customHeight="1">
      <c r="A663" s="12"/>
      <c r="B663" s="12"/>
      <c r="C663" s="12"/>
      <c r="D663" s="12"/>
      <c r="E663" s="12"/>
      <c r="F663" s="12"/>
      <c r="G663" s="12"/>
      <c r="H663" s="12"/>
      <c r="I663" s="12"/>
      <c r="J663" s="12"/>
      <c r="K663" s="12"/>
      <c r="L663" s="12"/>
      <c r="M663" s="12"/>
      <c r="N663" s="12"/>
    </row>
    <row r="664" ht="15.75" customHeight="1">
      <c r="A664" s="12"/>
      <c r="B664" s="12"/>
      <c r="C664" s="12"/>
      <c r="D664" s="12"/>
      <c r="E664" s="12"/>
      <c r="F664" s="12"/>
      <c r="G664" s="12"/>
      <c r="H664" s="12"/>
      <c r="I664" s="12"/>
      <c r="J664" s="12"/>
      <c r="K664" s="12"/>
      <c r="L664" s="12"/>
      <c r="M664" s="12"/>
      <c r="N664" s="12"/>
    </row>
    <row r="665" ht="15.75" customHeight="1">
      <c r="A665" s="12"/>
      <c r="B665" s="12"/>
      <c r="C665" s="12"/>
      <c r="D665" s="12"/>
      <c r="E665" s="12"/>
      <c r="F665" s="12"/>
      <c r="G665" s="12"/>
      <c r="H665" s="12"/>
      <c r="I665" s="12"/>
      <c r="J665" s="12"/>
      <c r="K665" s="12"/>
      <c r="L665" s="12"/>
      <c r="M665" s="12"/>
      <c r="N665" s="12"/>
    </row>
    <row r="666" ht="15.75" customHeight="1">
      <c r="A666" s="12"/>
      <c r="B666" s="12"/>
      <c r="C666" s="12"/>
      <c r="D666" s="12"/>
      <c r="E666" s="12"/>
      <c r="F666" s="12"/>
      <c r="G666" s="12"/>
      <c r="H666" s="12"/>
      <c r="I666" s="12"/>
      <c r="J666" s="12"/>
      <c r="K666" s="12"/>
      <c r="L666" s="12"/>
      <c r="M666" s="12"/>
      <c r="N666" s="12"/>
    </row>
    <row r="667" ht="15.75" customHeight="1">
      <c r="A667" s="12"/>
      <c r="B667" s="12"/>
      <c r="C667" s="12"/>
      <c r="D667" s="12"/>
      <c r="E667" s="12"/>
      <c r="F667" s="12"/>
      <c r="G667" s="12"/>
      <c r="H667" s="12"/>
      <c r="I667" s="12"/>
      <c r="J667" s="12"/>
      <c r="K667" s="12"/>
      <c r="L667" s="12"/>
      <c r="M667" s="12"/>
      <c r="N667" s="12"/>
    </row>
    <row r="668" ht="15.75" customHeight="1">
      <c r="A668" s="12"/>
      <c r="B668" s="12"/>
      <c r="C668" s="12"/>
      <c r="D668" s="12"/>
      <c r="E668" s="12"/>
      <c r="F668" s="12"/>
      <c r="G668" s="12"/>
      <c r="H668" s="12"/>
      <c r="I668" s="12"/>
      <c r="J668" s="12"/>
      <c r="K668" s="12"/>
      <c r="L668" s="12"/>
      <c r="M668" s="12"/>
      <c r="N668" s="12"/>
    </row>
    <row r="669" ht="15.75" customHeight="1">
      <c r="A669" s="12"/>
      <c r="B669" s="12"/>
      <c r="C669" s="12"/>
      <c r="D669" s="12"/>
      <c r="E669" s="12"/>
      <c r="F669" s="12"/>
      <c r="G669" s="12"/>
      <c r="H669" s="12"/>
      <c r="I669" s="12"/>
      <c r="J669" s="12"/>
      <c r="K669" s="12"/>
      <c r="L669" s="12"/>
      <c r="M669" s="12"/>
      <c r="N669" s="12"/>
    </row>
    <row r="670" ht="15.75" customHeight="1">
      <c r="A670" s="12"/>
      <c r="B670" s="12"/>
      <c r="C670" s="12"/>
      <c r="D670" s="12"/>
      <c r="E670" s="12"/>
      <c r="F670" s="12"/>
      <c r="G670" s="12"/>
      <c r="H670" s="12"/>
      <c r="I670" s="12"/>
      <c r="J670" s="12"/>
      <c r="K670" s="12"/>
      <c r="L670" s="12"/>
      <c r="M670" s="12"/>
      <c r="N670" s="12"/>
    </row>
    <row r="671" ht="15.75" customHeight="1">
      <c r="A671" s="12"/>
      <c r="B671" s="12"/>
      <c r="C671" s="12"/>
      <c r="D671" s="12"/>
      <c r="E671" s="12"/>
      <c r="F671" s="12"/>
      <c r="G671" s="12"/>
      <c r="H671" s="12"/>
      <c r="I671" s="12"/>
      <c r="J671" s="12"/>
      <c r="K671" s="12"/>
      <c r="L671" s="12"/>
      <c r="M671" s="12"/>
      <c r="N671" s="12"/>
    </row>
    <row r="672" ht="15.75" customHeight="1">
      <c r="A672" s="12"/>
      <c r="B672" s="12"/>
      <c r="C672" s="12"/>
      <c r="D672" s="12"/>
      <c r="E672" s="12"/>
      <c r="F672" s="12"/>
      <c r="G672" s="12"/>
      <c r="H672" s="12"/>
      <c r="I672" s="12"/>
      <c r="J672" s="12"/>
      <c r="K672" s="12"/>
      <c r="L672" s="12"/>
      <c r="M672" s="12"/>
      <c r="N672" s="12"/>
    </row>
    <row r="673" ht="15.75" customHeight="1">
      <c r="A673" s="12"/>
      <c r="B673" s="12"/>
      <c r="C673" s="12"/>
      <c r="D673" s="12"/>
      <c r="E673" s="12"/>
      <c r="F673" s="12"/>
      <c r="G673" s="12"/>
      <c r="H673" s="12"/>
      <c r="I673" s="12"/>
      <c r="J673" s="12"/>
      <c r="K673" s="12"/>
      <c r="L673" s="12"/>
      <c r="M673" s="12"/>
      <c r="N673" s="12"/>
    </row>
    <row r="674" ht="15.75" customHeight="1">
      <c r="A674" s="12"/>
      <c r="B674" s="12"/>
      <c r="C674" s="12"/>
      <c r="D674" s="12"/>
      <c r="E674" s="12"/>
      <c r="F674" s="12"/>
      <c r="G674" s="12"/>
      <c r="H674" s="12"/>
      <c r="I674" s="12"/>
      <c r="J674" s="12"/>
      <c r="K674" s="12"/>
      <c r="L674" s="12"/>
      <c r="M674" s="12"/>
      <c r="N674" s="12"/>
    </row>
    <row r="675" ht="15.75" customHeight="1">
      <c r="A675" s="12"/>
      <c r="B675" s="12"/>
      <c r="C675" s="12"/>
      <c r="D675" s="12"/>
      <c r="E675" s="12"/>
      <c r="F675" s="12"/>
      <c r="G675" s="12"/>
      <c r="H675" s="12"/>
      <c r="I675" s="12"/>
      <c r="J675" s="12"/>
      <c r="K675" s="12"/>
      <c r="L675" s="12"/>
      <c r="M675" s="12"/>
      <c r="N675" s="12"/>
    </row>
    <row r="676" ht="15.75" customHeight="1">
      <c r="A676" s="12"/>
      <c r="B676" s="12"/>
      <c r="C676" s="12"/>
      <c r="D676" s="12"/>
      <c r="E676" s="12"/>
      <c r="F676" s="12"/>
      <c r="G676" s="12"/>
      <c r="H676" s="12"/>
      <c r="I676" s="12"/>
      <c r="J676" s="12"/>
      <c r="K676" s="12"/>
      <c r="L676" s="12"/>
      <c r="M676" s="12"/>
      <c r="N676" s="12"/>
    </row>
    <row r="677" ht="15.75" customHeight="1">
      <c r="A677" s="12"/>
      <c r="B677" s="12"/>
      <c r="C677" s="12"/>
      <c r="D677" s="12"/>
      <c r="E677" s="12"/>
      <c r="F677" s="12"/>
      <c r="G677" s="12"/>
      <c r="H677" s="12"/>
      <c r="I677" s="12"/>
      <c r="J677" s="12"/>
      <c r="K677" s="12"/>
      <c r="L677" s="12"/>
      <c r="M677" s="12"/>
      <c r="N677" s="12"/>
    </row>
    <row r="678" ht="15.75" customHeight="1">
      <c r="A678" s="12"/>
      <c r="B678" s="12"/>
      <c r="C678" s="12"/>
      <c r="D678" s="12"/>
      <c r="E678" s="12"/>
      <c r="F678" s="12"/>
      <c r="G678" s="12"/>
      <c r="H678" s="12"/>
      <c r="I678" s="12"/>
      <c r="J678" s="12"/>
      <c r="K678" s="12"/>
      <c r="L678" s="12"/>
      <c r="M678" s="12"/>
      <c r="N678" s="12"/>
    </row>
    <row r="679" ht="15.75" customHeight="1">
      <c r="A679" s="12"/>
      <c r="B679" s="12"/>
      <c r="C679" s="12"/>
      <c r="D679" s="12"/>
      <c r="E679" s="12"/>
      <c r="F679" s="12"/>
      <c r="G679" s="12"/>
      <c r="H679" s="12"/>
      <c r="I679" s="12"/>
      <c r="J679" s="12"/>
      <c r="K679" s="12"/>
      <c r="L679" s="12"/>
      <c r="M679" s="12"/>
      <c r="N679" s="12"/>
    </row>
    <row r="680" ht="15.75" customHeight="1">
      <c r="A680" s="12"/>
      <c r="B680" s="12"/>
      <c r="C680" s="12"/>
      <c r="D680" s="12"/>
      <c r="E680" s="12"/>
      <c r="F680" s="12"/>
      <c r="G680" s="12"/>
      <c r="H680" s="12"/>
      <c r="I680" s="12"/>
      <c r="J680" s="12"/>
      <c r="K680" s="12"/>
      <c r="L680" s="12"/>
      <c r="M680" s="12"/>
      <c r="N680" s="12"/>
    </row>
    <row r="681" ht="15.75" customHeight="1">
      <c r="A681" s="12"/>
      <c r="B681" s="12"/>
      <c r="C681" s="12"/>
      <c r="D681" s="12"/>
      <c r="E681" s="12"/>
      <c r="F681" s="12"/>
      <c r="G681" s="12"/>
      <c r="H681" s="12"/>
      <c r="I681" s="12"/>
      <c r="J681" s="12"/>
      <c r="K681" s="12"/>
      <c r="L681" s="12"/>
      <c r="M681" s="12"/>
      <c r="N681" s="12"/>
    </row>
    <row r="682" ht="15.75" customHeight="1">
      <c r="A682" s="12"/>
      <c r="B682" s="12"/>
      <c r="C682" s="12"/>
      <c r="D682" s="12"/>
      <c r="E682" s="12"/>
      <c r="F682" s="12"/>
      <c r="G682" s="12"/>
      <c r="H682" s="12"/>
      <c r="I682" s="12"/>
      <c r="J682" s="12"/>
      <c r="K682" s="12"/>
      <c r="L682" s="12"/>
      <c r="M682" s="12"/>
      <c r="N682" s="12"/>
    </row>
    <row r="683" ht="15.75" customHeight="1">
      <c r="A683" s="12"/>
      <c r="B683" s="12"/>
      <c r="C683" s="12"/>
      <c r="D683" s="12"/>
      <c r="E683" s="12"/>
      <c r="F683" s="12"/>
      <c r="G683" s="12"/>
      <c r="H683" s="12"/>
      <c r="I683" s="12"/>
      <c r="J683" s="12"/>
      <c r="K683" s="12"/>
      <c r="L683" s="12"/>
      <c r="M683" s="12"/>
      <c r="N683" s="12"/>
    </row>
    <row r="684" ht="15.75" customHeight="1">
      <c r="A684" s="12"/>
      <c r="B684" s="12"/>
      <c r="C684" s="12"/>
      <c r="D684" s="12"/>
      <c r="E684" s="12"/>
      <c r="F684" s="12"/>
      <c r="G684" s="12"/>
      <c r="H684" s="12"/>
      <c r="I684" s="12"/>
      <c r="J684" s="12"/>
      <c r="K684" s="12"/>
      <c r="L684" s="12"/>
      <c r="M684" s="12"/>
      <c r="N684" s="12"/>
    </row>
    <row r="685" ht="15.75" customHeight="1">
      <c r="A685" s="12"/>
      <c r="B685" s="12"/>
      <c r="C685" s="12"/>
      <c r="D685" s="12"/>
      <c r="E685" s="12"/>
      <c r="F685" s="12"/>
      <c r="G685" s="12"/>
      <c r="H685" s="12"/>
      <c r="I685" s="12"/>
      <c r="J685" s="12"/>
      <c r="K685" s="12"/>
      <c r="L685" s="12"/>
      <c r="M685" s="12"/>
      <c r="N685" s="12"/>
    </row>
    <row r="686" ht="15.75" customHeight="1">
      <c r="A686" s="12"/>
      <c r="B686" s="12"/>
      <c r="C686" s="12"/>
      <c r="D686" s="12"/>
      <c r="E686" s="12"/>
      <c r="F686" s="12"/>
      <c r="G686" s="12"/>
      <c r="H686" s="12"/>
      <c r="I686" s="12"/>
      <c r="J686" s="12"/>
      <c r="K686" s="12"/>
      <c r="L686" s="12"/>
      <c r="M686" s="12"/>
      <c r="N686" s="12"/>
    </row>
    <row r="687" ht="15.75" customHeight="1">
      <c r="A687" s="12"/>
      <c r="B687" s="12"/>
      <c r="C687" s="12"/>
      <c r="D687" s="12"/>
      <c r="E687" s="12"/>
      <c r="F687" s="12"/>
      <c r="G687" s="12"/>
      <c r="H687" s="12"/>
      <c r="I687" s="12"/>
      <c r="J687" s="12"/>
      <c r="K687" s="12"/>
      <c r="L687" s="12"/>
      <c r="M687" s="12"/>
      <c r="N687" s="12"/>
    </row>
    <row r="688" ht="15.75" customHeight="1">
      <c r="A688" s="12"/>
      <c r="B688" s="12"/>
      <c r="C688" s="12"/>
      <c r="D688" s="12"/>
      <c r="E688" s="12"/>
      <c r="F688" s="12"/>
      <c r="G688" s="12"/>
      <c r="H688" s="12"/>
      <c r="I688" s="12"/>
      <c r="J688" s="12"/>
      <c r="K688" s="12"/>
      <c r="L688" s="12"/>
      <c r="M688" s="12"/>
      <c r="N688" s="12"/>
    </row>
    <row r="689" ht="15.75" customHeight="1">
      <c r="A689" s="12"/>
      <c r="B689" s="12"/>
      <c r="C689" s="12"/>
      <c r="D689" s="12"/>
      <c r="E689" s="12"/>
      <c r="F689" s="12"/>
      <c r="G689" s="12"/>
      <c r="H689" s="12"/>
      <c r="I689" s="12"/>
      <c r="J689" s="12"/>
      <c r="K689" s="12"/>
      <c r="L689" s="12"/>
      <c r="M689" s="12"/>
      <c r="N689" s="12"/>
    </row>
    <row r="690" ht="15.75" customHeight="1">
      <c r="A690" s="12"/>
      <c r="B690" s="12"/>
      <c r="C690" s="12"/>
      <c r="D690" s="12"/>
      <c r="E690" s="12"/>
      <c r="F690" s="12"/>
      <c r="G690" s="12"/>
      <c r="H690" s="12"/>
      <c r="I690" s="12"/>
      <c r="J690" s="12"/>
      <c r="K690" s="12"/>
      <c r="L690" s="12"/>
      <c r="M690" s="12"/>
      <c r="N690" s="12"/>
    </row>
    <row r="691" ht="15.75" customHeight="1">
      <c r="A691" s="12"/>
      <c r="B691" s="12"/>
      <c r="C691" s="12"/>
      <c r="D691" s="12"/>
      <c r="E691" s="12"/>
      <c r="F691" s="12"/>
      <c r="G691" s="12"/>
      <c r="H691" s="12"/>
      <c r="I691" s="12"/>
      <c r="J691" s="12"/>
      <c r="K691" s="12"/>
      <c r="L691" s="12"/>
      <c r="M691" s="12"/>
      <c r="N691" s="12"/>
    </row>
    <row r="692" ht="15.75" customHeight="1">
      <c r="A692" s="12"/>
      <c r="B692" s="12"/>
      <c r="C692" s="12"/>
      <c r="D692" s="12"/>
      <c r="E692" s="12"/>
      <c r="F692" s="12"/>
      <c r="G692" s="12"/>
      <c r="H692" s="12"/>
      <c r="I692" s="12"/>
      <c r="J692" s="12"/>
      <c r="K692" s="12"/>
      <c r="L692" s="12"/>
      <c r="M692" s="12"/>
      <c r="N692" s="12"/>
    </row>
    <row r="693" ht="15.75" customHeight="1">
      <c r="A693" s="12"/>
      <c r="B693" s="12"/>
      <c r="C693" s="12"/>
      <c r="D693" s="12"/>
      <c r="E693" s="12"/>
      <c r="F693" s="12"/>
      <c r="G693" s="12"/>
      <c r="H693" s="12"/>
      <c r="I693" s="12"/>
      <c r="J693" s="12"/>
      <c r="K693" s="12"/>
      <c r="L693" s="12"/>
      <c r="M693" s="12"/>
      <c r="N693" s="12"/>
    </row>
    <row r="694" ht="15.75" customHeight="1">
      <c r="A694" s="12"/>
      <c r="B694" s="12"/>
      <c r="C694" s="12"/>
      <c r="D694" s="12"/>
      <c r="E694" s="12"/>
      <c r="F694" s="12"/>
      <c r="G694" s="12"/>
      <c r="H694" s="12"/>
      <c r="I694" s="12"/>
      <c r="J694" s="12"/>
      <c r="K694" s="12"/>
      <c r="L694" s="12"/>
      <c r="M694" s="12"/>
      <c r="N694" s="12"/>
    </row>
    <row r="695" ht="15.75" customHeight="1">
      <c r="A695" s="12"/>
      <c r="B695" s="12"/>
      <c r="C695" s="12"/>
      <c r="D695" s="12"/>
      <c r="E695" s="12"/>
      <c r="F695" s="12"/>
      <c r="G695" s="12"/>
      <c r="H695" s="12"/>
      <c r="I695" s="12"/>
      <c r="J695" s="12"/>
      <c r="K695" s="12"/>
      <c r="L695" s="12"/>
      <c r="M695" s="12"/>
      <c r="N695" s="12"/>
    </row>
    <row r="696" ht="15.75" customHeight="1">
      <c r="A696" s="12"/>
      <c r="B696" s="12"/>
      <c r="C696" s="12"/>
      <c r="D696" s="12"/>
      <c r="E696" s="12"/>
      <c r="F696" s="12"/>
      <c r="G696" s="12"/>
      <c r="H696" s="12"/>
      <c r="I696" s="12"/>
      <c r="J696" s="12"/>
      <c r="K696" s="12"/>
      <c r="L696" s="12"/>
      <c r="M696" s="12"/>
      <c r="N696" s="12"/>
    </row>
    <row r="697" ht="15.75" customHeight="1">
      <c r="A697" s="12"/>
      <c r="B697" s="12"/>
      <c r="C697" s="12"/>
      <c r="D697" s="12"/>
      <c r="E697" s="12"/>
      <c r="F697" s="12"/>
      <c r="G697" s="12"/>
      <c r="H697" s="12"/>
      <c r="I697" s="12"/>
      <c r="J697" s="12"/>
      <c r="K697" s="12"/>
      <c r="L697" s="12"/>
      <c r="M697" s="12"/>
      <c r="N697" s="12"/>
    </row>
    <row r="698" ht="15.75" customHeight="1">
      <c r="A698" s="12"/>
      <c r="B698" s="12"/>
      <c r="C698" s="12"/>
      <c r="D698" s="12"/>
      <c r="E698" s="12"/>
      <c r="F698" s="12"/>
      <c r="G698" s="12"/>
      <c r="H698" s="12"/>
      <c r="I698" s="12"/>
      <c r="J698" s="12"/>
      <c r="K698" s="12"/>
      <c r="L698" s="12"/>
      <c r="M698" s="12"/>
      <c r="N698" s="12"/>
    </row>
    <row r="699" ht="15.75" customHeight="1">
      <c r="A699" s="12"/>
      <c r="B699" s="12"/>
      <c r="C699" s="12"/>
      <c r="D699" s="12"/>
      <c r="E699" s="12"/>
      <c r="F699" s="12"/>
      <c r="G699" s="12"/>
      <c r="H699" s="12"/>
      <c r="I699" s="12"/>
      <c r="J699" s="12"/>
      <c r="K699" s="12"/>
      <c r="L699" s="12"/>
      <c r="M699" s="12"/>
      <c r="N699" s="12"/>
    </row>
    <row r="700" ht="15.75" customHeight="1">
      <c r="A700" s="12"/>
      <c r="B700" s="12"/>
      <c r="C700" s="12"/>
      <c r="D700" s="12"/>
      <c r="E700" s="12"/>
      <c r="F700" s="12"/>
      <c r="G700" s="12"/>
      <c r="H700" s="12"/>
      <c r="I700" s="12"/>
      <c r="J700" s="12"/>
      <c r="K700" s="12"/>
      <c r="L700" s="12"/>
      <c r="M700" s="12"/>
      <c r="N700" s="12"/>
    </row>
    <row r="701" ht="15.75" customHeight="1">
      <c r="A701" s="12"/>
      <c r="B701" s="12"/>
      <c r="C701" s="12"/>
      <c r="D701" s="12"/>
      <c r="E701" s="12"/>
      <c r="F701" s="12"/>
      <c r="G701" s="12"/>
      <c r="H701" s="12"/>
      <c r="I701" s="12"/>
      <c r="J701" s="12"/>
      <c r="K701" s="12"/>
      <c r="L701" s="12"/>
      <c r="M701" s="12"/>
      <c r="N701" s="12"/>
    </row>
    <row r="702" ht="15.75" customHeight="1">
      <c r="A702" s="12"/>
      <c r="B702" s="12"/>
      <c r="C702" s="12"/>
      <c r="D702" s="12"/>
      <c r="E702" s="12"/>
      <c r="F702" s="12"/>
      <c r="G702" s="12"/>
      <c r="H702" s="12"/>
      <c r="I702" s="12"/>
      <c r="J702" s="12"/>
      <c r="K702" s="12"/>
      <c r="L702" s="12"/>
      <c r="M702" s="12"/>
      <c r="N702" s="12"/>
    </row>
    <row r="703" ht="15.75" customHeight="1">
      <c r="A703" s="12"/>
      <c r="B703" s="12"/>
      <c r="C703" s="12"/>
      <c r="D703" s="12"/>
      <c r="E703" s="12"/>
      <c r="F703" s="12"/>
      <c r="G703" s="12"/>
      <c r="H703" s="12"/>
      <c r="I703" s="12"/>
      <c r="J703" s="12"/>
      <c r="K703" s="12"/>
      <c r="L703" s="12"/>
      <c r="M703" s="12"/>
      <c r="N703" s="12"/>
    </row>
    <row r="704" ht="15.75" customHeight="1">
      <c r="A704" s="12"/>
      <c r="B704" s="12"/>
      <c r="C704" s="12"/>
      <c r="D704" s="12"/>
      <c r="E704" s="12"/>
      <c r="F704" s="12"/>
      <c r="G704" s="12"/>
      <c r="H704" s="12"/>
      <c r="I704" s="12"/>
      <c r="J704" s="12"/>
      <c r="K704" s="12"/>
      <c r="L704" s="12"/>
      <c r="M704" s="12"/>
      <c r="N704" s="12"/>
    </row>
    <row r="705" ht="15.75" customHeight="1">
      <c r="A705" s="12"/>
      <c r="B705" s="12"/>
      <c r="C705" s="12"/>
      <c r="D705" s="12"/>
      <c r="E705" s="12"/>
      <c r="F705" s="12"/>
      <c r="G705" s="12"/>
      <c r="H705" s="12"/>
      <c r="I705" s="12"/>
      <c r="J705" s="12"/>
      <c r="K705" s="12"/>
      <c r="L705" s="12"/>
      <c r="M705" s="12"/>
      <c r="N705" s="12"/>
    </row>
    <row r="706" ht="15.75" customHeight="1">
      <c r="A706" s="12"/>
      <c r="B706" s="12"/>
      <c r="C706" s="12"/>
      <c r="D706" s="12"/>
      <c r="E706" s="12"/>
      <c r="F706" s="12"/>
      <c r="G706" s="12"/>
      <c r="H706" s="12"/>
      <c r="I706" s="12"/>
      <c r="J706" s="12"/>
      <c r="K706" s="12"/>
      <c r="L706" s="12"/>
      <c r="M706" s="12"/>
      <c r="N706" s="12"/>
    </row>
    <row r="707" ht="15.75" customHeight="1">
      <c r="A707" s="12"/>
      <c r="B707" s="12"/>
      <c r="C707" s="12"/>
      <c r="D707" s="12"/>
      <c r="E707" s="12"/>
      <c r="F707" s="12"/>
      <c r="G707" s="12"/>
      <c r="H707" s="12"/>
      <c r="I707" s="12"/>
      <c r="J707" s="12"/>
      <c r="K707" s="12"/>
      <c r="L707" s="12"/>
      <c r="M707" s="12"/>
      <c r="N707" s="12"/>
    </row>
    <row r="708" ht="15.75" customHeight="1">
      <c r="A708" s="12"/>
      <c r="B708" s="12"/>
      <c r="C708" s="12"/>
      <c r="D708" s="12"/>
      <c r="E708" s="12"/>
      <c r="F708" s="12"/>
      <c r="G708" s="12"/>
      <c r="H708" s="12"/>
      <c r="I708" s="12"/>
      <c r="J708" s="12"/>
      <c r="K708" s="12"/>
      <c r="L708" s="12"/>
      <c r="M708" s="12"/>
      <c r="N708" s="12"/>
    </row>
    <row r="709" ht="15.75" customHeight="1">
      <c r="A709" s="12"/>
      <c r="B709" s="12"/>
      <c r="C709" s="12"/>
      <c r="D709" s="12"/>
      <c r="E709" s="12"/>
      <c r="F709" s="12"/>
      <c r="G709" s="12"/>
      <c r="H709" s="12"/>
      <c r="I709" s="12"/>
      <c r="J709" s="12"/>
      <c r="K709" s="12"/>
      <c r="L709" s="12"/>
      <c r="M709" s="12"/>
      <c r="N709" s="12"/>
    </row>
    <row r="710" ht="15.75" customHeight="1">
      <c r="A710" s="12"/>
      <c r="B710" s="12"/>
      <c r="C710" s="12"/>
      <c r="D710" s="12"/>
      <c r="E710" s="12"/>
      <c r="F710" s="12"/>
      <c r="G710" s="12"/>
      <c r="H710" s="12"/>
      <c r="I710" s="12"/>
      <c r="J710" s="12"/>
      <c r="K710" s="12"/>
      <c r="L710" s="12"/>
      <c r="M710" s="12"/>
      <c r="N710" s="12"/>
    </row>
    <row r="711" ht="15.75" customHeight="1">
      <c r="A711" s="12"/>
      <c r="B711" s="12"/>
      <c r="C711" s="12"/>
      <c r="D711" s="12"/>
      <c r="E711" s="12"/>
      <c r="F711" s="12"/>
      <c r="G711" s="12"/>
      <c r="H711" s="12"/>
      <c r="I711" s="12"/>
      <c r="J711" s="12"/>
      <c r="K711" s="12"/>
      <c r="L711" s="12"/>
      <c r="M711" s="12"/>
      <c r="N711" s="12"/>
    </row>
    <row r="712" ht="15.75" customHeight="1">
      <c r="A712" s="12"/>
      <c r="B712" s="12"/>
      <c r="C712" s="12"/>
      <c r="D712" s="12"/>
      <c r="E712" s="12"/>
      <c r="F712" s="12"/>
      <c r="G712" s="12"/>
      <c r="H712" s="12"/>
      <c r="I712" s="12"/>
      <c r="J712" s="12"/>
      <c r="K712" s="12"/>
      <c r="L712" s="12"/>
      <c r="M712" s="12"/>
      <c r="N712" s="12"/>
    </row>
    <row r="713" ht="15.75" customHeight="1">
      <c r="A713" s="12"/>
      <c r="B713" s="12"/>
      <c r="C713" s="12"/>
      <c r="D713" s="12"/>
      <c r="E713" s="12"/>
      <c r="F713" s="12"/>
      <c r="G713" s="12"/>
      <c r="H713" s="12"/>
      <c r="I713" s="12"/>
      <c r="J713" s="12"/>
      <c r="K713" s="12"/>
      <c r="L713" s="12"/>
      <c r="M713" s="12"/>
      <c r="N713" s="12"/>
    </row>
    <row r="714" ht="15.75" customHeight="1">
      <c r="A714" s="12"/>
      <c r="B714" s="12"/>
      <c r="C714" s="12"/>
      <c r="D714" s="12"/>
      <c r="E714" s="12"/>
      <c r="F714" s="12"/>
      <c r="G714" s="12"/>
      <c r="H714" s="12"/>
      <c r="I714" s="12"/>
      <c r="J714" s="12"/>
      <c r="K714" s="12"/>
      <c r="L714" s="12"/>
      <c r="M714" s="12"/>
      <c r="N714" s="12"/>
    </row>
    <row r="715" ht="15.75" customHeight="1">
      <c r="A715" s="12"/>
      <c r="B715" s="12"/>
      <c r="C715" s="12"/>
      <c r="D715" s="12"/>
      <c r="E715" s="12"/>
      <c r="F715" s="12"/>
      <c r="G715" s="12"/>
      <c r="H715" s="12"/>
      <c r="I715" s="12"/>
      <c r="J715" s="12"/>
      <c r="K715" s="12"/>
      <c r="L715" s="12"/>
      <c r="M715" s="12"/>
      <c r="N715" s="12"/>
    </row>
    <row r="716" ht="15.75" customHeight="1">
      <c r="A716" s="12"/>
      <c r="B716" s="12"/>
      <c r="C716" s="12"/>
      <c r="D716" s="12"/>
      <c r="E716" s="12"/>
      <c r="F716" s="12"/>
      <c r="G716" s="12"/>
      <c r="H716" s="12"/>
      <c r="I716" s="12"/>
      <c r="J716" s="12"/>
      <c r="K716" s="12"/>
      <c r="L716" s="12"/>
      <c r="M716" s="12"/>
      <c r="N716" s="12"/>
    </row>
    <row r="717" ht="15.75" customHeight="1">
      <c r="A717" s="12"/>
      <c r="B717" s="12"/>
      <c r="C717" s="12"/>
      <c r="D717" s="12"/>
      <c r="E717" s="12"/>
      <c r="F717" s="12"/>
      <c r="G717" s="12"/>
      <c r="H717" s="12"/>
      <c r="I717" s="12"/>
      <c r="J717" s="12"/>
      <c r="K717" s="12"/>
      <c r="L717" s="12"/>
      <c r="M717" s="12"/>
      <c r="N717" s="12"/>
    </row>
    <row r="718" ht="15.75" customHeight="1">
      <c r="A718" s="12"/>
      <c r="B718" s="12"/>
      <c r="C718" s="12"/>
      <c r="D718" s="12"/>
      <c r="E718" s="12"/>
      <c r="F718" s="12"/>
      <c r="G718" s="12"/>
      <c r="H718" s="12"/>
      <c r="I718" s="12"/>
      <c r="J718" s="12"/>
      <c r="K718" s="12"/>
      <c r="L718" s="12"/>
      <c r="M718" s="12"/>
      <c r="N718" s="12"/>
    </row>
    <row r="719" ht="15.75" customHeight="1">
      <c r="A719" s="12"/>
      <c r="B719" s="12"/>
      <c r="C719" s="12"/>
      <c r="D719" s="12"/>
      <c r="E719" s="12"/>
      <c r="F719" s="12"/>
      <c r="G719" s="12"/>
      <c r="H719" s="12"/>
      <c r="I719" s="12"/>
      <c r="J719" s="12"/>
      <c r="K719" s="12"/>
      <c r="L719" s="12"/>
      <c r="M719" s="12"/>
      <c r="N719" s="12"/>
    </row>
    <row r="720" ht="15.75" customHeight="1">
      <c r="A720" s="12"/>
      <c r="B720" s="12"/>
      <c r="C720" s="12"/>
      <c r="D720" s="12"/>
      <c r="E720" s="12"/>
      <c r="F720" s="12"/>
      <c r="G720" s="12"/>
      <c r="H720" s="12"/>
      <c r="I720" s="12"/>
      <c r="J720" s="12"/>
      <c r="K720" s="12"/>
      <c r="L720" s="12"/>
      <c r="M720" s="12"/>
      <c r="N720" s="12"/>
    </row>
    <row r="721" ht="15.75" customHeight="1">
      <c r="A721" s="12"/>
      <c r="B721" s="12"/>
      <c r="C721" s="12"/>
      <c r="D721" s="12"/>
      <c r="E721" s="12"/>
      <c r="F721" s="12"/>
      <c r="G721" s="12"/>
      <c r="H721" s="12"/>
      <c r="I721" s="12"/>
      <c r="J721" s="12"/>
      <c r="K721" s="12"/>
      <c r="L721" s="12"/>
      <c r="M721" s="12"/>
      <c r="N721" s="12"/>
    </row>
    <row r="722" ht="15.75" customHeight="1">
      <c r="A722" s="12"/>
      <c r="B722" s="12"/>
      <c r="C722" s="12"/>
      <c r="D722" s="12"/>
      <c r="E722" s="12"/>
      <c r="F722" s="12"/>
      <c r="G722" s="12"/>
      <c r="H722" s="12"/>
      <c r="I722" s="12"/>
      <c r="J722" s="12"/>
      <c r="K722" s="12"/>
      <c r="L722" s="12"/>
      <c r="M722" s="12"/>
      <c r="N722" s="12"/>
    </row>
    <row r="723" ht="15.75" customHeight="1">
      <c r="A723" s="12"/>
      <c r="B723" s="12"/>
      <c r="C723" s="12"/>
      <c r="D723" s="12"/>
      <c r="E723" s="12"/>
      <c r="F723" s="12"/>
      <c r="G723" s="12"/>
      <c r="H723" s="12"/>
      <c r="I723" s="12"/>
      <c r="J723" s="12"/>
      <c r="K723" s="12"/>
      <c r="L723" s="12"/>
      <c r="M723" s="12"/>
      <c r="N723" s="12"/>
    </row>
    <row r="724" ht="15.75" customHeight="1">
      <c r="A724" s="12"/>
      <c r="B724" s="12"/>
      <c r="C724" s="12"/>
      <c r="D724" s="12"/>
      <c r="E724" s="12"/>
      <c r="F724" s="12"/>
      <c r="G724" s="12"/>
      <c r="H724" s="12"/>
      <c r="I724" s="12"/>
      <c r="J724" s="12"/>
      <c r="K724" s="12"/>
      <c r="L724" s="12"/>
      <c r="M724" s="12"/>
      <c r="N724" s="12"/>
    </row>
    <row r="725" ht="15.75" customHeight="1">
      <c r="A725" s="12"/>
      <c r="B725" s="12"/>
      <c r="C725" s="12"/>
      <c r="D725" s="12"/>
      <c r="E725" s="12"/>
      <c r="F725" s="12"/>
      <c r="G725" s="12"/>
      <c r="H725" s="12"/>
      <c r="I725" s="12"/>
      <c r="J725" s="12"/>
      <c r="K725" s="12"/>
      <c r="L725" s="12"/>
      <c r="M725" s="12"/>
      <c r="N725" s="12"/>
    </row>
    <row r="726" ht="15.75" customHeight="1">
      <c r="A726" s="12"/>
      <c r="B726" s="12"/>
      <c r="C726" s="12"/>
      <c r="D726" s="12"/>
      <c r="E726" s="12"/>
      <c r="F726" s="12"/>
      <c r="G726" s="12"/>
      <c r="H726" s="12"/>
      <c r="I726" s="12"/>
      <c r="J726" s="12"/>
      <c r="K726" s="12"/>
      <c r="L726" s="12"/>
      <c r="M726" s="12"/>
      <c r="N726" s="12"/>
    </row>
    <row r="727" ht="15.75" customHeight="1">
      <c r="A727" s="12"/>
      <c r="B727" s="12"/>
      <c r="C727" s="12"/>
      <c r="D727" s="12"/>
      <c r="E727" s="12"/>
      <c r="F727" s="12"/>
      <c r="G727" s="12"/>
      <c r="H727" s="12"/>
      <c r="I727" s="12"/>
      <c r="J727" s="12"/>
      <c r="K727" s="12"/>
      <c r="L727" s="12"/>
      <c r="M727" s="12"/>
      <c r="N727" s="12"/>
    </row>
    <row r="728" ht="15.75" customHeight="1">
      <c r="A728" s="12"/>
      <c r="B728" s="12"/>
      <c r="C728" s="12"/>
      <c r="D728" s="12"/>
      <c r="E728" s="12"/>
      <c r="F728" s="12"/>
      <c r="G728" s="12"/>
      <c r="H728" s="12"/>
      <c r="I728" s="12"/>
      <c r="J728" s="12"/>
      <c r="K728" s="12"/>
      <c r="L728" s="12"/>
      <c r="M728" s="12"/>
      <c r="N728" s="12"/>
    </row>
    <row r="729" ht="15.75" customHeight="1">
      <c r="A729" s="12"/>
      <c r="B729" s="12"/>
      <c r="C729" s="12"/>
      <c r="D729" s="12"/>
      <c r="E729" s="12"/>
      <c r="F729" s="12"/>
      <c r="G729" s="12"/>
      <c r="H729" s="12"/>
      <c r="I729" s="12"/>
      <c r="J729" s="12"/>
      <c r="K729" s="12"/>
      <c r="L729" s="12"/>
      <c r="M729" s="12"/>
      <c r="N729" s="12"/>
    </row>
    <row r="730" ht="15.75" customHeight="1">
      <c r="A730" s="12"/>
      <c r="B730" s="12"/>
      <c r="C730" s="12"/>
      <c r="D730" s="12"/>
      <c r="E730" s="12"/>
      <c r="F730" s="12"/>
      <c r="G730" s="12"/>
      <c r="H730" s="12"/>
      <c r="I730" s="12"/>
      <c r="J730" s="12"/>
      <c r="K730" s="12"/>
      <c r="L730" s="12"/>
      <c r="M730" s="12"/>
      <c r="N730" s="12"/>
    </row>
    <row r="731" ht="15.75" customHeight="1">
      <c r="A731" s="12"/>
      <c r="B731" s="12"/>
      <c r="C731" s="12"/>
      <c r="D731" s="12"/>
      <c r="E731" s="12"/>
      <c r="F731" s="12"/>
      <c r="G731" s="12"/>
      <c r="H731" s="12"/>
      <c r="I731" s="12"/>
      <c r="J731" s="12"/>
      <c r="K731" s="12"/>
      <c r="L731" s="12"/>
      <c r="M731" s="12"/>
      <c r="N731" s="12"/>
    </row>
    <row r="732" ht="15.75" customHeight="1">
      <c r="A732" s="12"/>
      <c r="B732" s="12"/>
      <c r="C732" s="12"/>
      <c r="D732" s="12"/>
      <c r="E732" s="12"/>
      <c r="F732" s="12"/>
      <c r="G732" s="12"/>
      <c r="H732" s="12"/>
      <c r="I732" s="12"/>
      <c r="J732" s="12"/>
      <c r="K732" s="12"/>
      <c r="L732" s="12"/>
      <c r="M732" s="12"/>
      <c r="N732" s="12"/>
    </row>
    <row r="733" ht="15.75" customHeight="1">
      <c r="A733" s="12"/>
      <c r="B733" s="12"/>
      <c r="C733" s="12"/>
      <c r="D733" s="12"/>
      <c r="E733" s="12"/>
      <c r="F733" s="12"/>
      <c r="G733" s="12"/>
      <c r="H733" s="12"/>
      <c r="I733" s="12"/>
      <c r="J733" s="12"/>
      <c r="K733" s="12"/>
      <c r="L733" s="12"/>
      <c r="M733" s="12"/>
      <c r="N733" s="12"/>
    </row>
    <row r="734" ht="15.75" customHeight="1">
      <c r="A734" s="12"/>
      <c r="B734" s="12"/>
      <c r="C734" s="12"/>
      <c r="D734" s="12"/>
      <c r="E734" s="12"/>
      <c r="F734" s="12"/>
      <c r="G734" s="12"/>
      <c r="H734" s="12"/>
      <c r="I734" s="12"/>
      <c r="J734" s="12"/>
      <c r="K734" s="12"/>
      <c r="L734" s="12"/>
      <c r="M734" s="12"/>
      <c r="N734" s="12"/>
    </row>
    <row r="735" ht="15.75" customHeight="1">
      <c r="A735" s="12"/>
      <c r="B735" s="12"/>
      <c r="C735" s="12"/>
      <c r="D735" s="12"/>
      <c r="E735" s="12"/>
      <c r="F735" s="12"/>
      <c r="G735" s="12"/>
      <c r="H735" s="12"/>
      <c r="I735" s="12"/>
      <c r="J735" s="12"/>
      <c r="K735" s="12"/>
      <c r="L735" s="12"/>
      <c r="M735" s="12"/>
      <c r="N735" s="12"/>
    </row>
    <row r="736" ht="15.75" customHeight="1">
      <c r="A736" s="12"/>
      <c r="B736" s="12"/>
      <c r="C736" s="12"/>
      <c r="D736" s="12"/>
      <c r="E736" s="12"/>
      <c r="F736" s="12"/>
      <c r="G736" s="12"/>
      <c r="H736" s="12"/>
      <c r="I736" s="12"/>
      <c r="J736" s="12"/>
      <c r="K736" s="12"/>
      <c r="L736" s="12"/>
      <c r="M736" s="12"/>
      <c r="N736" s="12"/>
    </row>
    <row r="737" ht="15.75" customHeight="1">
      <c r="A737" s="12"/>
      <c r="B737" s="12"/>
      <c r="C737" s="12"/>
      <c r="D737" s="12"/>
      <c r="E737" s="12"/>
      <c r="F737" s="12"/>
      <c r="G737" s="12"/>
      <c r="H737" s="12"/>
      <c r="I737" s="12"/>
      <c r="J737" s="12"/>
      <c r="K737" s="12"/>
      <c r="L737" s="12"/>
      <c r="M737" s="12"/>
      <c r="N737" s="12"/>
    </row>
    <row r="738" ht="15.75" customHeight="1">
      <c r="A738" s="12"/>
      <c r="B738" s="12"/>
      <c r="C738" s="12"/>
      <c r="D738" s="12"/>
      <c r="E738" s="12"/>
      <c r="F738" s="12"/>
      <c r="G738" s="12"/>
      <c r="H738" s="12"/>
      <c r="I738" s="12"/>
      <c r="J738" s="12"/>
      <c r="K738" s="12"/>
      <c r="L738" s="12"/>
      <c r="M738" s="12"/>
      <c r="N738" s="12"/>
    </row>
    <row r="739" ht="15.75" customHeight="1">
      <c r="A739" s="12"/>
      <c r="B739" s="12"/>
      <c r="C739" s="12"/>
      <c r="D739" s="12"/>
      <c r="E739" s="12"/>
      <c r="F739" s="12"/>
      <c r="G739" s="12"/>
      <c r="H739" s="12"/>
      <c r="I739" s="12"/>
      <c r="J739" s="12"/>
      <c r="K739" s="12"/>
      <c r="L739" s="12"/>
      <c r="M739" s="12"/>
      <c r="N739" s="12"/>
    </row>
    <row r="740" ht="15.75" customHeight="1">
      <c r="A740" s="12"/>
      <c r="B740" s="12"/>
      <c r="C740" s="12"/>
      <c r="D740" s="12"/>
      <c r="E740" s="12"/>
      <c r="F740" s="12"/>
      <c r="G740" s="12"/>
      <c r="H740" s="12"/>
      <c r="I740" s="12"/>
      <c r="J740" s="12"/>
      <c r="K740" s="12"/>
      <c r="L740" s="12"/>
      <c r="M740" s="12"/>
      <c r="N740" s="12"/>
    </row>
    <row r="741" ht="15.75" customHeight="1">
      <c r="A741" s="12"/>
      <c r="B741" s="12"/>
      <c r="C741" s="12"/>
      <c r="D741" s="12"/>
      <c r="E741" s="12"/>
      <c r="F741" s="12"/>
      <c r="G741" s="12"/>
      <c r="H741" s="12"/>
      <c r="I741" s="12"/>
      <c r="J741" s="12"/>
      <c r="K741" s="12"/>
      <c r="L741" s="12"/>
      <c r="M741" s="12"/>
      <c r="N741" s="12"/>
    </row>
    <row r="742" ht="15.75" customHeight="1">
      <c r="A742" s="12"/>
      <c r="B742" s="12"/>
      <c r="C742" s="12"/>
      <c r="D742" s="12"/>
      <c r="E742" s="12"/>
      <c r="F742" s="12"/>
      <c r="G742" s="12"/>
      <c r="H742" s="12"/>
      <c r="I742" s="12"/>
      <c r="J742" s="12"/>
      <c r="K742" s="12"/>
      <c r="L742" s="12"/>
      <c r="M742" s="12"/>
      <c r="N742" s="12"/>
    </row>
    <row r="743" ht="15.75" customHeight="1">
      <c r="A743" s="12"/>
      <c r="B743" s="12"/>
      <c r="C743" s="12"/>
      <c r="D743" s="12"/>
      <c r="E743" s="12"/>
      <c r="F743" s="12"/>
      <c r="G743" s="12"/>
      <c r="H743" s="12"/>
      <c r="I743" s="12"/>
      <c r="J743" s="12"/>
      <c r="K743" s="12"/>
      <c r="L743" s="12"/>
      <c r="M743" s="12"/>
      <c r="N743" s="12"/>
    </row>
    <row r="744" ht="15.75" customHeight="1">
      <c r="A744" s="12"/>
      <c r="B744" s="12"/>
      <c r="C744" s="12"/>
      <c r="D744" s="12"/>
      <c r="E744" s="12"/>
      <c r="F744" s="12"/>
      <c r="G744" s="12"/>
      <c r="H744" s="12"/>
      <c r="I744" s="12"/>
      <c r="J744" s="12"/>
      <c r="K744" s="12"/>
      <c r="L744" s="12"/>
      <c r="M744" s="12"/>
      <c r="N744" s="12"/>
    </row>
    <row r="745" ht="15.75" customHeight="1">
      <c r="A745" s="12"/>
      <c r="B745" s="12"/>
      <c r="C745" s="12"/>
      <c r="D745" s="12"/>
      <c r="E745" s="12"/>
      <c r="F745" s="12"/>
      <c r="G745" s="12"/>
      <c r="H745" s="12"/>
      <c r="I745" s="12"/>
      <c r="J745" s="12"/>
      <c r="K745" s="12"/>
      <c r="L745" s="12"/>
      <c r="M745" s="12"/>
      <c r="N745" s="12"/>
    </row>
    <row r="746" ht="15.75" customHeight="1">
      <c r="A746" s="12"/>
      <c r="B746" s="12"/>
      <c r="C746" s="12"/>
      <c r="D746" s="12"/>
      <c r="E746" s="12"/>
      <c r="F746" s="12"/>
      <c r="G746" s="12"/>
      <c r="H746" s="12"/>
      <c r="I746" s="12"/>
      <c r="J746" s="12"/>
      <c r="K746" s="12"/>
      <c r="L746" s="12"/>
      <c r="M746" s="12"/>
      <c r="N746" s="12"/>
    </row>
    <row r="747" ht="15.75" customHeight="1">
      <c r="A747" s="12"/>
      <c r="B747" s="12"/>
      <c r="C747" s="12"/>
      <c r="D747" s="12"/>
      <c r="E747" s="12"/>
      <c r="F747" s="12"/>
      <c r="G747" s="12"/>
      <c r="H747" s="12"/>
      <c r="I747" s="12"/>
      <c r="J747" s="12"/>
      <c r="K747" s="12"/>
      <c r="L747" s="12"/>
      <c r="M747" s="12"/>
      <c r="N747" s="12"/>
    </row>
    <row r="748" ht="15.75" customHeight="1">
      <c r="A748" s="12"/>
      <c r="B748" s="12"/>
      <c r="C748" s="12"/>
      <c r="D748" s="12"/>
      <c r="E748" s="12"/>
      <c r="F748" s="12"/>
      <c r="G748" s="12"/>
      <c r="H748" s="12"/>
      <c r="I748" s="12"/>
      <c r="J748" s="12"/>
      <c r="K748" s="12"/>
      <c r="L748" s="12"/>
      <c r="M748" s="12"/>
      <c r="N748" s="12"/>
    </row>
    <row r="749" ht="15.75" customHeight="1">
      <c r="A749" s="12"/>
      <c r="B749" s="12"/>
      <c r="C749" s="12"/>
      <c r="D749" s="12"/>
      <c r="E749" s="12"/>
      <c r="F749" s="12"/>
      <c r="G749" s="12"/>
      <c r="H749" s="12"/>
      <c r="I749" s="12"/>
      <c r="J749" s="12"/>
      <c r="K749" s="12"/>
      <c r="L749" s="12"/>
      <c r="M749" s="12"/>
      <c r="N749" s="12"/>
    </row>
    <row r="750" ht="15.75" customHeight="1">
      <c r="A750" s="12"/>
      <c r="B750" s="12"/>
      <c r="C750" s="12"/>
      <c r="D750" s="12"/>
      <c r="E750" s="12"/>
      <c r="F750" s="12"/>
      <c r="G750" s="12"/>
      <c r="H750" s="12"/>
      <c r="I750" s="12"/>
      <c r="J750" s="12"/>
      <c r="K750" s="12"/>
      <c r="L750" s="12"/>
      <c r="M750" s="12"/>
      <c r="N750" s="12"/>
    </row>
    <row r="751" ht="15.75" customHeight="1">
      <c r="A751" s="12"/>
      <c r="B751" s="12"/>
      <c r="C751" s="12"/>
      <c r="D751" s="12"/>
      <c r="E751" s="12"/>
      <c r="F751" s="12"/>
      <c r="G751" s="12"/>
      <c r="H751" s="12"/>
      <c r="I751" s="12"/>
      <c r="J751" s="12"/>
      <c r="K751" s="12"/>
      <c r="L751" s="12"/>
      <c r="M751" s="12"/>
      <c r="N751" s="12"/>
    </row>
    <row r="752" ht="15.75" customHeight="1">
      <c r="A752" s="12"/>
      <c r="B752" s="12"/>
      <c r="C752" s="12"/>
      <c r="D752" s="12"/>
      <c r="E752" s="12"/>
      <c r="F752" s="12"/>
      <c r="G752" s="12"/>
      <c r="H752" s="12"/>
      <c r="I752" s="12"/>
      <c r="J752" s="12"/>
      <c r="K752" s="12"/>
      <c r="L752" s="12"/>
      <c r="M752" s="12"/>
      <c r="N752" s="12"/>
    </row>
    <row r="753" ht="15.75" customHeight="1">
      <c r="A753" s="12"/>
      <c r="B753" s="12"/>
      <c r="C753" s="12"/>
      <c r="D753" s="12"/>
      <c r="E753" s="12"/>
      <c r="F753" s="12"/>
      <c r="G753" s="12"/>
      <c r="H753" s="12"/>
      <c r="I753" s="12"/>
      <c r="J753" s="12"/>
      <c r="K753" s="12"/>
      <c r="L753" s="12"/>
      <c r="M753" s="12"/>
      <c r="N753" s="12"/>
    </row>
    <row r="754" ht="15.75" customHeight="1">
      <c r="A754" s="12"/>
      <c r="B754" s="12"/>
      <c r="C754" s="12"/>
      <c r="D754" s="12"/>
      <c r="E754" s="12"/>
      <c r="F754" s="12"/>
      <c r="G754" s="12"/>
      <c r="H754" s="12"/>
      <c r="I754" s="12"/>
      <c r="J754" s="12"/>
      <c r="K754" s="12"/>
      <c r="L754" s="12"/>
      <c r="M754" s="12"/>
      <c r="N754" s="12"/>
    </row>
    <row r="755" ht="15.75" customHeight="1">
      <c r="A755" s="12"/>
      <c r="B755" s="12"/>
      <c r="C755" s="12"/>
      <c r="D755" s="12"/>
      <c r="E755" s="12"/>
      <c r="F755" s="12"/>
      <c r="G755" s="12"/>
      <c r="H755" s="12"/>
      <c r="I755" s="12"/>
      <c r="J755" s="12"/>
      <c r="K755" s="12"/>
      <c r="L755" s="12"/>
      <c r="M755" s="12"/>
      <c r="N755" s="12"/>
    </row>
    <row r="756" ht="15.75" customHeight="1">
      <c r="A756" s="12"/>
      <c r="B756" s="12"/>
      <c r="C756" s="12"/>
      <c r="D756" s="12"/>
      <c r="E756" s="12"/>
      <c r="F756" s="12"/>
      <c r="G756" s="12"/>
      <c r="H756" s="12"/>
      <c r="I756" s="12"/>
      <c r="J756" s="12"/>
      <c r="K756" s="12"/>
      <c r="L756" s="12"/>
      <c r="M756" s="12"/>
      <c r="N756" s="12"/>
    </row>
    <row r="757" ht="15.75" customHeight="1">
      <c r="A757" s="12"/>
      <c r="B757" s="12"/>
      <c r="C757" s="12"/>
      <c r="D757" s="12"/>
      <c r="E757" s="12"/>
      <c r="F757" s="12"/>
      <c r="G757" s="12"/>
      <c r="H757" s="12"/>
      <c r="I757" s="12"/>
      <c r="J757" s="12"/>
      <c r="K757" s="12"/>
      <c r="L757" s="12"/>
      <c r="M757" s="12"/>
      <c r="N757" s="12"/>
    </row>
    <row r="758" ht="15.75" customHeight="1">
      <c r="A758" s="12"/>
      <c r="B758" s="12"/>
      <c r="C758" s="12"/>
      <c r="D758" s="12"/>
      <c r="E758" s="12"/>
      <c r="F758" s="12"/>
      <c r="G758" s="12"/>
      <c r="H758" s="12"/>
      <c r="I758" s="12"/>
      <c r="J758" s="12"/>
      <c r="K758" s="12"/>
      <c r="L758" s="12"/>
      <c r="M758" s="12"/>
      <c r="N758" s="12"/>
    </row>
    <row r="759" ht="15.75" customHeight="1">
      <c r="A759" s="12"/>
      <c r="B759" s="12"/>
      <c r="C759" s="12"/>
      <c r="D759" s="12"/>
      <c r="E759" s="12"/>
      <c r="F759" s="12"/>
      <c r="G759" s="12"/>
      <c r="H759" s="12"/>
      <c r="I759" s="12"/>
      <c r="J759" s="12"/>
      <c r="K759" s="12"/>
      <c r="L759" s="12"/>
      <c r="M759" s="12"/>
      <c r="N759" s="12"/>
    </row>
    <row r="760" ht="15.75" customHeight="1">
      <c r="A760" s="12"/>
      <c r="B760" s="12"/>
      <c r="C760" s="12"/>
      <c r="D760" s="12"/>
      <c r="E760" s="12"/>
      <c r="F760" s="12"/>
      <c r="G760" s="12"/>
      <c r="H760" s="12"/>
      <c r="I760" s="12"/>
      <c r="J760" s="12"/>
      <c r="K760" s="12"/>
      <c r="L760" s="12"/>
      <c r="M760" s="12"/>
      <c r="N760" s="12"/>
    </row>
    <row r="761" ht="15.75" customHeight="1">
      <c r="A761" s="12"/>
      <c r="B761" s="12"/>
      <c r="C761" s="12"/>
      <c r="D761" s="12"/>
      <c r="E761" s="12"/>
      <c r="F761" s="12"/>
      <c r="G761" s="12"/>
      <c r="H761" s="12"/>
      <c r="I761" s="12"/>
      <c r="J761" s="12"/>
      <c r="K761" s="12"/>
      <c r="L761" s="12"/>
      <c r="M761" s="12"/>
      <c r="N761" s="12"/>
    </row>
    <row r="762" ht="15.75" customHeight="1">
      <c r="A762" s="12"/>
      <c r="B762" s="12"/>
      <c r="C762" s="12"/>
      <c r="D762" s="12"/>
      <c r="E762" s="12"/>
      <c r="F762" s="12"/>
      <c r="G762" s="12"/>
      <c r="H762" s="12"/>
      <c r="I762" s="12"/>
      <c r="J762" s="12"/>
      <c r="K762" s="12"/>
      <c r="L762" s="12"/>
      <c r="M762" s="12"/>
      <c r="N762" s="12"/>
    </row>
    <row r="763" ht="15.75" customHeight="1">
      <c r="A763" s="12"/>
      <c r="B763" s="12"/>
      <c r="C763" s="12"/>
      <c r="D763" s="12"/>
      <c r="E763" s="12"/>
      <c r="F763" s="12"/>
      <c r="G763" s="12"/>
      <c r="H763" s="12"/>
      <c r="I763" s="12"/>
      <c r="J763" s="12"/>
      <c r="K763" s="12"/>
      <c r="L763" s="12"/>
      <c r="M763" s="12"/>
      <c r="N763" s="12"/>
    </row>
    <row r="764" ht="15.75" customHeight="1">
      <c r="A764" s="12"/>
      <c r="B764" s="12"/>
      <c r="C764" s="12"/>
      <c r="D764" s="12"/>
      <c r="E764" s="12"/>
      <c r="F764" s="12"/>
      <c r="G764" s="12"/>
      <c r="H764" s="12"/>
      <c r="I764" s="12"/>
      <c r="J764" s="12"/>
      <c r="K764" s="12"/>
      <c r="L764" s="12"/>
      <c r="M764" s="12"/>
      <c r="N764" s="12"/>
    </row>
    <row r="765" ht="15.75" customHeight="1">
      <c r="A765" s="12"/>
      <c r="B765" s="12"/>
      <c r="C765" s="12"/>
      <c r="D765" s="12"/>
      <c r="E765" s="12"/>
      <c r="F765" s="12"/>
      <c r="G765" s="12"/>
      <c r="H765" s="12"/>
      <c r="I765" s="12"/>
      <c r="J765" s="12"/>
      <c r="K765" s="12"/>
      <c r="L765" s="12"/>
      <c r="M765" s="12"/>
      <c r="N765" s="12"/>
    </row>
    <row r="766" ht="15.75" customHeight="1">
      <c r="A766" s="12"/>
      <c r="B766" s="12"/>
      <c r="C766" s="12"/>
      <c r="D766" s="12"/>
      <c r="E766" s="12"/>
      <c r="F766" s="12"/>
      <c r="G766" s="12"/>
      <c r="H766" s="12"/>
      <c r="I766" s="12"/>
      <c r="J766" s="12"/>
      <c r="K766" s="12"/>
      <c r="L766" s="12"/>
      <c r="M766" s="12"/>
      <c r="N766" s="12"/>
    </row>
    <row r="767" ht="15.75" customHeight="1">
      <c r="A767" s="12"/>
      <c r="B767" s="12"/>
      <c r="C767" s="12"/>
      <c r="D767" s="12"/>
      <c r="E767" s="12"/>
      <c r="F767" s="12"/>
      <c r="G767" s="12"/>
      <c r="H767" s="12"/>
      <c r="I767" s="12"/>
      <c r="J767" s="12"/>
      <c r="K767" s="12"/>
      <c r="L767" s="12"/>
      <c r="M767" s="12"/>
      <c r="N767" s="12"/>
    </row>
    <row r="768" ht="15.75" customHeight="1">
      <c r="A768" s="12"/>
      <c r="B768" s="12"/>
      <c r="C768" s="12"/>
      <c r="D768" s="12"/>
      <c r="E768" s="12"/>
      <c r="F768" s="12"/>
      <c r="G768" s="12"/>
      <c r="H768" s="12"/>
      <c r="I768" s="12"/>
      <c r="J768" s="12"/>
      <c r="K768" s="12"/>
      <c r="L768" s="12"/>
      <c r="M768" s="12"/>
      <c r="N768" s="12"/>
    </row>
    <row r="769" ht="15.75" customHeight="1">
      <c r="A769" s="12"/>
      <c r="B769" s="12"/>
      <c r="C769" s="12"/>
      <c r="D769" s="12"/>
      <c r="E769" s="12"/>
      <c r="F769" s="12"/>
      <c r="G769" s="12"/>
      <c r="H769" s="12"/>
      <c r="I769" s="12"/>
      <c r="J769" s="12"/>
      <c r="K769" s="12"/>
      <c r="L769" s="12"/>
      <c r="M769" s="12"/>
      <c r="N769" s="12"/>
    </row>
    <row r="770" ht="15.75" customHeight="1">
      <c r="A770" s="12"/>
      <c r="B770" s="12"/>
      <c r="C770" s="12"/>
      <c r="D770" s="12"/>
      <c r="E770" s="12"/>
      <c r="F770" s="12"/>
      <c r="G770" s="12"/>
      <c r="H770" s="12"/>
      <c r="I770" s="12"/>
      <c r="J770" s="12"/>
      <c r="K770" s="12"/>
      <c r="L770" s="12"/>
      <c r="M770" s="12"/>
      <c r="N770" s="12"/>
    </row>
    <row r="771" ht="15.75" customHeight="1">
      <c r="A771" s="12"/>
      <c r="B771" s="12"/>
      <c r="C771" s="12"/>
      <c r="D771" s="12"/>
      <c r="E771" s="12"/>
      <c r="F771" s="12"/>
      <c r="G771" s="12"/>
      <c r="H771" s="12"/>
      <c r="I771" s="12"/>
      <c r="J771" s="12"/>
      <c r="K771" s="12"/>
      <c r="L771" s="12"/>
      <c r="M771" s="12"/>
      <c r="N771" s="12"/>
    </row>
    <row r="772" ht="15.75" customHeight="1">
      <c r="A772" s="12"/>
      <c r="B772" s="12"/>
      <c r="C772" s="12"/>
      <c r="D772" s="12"/>
      <c r="E772" s="12"/>
      <c r="F772" s="12"/>
      <c r="G772" s="12"/>
      <c r="H772" s="12"/>
      <c r="I772" s="12"/>
      <c r="J772" s="12"/>
      <c r="K772" s="12"/>
      <c r="L772" s="12"/>
      <c r="M772" s="12"/>
      <c r="N772" s="12"/>
    </row>
    <row r="773" ht="15.75" customHeight="1">
      <c r="A773" s="12"/>
      <c r="B773" s="12"/>
      <c r="C773" s="12"/>
      <c r="D773" s="12"/>
      <c r="E773" s="12"/>
      <c r="F773" s="12"/>
      <c r="G773" s="12"/>
      <c r="H773" s="12"/>
      <c r="I773" s="12"/>
      <c r="J773" s="12"/>
      <c r="K773" s="12"/>
      <c r="L773" s="12"/>
      <c r="M773" s="12"/>
      <c r="N773" s="12"/>
    </row>
    <row r="774" ht="15.75" customHeight="1">
      <c r="A774" s="12"/>
      <c r="B774" s="12"/>
      <c r="C774" s="12"/>
      <c r="D774" s="12"/>
      <c r="E774" s="12"/>
      <c r="F774" s="12"/>
      <c r="G774" s="12"/>
      <c r="H774" s="12"/>
      <c r="I774" s="12"/>
      <c r="J774" s="12"/>
      <c r="K774" s="12"/>
      <c r="L774" s="12"/>
      <c r="M774" s="12"/>
      <c r="N774" s="12"/>
    </row>
    <row r="775" ht="15.75" customHeight="1">
      <c r="A775" s="12"/>
      <c r="B775" s="12"/>
      <c r="C775" s="12"/>
      <c r="D775" s="12"/>
      <c r="E775" s="12"/>
      <c r="F775" s="12"/>
      <c r="G775" s="12"/>
      <c r="H775" s="12"/>
      <c r="I775" s="12"/>
      <c r="J775" s="12"/>
      <c r="K775" s="12"/>
      <c r="L775" s="12"/>
      <c r="M775" s="12"/>
      <c r="N775" s="12"/>
    </row>
    <row r="776" ht="15.75" customHeight="1">
      <c r="A776" s="12"/>
      <c r="B776" s="12"/>
      <c r="C776" s="12"/>
      <c r="D776" s="12"/>
      <c r="E776" s="12"/>
      <c r="F776" s="12"/>
      <c r="G776" s="12"/>
      <c r="H776" s="12"/>
      <c r="I776" s="12"/>
      <c r="J776" s="12"/>
      <c r="K776" s="12"/>
      <c r="L776" s="12"/>
      <c r="M776" s="12"/>
      <c r="N776" s="12"/>
    </row>
    <row r="777" ht="15.75" customHeight="1">
      <c r="A777" s="12"/>
      <c r="B777" s="12"/>
      <c r="C777" s="12"/>
      <c r="D777" s="12"/>
      <c r="E777" s="12"/>
      <c r="F777" s="12"/>
      <c r="G777" s="12"/>
      <c r="H777" s="12"/>
      <c r="I777" s="12"/>
      <c r="J777" s="12"/>
      <c r="K777" s="12"/>
      <c r="L777" s="12"/>
      <c r="M777" s="12"/>
      <c r="N777" s="12"/>
    </row>
    <row r="778" ht="15.75" customHeight="1">
      <c r="A778" s="12"/>
      <c r="B778" s="12"/>
      <c r="C778" s="12"/>
      <c r="D778" s="12"/>
      <c r="E778" s="12"/>
      <c r="F778" s="12"/>
      <c r="G778" s="12"/>
      <c r="H778" s="12"/>
      <c r="I778" s="12"/>
      <c r="J778" s="12"/>
      <c r="K778" s="12"/>
      <c r="L778" s="12"/>
      <c r="M778" s="12"/>
      <c r="N778" s="12"/>
    </row>
    <row r="779" ht="15.75" customHeight="1">
      <c r="A779" s="12"/>
      <c r="B779" s="12"/>
      <c r="C779" s="12"/>
      <c r="D779" s="12"/>
      <c r="E779" s="12"/>
      <c r="F779" s="12"/>
      <c r="G779" s="12"/>
      <c r="H779" s="12"/>
      <c r="I779" s="12"/>
      <c r="J779" s="12"/>
      <c r="K779" s="12"/>
      <c r="L779" s="12"/>
      <c r="M779" s="12"/>
      <c r="N779" s="12"/>
    </row>
    <row r="780" ht="15.75" customHeight="1">
      <c r="A780" s="12"/>
      <c r="B780" s="12"/>
      <c r="C780" s="12"/>
      <c r="D780" s="12"/>
      <c r="E780" s="12"/>
      <c r="F780" s="12"/>
      <c r="G780" s="12"/>
      <c r="H780" s="12"/>
      <c r="I780" s="12"/>
      <c r="J780" s="12"/>
      <c r="K780" s="12"/>
      <c r="L780" s="12"/>
      <c r="M780" s="12"/>
      <c r="N780" s="12"/>
    </row>
    <row r="781" ht="15.75" customHeight="1">
      <c r="A781" s="12"/>
      <c r="B781" s="12"/>
      <c r="C781" s="12"/>
      <c r="D781" s="12"/>
      <c r="E781" s="12"/>
      <c r="F781" s="12"/>
      <c r="G781" s="12"/>
      <c r="H781" s="12"/>
      <c r="I781" s="12"/>
      <c r="J781" s="12"/>
      <c r="K781" s="12"/>
      <c r="L781" s="12"/>
      <c r="M781" s="12"/>
      <c r="N781" s="12"/>
    </row>
    <row r="782" ht="15.75" customHeight="1">
      <c r="A782" s="12"/>
      <c r="B782" s="12"/>
      <c r="C782" s="12"/>
      <c r="D782" s="12"/>
      <c r="E782" s="12"/>
      <c r="F782" s="12"/>
      <c r="G782" s="12"/>
      <c r="H782" s="12"/>
      <c r="I782" s="12"/>
      <c r="J782" s="12"/>
      <c r="K782" s="12"/>
      <c r="L782" s="12"/>
      <c r="M782" s="12"/>
      <c r="N782" s="12"/>
    </row>
    <row r="783" ht="15.75" customHeight="1">
      <c r="A783" s="12"/>
      <c r="B783" s="12"/>
      <c r="C783" s="12"/>
      <c r="D783" s="12"/>
      <c r="E783" s="12"/>
      <c r="F783" s="12"/>
      <c r="G783" s="12"/>
      <c r="H783" s="12"/>
      <c r="I783" s="12"/>
      <c r="J783" s="12"/>
      <c r="K783" s="12"/>
      <c r="L783" s="12"/>
      <c r="M783" s="12"/>
      <c r="N783" s="12"/>
    </row>
    <row r="784" ht="15.75" customHeight="1">
      <c r="A784" s="12"/>
      <c r="B784" s="12"/>
      <c r="C784" s="12"/>
      <c r="D784" s="12"/>
      <c r="E784" s="12"/>
      <c r="F784" s="12"/>
      <c r="G784" s="12"/>
      <c r="H784" s="12"/>
      <c r="I784" s="12"/>
      <c r="J784" s="12"/>
      <c r="K784" s="12"/>
      <c r="L784" s="12"/>
      <c r="M784" s="12"/>
      <c r="N784" s="12"/>
    </row>
    <row r="785" ht="15.75" customHeight="1">
      <c r="A785" s="12"/>
      <c r="B785" s="12"/>
      <c r="C785" s="12"/>
      <c r="D785" s="12"/>
      <c r="E785" s="12"/>
      <c r="F785" s="12"/>
      <c r="G785" s="12"/>
      <c r="H785" s="12"/>
      <c r="I785" s="12"/>
      <c r="J785" s="12"/>
      <c r="K785" s="12"/>
      <c r="L785" s="12"/>
      <c r="M785" s="12"/>
      <c r="N785" s="12"/>
    </row>
    <row r="786" ht="15.75" customHeight="1">
      <c r="A786" s="12"/>
      <c r="B786" s="12"/>
      <c r="C786" s="12"/>
      <c r="D786" s="12"/>
      <c r="E786" s="12"/>
      <c r="F786" s="12"/>
      <c r="G786" s="12"/>
      <c r="H786" s="12"/>
      <c r="I786" s="12"/>
      <c r="J786" s="12"/>
      <c r="K786" s="12"/>
      <c r="L786" s="12"/>
      <c r="M786" s="12"/>
      <c r="N786" s="12"/>
    </row>
    <row r="787" ht="15.75" customHeight="1">
      <c r="A787" s="12"/>
      <c r="B787" s="12"/>
      <c r="C787" s="12"/>
      <c r="D787" s="12"/>
      <c r="E787" s="12"/>
      <c r="F787" s="12"/>
      <c r="G787" s="12"/>
      <c r="H787" s="12"/>
      <c r="I787" s="12"/>
      <c r="J787" s="12"/>
      <c r="K787" s="12"/>
      <c r="L787" s="12"/>
      <c r="M787" s="12"/>
      <c r="N787" s="12"/>
    </row>
    <row r="788" ht="15.75" customHeight="1">
      <c r="A788" s="12"/>
      <c r="B788" s="12"/>
      <c r="C788" s="12"/>
      <c r="D788" s="12"/>
      <c r="E788" s="12"/>
      <c r="F788" s="12"/>
      <c r="G788" s="12"/>
      <c r="H788" s="12"/>
      <c r="I788" s="12"/>
      <c r="J788" s="12"/>
      <c r="K788" s="12"/>
      <c r="L788" s="12"/>
      <c r="M788" s="12"/>
      <c r="N788" s="12"/>
    </row>
    <row r="789" ht="15.75" customHeight="1">
      <c r="A789" s="12"/>
      <c r="B789" s="12"/>
      <c r="C789" s="12"/>
      <c r="D789" s="12"/>
      <c r="E789" s="12"/>
      <c r="F789" s="12"/>
      <c r="G789" s="12"/>
      <c r="H789" s="12"/>
      <c r="I789" s="12"/>
      <c r="J789" s="12"/>
      <c r="K789" s="12"/>
      <c r="L789" s="12"/>
      <c r="M789" s="12"/>
      <c r="N789" s="12"/>
    </row>
    <row r="790" ht="15.75" customHeight="1">
      <c r="A790" s="12"/>
      <c r="B790" s="12"/>
      <c r="C790" s="12"/>
      <c r="D790" s="12"/>
      <c r="E790" s="12"/>
      <c r="F790" s="12"/>
      <c r="G790" s="12"/>
      <c r="H790" s="12"/>
      <c r="I790" s="12"/>
      <c r="J790" s="12"/>
      <c r="K790" s="12"/>
      <c r="L790" s="12"/>
      <c r="M790" s="12"/>
      <c r="N790" s="12"/>
    </row>
    <row r="791" ht="15.75" customHeight="1">
      <c r="A791" s="12"/>
      <c r="B791" s="12"/>
      <c r="C791" s="12"/>
      <c r="D791" s="12"/>
      <c r="E791" s="12"/>
      <c r="F791" s="12"/>
      <c r="G791" s="12"/>
      <c r="H791" s="12"/>
      <c r="I791" s="12"/>
      <c r="J791" s="12"/>
      <c r="K791" s="12"/>
      <c r="L791" s="12"/>
      <c r="M791" s="12"/>
      <c r="N791" s="12"/>
    </row>
    <row r="792" ht="15.75" customHeight="1">
      <c r="A792" s="12"/>
      <c r="B792" s="12"/>
      <c r="C792" s="12"/>
      <c r="D792" s="12"/>
      <c r="E792" s="12"/>
      <c r="F792" s="12"/>
      <c r="G792" s="12"/>
      <c r="H792" s="12"/>
      <c r="I792" s="12"/>
      <c r="J792" s="12"/>
      <c r="K792" s="12"/>
      <c r="L792" s="12"/>
      <c r="M792" s="12"/>
      <c r="N792" s="12"/>
    </row>
    <row r="793" ht="15.75" customHeight="1">
      <c r="A793" s="12"/>
      <c r="B793" s="12"/>
      <c r="C793" s="12"/>
      <c r="D793" s="12"/>
      <c r="E793" s="12"/>
      <c r="F793" s="12"/>
      <c r="G793" s="12"/>
      <c r="H793" s="12"/>
      <c r="I793" s="12"/>
      <c r="J793" s="12"/>
      <c r="K793" s="12"/>
      <c r="L793" s="12"/>
      <c r="M793" s="12"/>
      <c r="N793" s="12"/>
    </row>
    <row r="794" ht="15.75" customHeight="1">
      <c r="A794" s="12"/>
      <c r="B794" s="12"/>
      <c r="C794" s="12"/>
      <c r="D794" s="12"/>
      <c r="E794" s="12"/>
      <c r="F794" s="12"/>
      <c r="G794" s="12"/>
      <c r="H794" s="12"/>
      <c r="I794" s="12"/>
      <c r="J794" s="12"/>
      <c r="K794" s="12"/>
      <c r="L794" s="12"/>
      <c r="M794" s="12"/>
      <c r="N794" s="12"/>
    </row>
    <row r="795" ht="15.75" customHeight="1">
      <c r="A795" s="12"/>
      <c r="B795" s="12"/>
      <c r="C795" s="12"/>
      <c r="D795" s="12"/>
      <c r="E795" s="12"/>
      <c r="F795" s="12"/>
      <c r="G795" s="12"/>
      <c r="H795" s="12"/>
      <c r="I795" s="12"/>
      <c r="J795" s="12"/>
      <c r="K795" s="12"/>
      <c r="L795" s="12"/>
      <c r="M795" s="12"/>
      <c r="N795" s="12"/>
    </row>
    <row r="796" ht="15.75" customHeight="1">
      <c r="A796" s="12"/>
      <c r="B796" s="12"/>
      <c r="C796" s="12"/>
      <c r="D796" s="12"/>
      <c r="E796" s="12"/>
      <c r="F796" s="12"/>
      <c r="G796" s="12"/>
      <c r="H796" s="12"/>
      <c r="I796" s="12"/>
      <c r="J796" s="12"/>
      <c r="K796" s="12"/>
      <c r="L796" s="12"/>
      <c r="M796" s="12"/>
      <c r="N796" s="12"/>
    </row>
    <row r="797" ht="15.75" customHeight="1">
      <c r="A797" s="12"/>
      <c r="B797" s="12"/>
      <c r="C797" s="12"/>
      <c r="D797" s="12"/>
      <c r="E797" s="12"/>
      <c r="F797" s="12"/>
      <c r="G797" s="12"/>
      <c r="H797" s="12"/>
      <c r="I797" s="12"/>
      <c r="J797" s="12"/>
      <c r="K797" s="12"/>
      <c r="L797" s="12"/>
      <c r="M797" s="12"/>
      <c r="N797" s="12"/>
    </row>
    <row r="798" ht="15.75" customHeight="1">
      <c r="A798" s="12"/>
      <c r="B798" s="12"/>
      <c r="C798" s="12"/>
      <c r="D798" s="12"/>
      <c r="E798" s="12"/>
      <c r="F798" s="12"/>
      <c r="G798" s="12"/>
      <c r="H798" s="12"/>
      <c r="I798" s="12"/>
      <c r="J798" s="12"/>
      <c r="K798" s="12"/>
      <c r="L798" s="12"/>
      <c r="M798" s="12"/>
      <c r="N798" s="12"/>
    </row>
    <row r="799" ht="15.75" customHeight="1">
      <c r="A799" s="12"/>
      <c r="B799" s="12"/>
      <c r="C799" s="12"/>
      <c r="D799" s="12"/>
      <c r="E799" s="12"/>
      <c r="F799" s="12"/>
      <c r="G799" s="12"/>
      <c r="H799" s="12"/>
      <c r="I799" s="12"/>
      <c r="J799" s="12"/>
      <c r="K799" s="12"/>
      <c r="L799" s="12"/>
      <c r="M799" s="12"/>
      <c r="N799" s="12"/>
    </row>
    <row r="800" ht="15.75" customHeight="1">
      <c r="A800" s="12"/>
      <c r="B800" s="12"/>
      <c r="C800" s="12"/>
      <c r="D800" s="12"/>
      <c r="E800" s="12"/>
      <c r="F800" s="12"/>
      <c r="G800" s="12"/>
      <c r="H800" s="12"/>
      <c r="I800" s="12"/>
      <c r="J800" s="12"/>
      <c r="K800" s="12"/>
      <c r="L800" s="12"/>
      <c r="M800" s="12"/>
      <c r="N800" s="12"/>
    </row>
    <row r="801" ht="15.75" customHeight="1">
      <c r="A801" s="12"/>
      <c r="B801" s="12"/>
      <c r="C801" s="12"/>
      <c r="D801" s="12"/>
      <c r="E801" s="12"/>
      <c r="F801" s="12"/>
      <c r="G801" s="12"/>
      <c r="H801" s="12"/>
      <c r="I801" s="12"/>
      <c r="J801" s="12"/>
      <c r="K801" s="12"/>
      <c r="L801" s="12"/>
      <c r="M801" s="12"/>
      <c r="N801" s="12"/>
    </row>
    <row r="802" ht="15.75" customHeight="1">
      <c r="A802" s="12"/>
      <c r="B802" s="12"/>
      <c r="C802" s="12"/>
      <c r="D802" s="12"/>
      <c r="E802" s="12"/>
      <c r="F802" s="12"/>
      <c r="G802" s="12"/>
      <c r="H802" s="12"/>
      <c r="I802" s="12"/>
      <c r="J802" s="12"/>
      <c r="K802" s="12"/>
      <c r="L802" s="12"/>
      <c r="M802" s="12"/>
      <c r="N802" s="12"/>
    </row>
    <row r="803" ht="15.75" customHeight="1">
      <c r="A803" s="12"/>
      <c r="B803" s="12"/>
      <c r="C803" s="12"/>
      <c r="D803" s="12"/>
      <c r="E803" s="12"/>
      <c r="F803" s="12"/>
      <c r="G803" s="12"/>
      <c r="H803" s="12"/>
      <c r="I803" s="12"/>
      <c r="J803" s="12"/>
      <c r="K803" s="12"/>
      <c r="L803" s="12"/>
      <c r="M803" s="12"/>
      <c r="N803" s="12"/>
    </row>
    <row r="804" ht="15.75" customHeight="1">
      <c r="A804" s="12"/>
      <c r="B804" s="12"/>
      <c r="C804" s="12"/>
      <c r="D804" s="12"/>
      <c r="E804" s="12"/>
      <c r="F804" s="12"/>
      <c r="G804" s="12"/>
      <c r="H804" s="12"/>
      <c r="I804" s="12"/>
      <c r="J804" s="12"/>
      <c r="K804" s="12"/>
      <c r="L804" s="12"/>
      <c r="M804" s="12"/>
      <c r="N804" s="12"/>
    </row>
    <row r="805" ht="15.75" customHeight="1">
      <c r="A805" s="12"/>
      <c r="B805" s="12"/>
      <c r="C805" s="12"/>
      <c r="D805" s="12"/>
      <c r="E805" s="12"/>
      <c r="F805" s="12"/>
      <c r="G805" s="12"/>
      <c r="H805" s="12"/>
      <c r="I805" s="12"/>
      <c r="J805" s="12"/>
      <c r="K805" s="12"/>
      <c r="L805" s="12"/>
      <c r="M805" s="12"/>
      <c r="N805" s="12"/>
    </row>
    <row r="806" ht="15.75" customHeight="1">
      <c r="A806" s="12"/>
      <c r="B806" s="12"/>
      <c r="C806" s="12"/>
      <c r="D806" s="12"/>
      <c r="E806" s="12"/>
      <c r="F806" s="12"/>
      <c r="G806" s="12"/>
      <c r="H806" s="12"/>
      <c r="I806" s="12"/>
      <c r="J806" s="12"/>
      <c r="K806" s="12"/>
      <c r="L806" s="12"/>
      <c r="M806" s="12"/>
      <c r="N806" s="12"/>
    </row>
    <row r="807" ht="15.75" customHeight="1">
      <c r="A807" s="12"/>
      <c r="B807" s="12"/>
      <c r="C807" s="12"/>
      <c r="D807" s="12"/>
      <c r="E807" s="12"/>
      <c r="F807" s="12"/>
      <c r="G807" s="12"/>
      <c r="H807" s="12"/>
      <c r="I807" s="12"/>
      <c r="J807" s="12"/>
      <c r="K807" s="12"/>
      <c r="L807" s="12"/>
      <c r="M807" s="12"/>
      <c r="N807" s="12"/>
    </row>
    <row r="808" ht="15.75" customHeight="1">
      <c r="A808" s="12"/>
      <c r="B808" s="12"/>
      <c r="C808" s="12"/>
      <c r="D808" s="12"/>
      <c r="E808" s="12"/>
      <c r="F808" s="12"/>
      <c r="G808" s="12"/>
      <c r="H808" s="12"/>
      <c r="I808" s="12"/>
      <c r="J808" s="12"/>
      <c r="K808" s="12"/>
      <c r="L808" s="12"/>
      <c r="M808" s="12"/>
      <c r="N808" s="12"/>
    </row>
    <row r="809" ht="15.75" customHeight="1">
      <c r="A809" s="12"/>
      <c r="B809" s="12"/>
      <c r="C809" s="12"/>
      <c r="D809" s="12"/>
      <c r="E809" s="12"/>
      <c r="F809" s="12"/>
      <c r="G809" s="12"/>
      <c r="H809" s="12"/>
      <c r="I809" s="12"/>
      <c r="J809" s="12"/>
      <c r="K809" s="12"/>
      <c r="L809" s="12"/>
      <c r="M809" s="12"/>
      <c r="N809" s="12"/>
    </row>
    <row r="810" ht="15.75" customHeight="1">
      <c r="A810" s="12"/>
      <c r="B810" s="12"/>
      <c r="C810" s="12"/>
      <c r="D810" s="12"/>
      <c r="E810" s="12"/>
      <c r="F810" s="12"/>
      <c r="G810" s="12"/>
      <c r="H810" s="12"/>
      <c r="I810" s="12"/>
      <c r="J810" s="12"/>
      <c r="K810" s="12"/>
      <c r="L810" s="12"/>
      <c r="M810" s="12"/>
      <c r="N810" s="12"/>
    </row>
    <row r="811" ht="15.75" customHeight="1">
      <c r="A811" s="12"/>
      <c r="B811" s="12"/>
      <c r="C811" s="12"/>
      <c r="D811" s="12"/>
      <c r="E811" s="12"/>
      <c r="F811" s="12"/>
      <c r="G811" s="12"/>
      <c r="H811" s="12"/>
      <c r="I811" s="12"/>
      <c r="J811" s="12"/>
      <c r="K811" s="12"/>
      <c r="L811" s="12"/>
      <c r="M811" s="12"/>
      <c r="N811" s="12"/>
    </row>
    <row r="812" ht="15.75" customHeight="1">
      <c r="A812" s="12"/>
      <c r="B812" s="12"/>
      <c r="C812" s="12"/>
      <c r="D812" s="12"/>
      <c r="E812" s="12"/>
      <c r="F812" s="12"/>
      <c r="G812" s="12"/>
      <c r="H812" s="12"/>
      <c r="I812" s="12"/>
      <c r="J812" s="12"/>
      <c r="K812" s="12"/>
      <c r="L812" s="12"/>
      <c r="M812" s="12"/>
      <c r="N812" s="12"/>
    </row>
    <row r="813" ht="15.75" customHeight="1">
      <c r="A813" s="12"/>
      <c r="B813" s="12"/>
      <c r="C813" s="12"/>
      <c r="D813" s="12"/>
      <c r="E813" s="12"/>
      <c r="F813" s="12"/>
      <c r="G813" s="12"/>
      <c r="H813" s="12"/>
      <c r="I813" s="12"/>
      <c r="J813" s="12"/>
      <c r="K813" s="12"/>
      <c r="L813" s="12"/>
      <c r="M813" s="12"/>
      <c r="N813" s="12"/>
    </row>
    <row r="814" ht="15.75" customHeight="1">
      <c r="A814" s="12"/>
      <c r="B814" s="12"/>
      <c r="C814" s="12"/>
      <c r="D814" s="12"/>
      <c r="E814" s="12"/>
      <c r="F814" s="12"/>
      <c r="G814" s="12"/>
      <c r="H814" s="12"/>
      <c r="I814" s="12"/>
      <c r="J814" s="12"/>
      <c r="K814" s="12"/>
      <c r="L814" s="12"/>
      <c r="M814" s="12"/>
      <c r="N814" s="12"/>
    </row>
    <row r="815" ht="15.75" customHeight="1">
      <c r="A815" s="12"/>
      <c r="B815" s="12"/>
      <c r="C815" s="12"/>
      <c r="D815" s="12"/>
      <c r="E815" s="12"/>
      <c r="F815" s="12"/>
      <c r="G815" s="12"/>
      <c r="H815" s="12"/>
      <c r="I815" s="12"/>
      <c r="J815" s="12"/>
      <c r="K815" s="12"/>
      <c r="L815" s="12"/>
      <c r="M815" s="12"/>
      <c r="N815" s="12"/>
    </row>
    <row r="816" ht="15.75" customHeight="1">
      <c r="A816" s="12"/>
      <c r="B816" s="12"/>
      <c r="C816" s="12"/>
      <c r="D816" s="12"/>
      <c r="E816" s="12"/>
      <c r="F816" s="12"/>
      <c r="G816" s="12"/>
      <c r="H816" s="12"/>
      <c r="I816" s="12"/>
      <c r="J816" s="12"/>
      <c r="K816" s="12"/>
      <c r="L816" s="12"/>
      <c r="M816" s="12"/>
      <c r="N816" s="12"/>
    </row>
    <row r="817" ht="15.75" customHeight="1">
      <c r="A817" s="12"/>
      <c r="B817" s="12"/>
      <c r="C817" s="12"/>
      <c r="D817" s="12"/>
      <c r="E817" s="12"/>
      <c r="F817" s="12"/>
      <c r="G817" s="12"/>
      <c r="H817" s="12"/>
      <c r="I817" s="12"/>
      <c r="J817" s="12"/>
      <c r="K817" s="12"/>
      <c r="L817" s="12"/>
      <c r="M817" s="12"/>
      <c r="N817" s="12"/>
    </row>
    <row r="818" ht="15.75" customHeight="1">
      <c r="A818" s="12"/>
      <c r="B818" s="12"/>
      <c r="C818" s="12"/>
      <c r="D818" s="12"/>
      <c r="E818" s="12"/>
      <c r="F818" s="12"/>
      <c r="G818" s="12"/>
      <c r="H818" s="12"/>
      <c r="I818" s="12"/>
      <c r="J818" s="12"/>
      <c r="K818" s="12"/>
      <c r="L818" s="12"/>
      <c r="M818" s="12"/>
      <c r="N818" s="12"/>
    </row>
    <row r="819" ht="15.75" customHeight="1">
      <c r="A819" s="12"/>
      <c r="B819" s="12"/>
      <c r="C819" s="12"/>
      <c r="D819" s="12"/>
      <c r="E819" s="12"/>
      <c r="F819" s="12"/>
      <c r="G819" s="12"/>
      <c r="H819" s="12"/>
      <c r="I819" s="12"/>
      <c r="J819" s="12"/>
      <c r="K819" s="12"/>
      <c r="L819" s="12"/>
      <c r="M819" s="12"/>
      <c r="N819" s="12"/>
    </row>
    <row r="820" ht="15.75" customHeight="1">
      <c r="A820" s="12"/>
      <c r="B820" s="12"/>
      <c r="C820" s="12"/>
      <c r="D820" s="12"/>
      <c r="E820" s="12"/>
      <c r="F820" s="12"/>
      <c r="G820" s="12"/>
      <c r="H820" s="12"/>
      <c r="I820" s="12"/>
      <c r="J820" s="12"/>
      <c r="K820" s="12"/>
      <c r="L820" s="12"/>
      <c r="M820" s="12"/>
      <c r="N820" s="12"/>
    </row>
    <row r="821" ht="15.75" customHeight="1">
      <c r="A821" s="12"/>
      <c r="B821" s="12"/>
      <c r="C821" s="12"/>
      <c r="D821" s="12"/>
      <c r="E821" s="12"/>
      <c r="F821" s="12"/>
      <c r="G821" s="12"/>
      <c r="H821" s="12"/>
      <c r="I821" s="12"/>
      <c r="J821" s="12"/>
      <c r="K821" s="12"/>
      <c r="L821" s="12"/>
      <c r="M821" s="12"/>
      <c r="N821" s="12"/>
    </row>
    <row r="822" ht="15.75" customHeight="1">
      <c r="A822" s="12"/>
      <c r="B822" s="12"/>
      <c r="C822" s="12"/>
      <c r="D822" s="12"/>
      <c r="E822" s="12"/>
      <c r="F822" s="12"/>
      <c r="G822" s="12"/>
      <c r="H822" s="12"/>
      <c r="I822" s="12"/>
      <c r="J822" s="12"/>
      <c r="K822" s="12"/>
      <c r="L822" s="12"/>
      <c r="M822" s="12"/>
      <c r="N822" s="12"/>
    </row>
    <row r="823" ht="15.75" customHeight="1">
      <c r="A823" s="12"/>
      <c r="B823" s="12"/>
      <c r="C823" s="12"/>
      <c r="D823" s="12"/>
      <c r="E823" s="12"/>
      <c r="F823" s="12"/>
      <c r="G823" s="12"/>
      <c r="H823" s="12"/>
      <c r="I823" s="12"/>
      <c r="J823" s="12"/>
      <c r="K823" s="12"/>
      <c r="L823" s="12"/>
      <c r="M823" s="12"/>
      <c r="N823" s="12"/>
    </row>
    <row r="824" ht="15.75" customHeight="1">
      <c r="A824" s="12"/>
      <c r="B824" s="12"/>
      <c r="C824" s="12"/>
      <c r="D824" s="12"/>
      <c r="E824" s="12"/>
      <c r="F824" s="12"/>
      <c r="G824" s="12"/>
      <c r="H824" s="12"/>
      <c r="I824" s="12"/>
      <c r="J824" s="12"/>
      <c r="K824" s="12"/>
      <c r="L824" s="12"/>
      <c r="M824" s="12"/>
      <c r="N824" s="12"/>
    </row>
    <row r="825" ht="15.75" customHeight="1">
      <c r="A825" s="12"/>
      <c r="B825" s="12"/>
      <c r="C825" s="12"/>
      <c r="D825" s="12"/>
      <c r="E825" s="12"/>
      <c r="F825" s="12"/>
      <c r="G825" s="12"/>
      <c r="H825" s="12"/>
      <c r="I825" s="12"/>
      <c r="J825" s="12"/>
      <c r="K825" s="12"/>
      <c r="L825" s="12"/>
      <c r="M825" s="12"/>
      <c r="N825" s="12"/>
    </row>
    <row r="826" ht="15.75" customHeight="1">
      <c r="A826" s="12"/>
      <c r="B826" s="12"/>
      <c r="C826" s="12"/>
      <c r="D826" s="12"/>
      <c r="E826" s="12"/>
      <c r="F826" s="12"/>
      <c r="G826" s="12"/>
      <c r="H826" s="12"/>
      <c r="I826" s="12"/>
      <c r="J826" s="12"/>
      <c r="K826" s="12"/>
      <c r="L826" s="12"/>
      <c r="M826" s="12"/>
      <c r="N826" s="12"/>
    </row>
    <row r="827" ht="15.75" customHeight="1">
      <c r="A827" s="12"/>
      <c r="B827" s="12"/>
      <c r="C827" s="12"/>
      <c r="D827" s="12"/>
      <c r="E827" s="12"/>
      <c r="F827" s="12"/>
      <c r="G827" s="12"/>
      <c r="H827" s="12"/>
      <c r="I827" s="12"/>
      <c r="J827" s="12"/>
      <c r="K827" s="12"/>
      <c r="L827" s="12"/>
      <c r="M827" s="12"/>
      <c r="N827" s="12"/>
    </row>
    <row r="828" ht="15.75" customHeight="1">
      <c r="A828" s="12"/>
      <c r="B828" s="12"/>
      <c r="C828" s="12"/>
      <c r="D828" s="12"/>
      <c r="E828" s="12"/>
      <c r="F828" s="12"/>
      <c r="G828" s="12"/>
      <c r="H828" s="12"/>
      <c r="I828" s="12"/>
      <c r="J828" s="12"/>
      <c r="K828" s="12"/>
      <c r="L828" s="12"/>
      <c r="M828" s="12"/>
      <c r="N828" s="12"/>
    </row>
    <row r="829" ht="15.75" customHeight="1">
      <c r="A829" s="12"/>
      <c r="B829" s="12"/>
      <c r="C829" s="12"/>
      <c r="D829" s="12"/>
      <c r="E829" s="12"/>
      <c r="F829" s="12"/>
      <c r="G829" s="12"/>
      <c r="H829" s="12"/>
      <c r="I829" s="12"/>
      <c r="J829" s="12"/>
      <c r="K829" s="12"/>
      <c r="L829" s="12"/>
      <c r="M829" s="12"/>
      <c r="N829" s="12"/>
    </row>
    <row r="830" ht="15.75" customHeight="1">
      <c r="A830" s="12"/>
      <c r="B830" s="12"/>
      <c r="C830" s="12"/>
      <c r="D830" s="12"/>
      <c r="E830" s="12"/>
      <c r="F830" s="12"/>
      <c r="G830" s="12"/>
      <c r="H830" s="12"/>
      <c r="I830" s="12"/>
      <c r="J830" s="12"/>
      <c r="K830" s="12"/>
      <c r="L830" s="12"/>
      <c r="M830" s="12"/>
      <c r="N830" s="12"/>
    </row>
    <row r="831" ht="15.75" customHeight="1">
      <c r="A831" s="12"/>
      <c r="B831" s="12"/>
      <c r="C831" s="12"/>
      <c r="D831" s="12"/>
      <c r="E831" s="12"/>
      <c r="F831" s="12"/>
      <c r="G831" s="12"/>
      <c r="H831" s="12"/>
      <c r="I831" s="12"/>
      <c r="J831" s="12"/>
      <c r="K831" s="12"/>
      <c r="L831" s="12"/>
      <c r="M831" s="12"/>
      <c r="N831" s="12"/>
    </row>
    <row r="832" ht="15.75" customHeight="1">
      <c r="A832" s="12"/>
      <c r="B832" s="12"/>
      <c r="C832" s="12"/>
      <c r="D832" s="12"/>
      <c r="E832" s="12"/>
      <c r="F832" s="12"/>
      <c r="G832" s="12"/>
      <c r="H832" s="12"/>
      <c r="I832" s="12"/>
      <c r="J832" s="12"/>
      <c r="K832" s="12"/>
      <c r="L832" s="12"/>
      <c r="M832" s="12"/>
      <c r="N832" s="12"/>
    </row>
    <row r="833" ht="15.75" customHeight="1">
      <c r="A833" s="12"/>
      <c r="B833" s="12"/>
      <c r="C833" s="12"/>
      <c r="D833" s="12"/>
      <c r="E833" s="12"/>
      <c r="F833" s="12"/>
      <c r="G833" s="12"/>
      <c r="H833" s="12"/>
      <c r="I833" s="12"/>
      <c r="J833" s="12"/>
      <c r="K833" s="12"/>
      <c r="L833" s="12"/>
      <c r="M833" s="12"/>
      <c r="N833" s="12"/>
    </row>
    <row r="834" ht="15.75" customHeight="1">
      <c r="A834" s="12"/>
      <c r="B834" s="12"/>
      <c r="C834" s="12"/>
      <c r="D834" s="12"/>
      <c r="E834" s="12"/>
      <c r="F834" s="12"/>
      <c r="G834" s="12"/>
      <c r="H834" s="12"/>
      <c r="I834" s="12"/>
      <c r="J834" s="12"/>
      <c r="K834" s="12"/>
      <c r="L834" s="12"/>
      <c r="M834" s="12"/>
      <c r="N834" s="12"/>
    </row>
    <row r="835" ht="15.75" customHeight="1">
      <c r="A835" s="12"/>
      <c r="B835" s="12"/>
      <c r="C835" s="12"/>
      <c r="D835" s="12"/>
      <c r="E835" s="12"/>
      <c r="F835" s="12"/>
      <c r="G835" s="12"/>
      <c r="H835" s="12"/>
      <c r="I835" s="12"/>
      <c r="J835" s="12"/>
      <c r="K835" s="12"/>
      <c r="L835" s="12"/>
      <c r="M835" s="12"/>
      <c r="N835" s="12"/>
    </row>
    <row r="836" ht="15.75" customHeight="1">
      <c r="A836" s="12"/>
      <c r="B836" s="12"/>
      <c r="C836" s="12"/>
      <c r="D836" s="12"/>
      <c r="E836" s="12"/>
      <c r="F836" s="12"/>
      <c r="G836" s="12"/>
      <c r="H836" s="12"/>
      <c r="I836" s="12"/>
      <c r="J836" s="12"/>
      <c r="K836" s="12"/>
      <c r="L836" s="12"/>
      <c r="M836" s="12"/>
      <c r="N836" s="12"/>
    </row>
    <row r="837" ht="15.75" customHeight="1">
      <c r="A837" s="12"/>
      <c r="B837" s="12"/>
      <c r="C837" s="12"/>
      <c r="D837" s="12"/>
      <c r="E837" s="12"/>
      <c r="F837" s="12"/>
      <c r="G837" s="12"/>
      <c r="H837" s="12"/>
      <c r="I837" s="12"/>
      <c r="J837" s="12"/>
      <c r="K837" s="12"/>
      <c r="L837" s="12"/>
      <c r="M837" s="12"/>
      <c r="N837" s="12"/>
    </row>
    <row r="838" ht="15.75" customHeight="1">
      <c r="A838" s="12"/>
      <c r="B838" s="12"/>
      <c r="C838" s="12"/>
      <c r="D838" s="12"/>
      <c r="E838" s="12"/>
      <c r="F838" s="12"/>
      <c r="G838" s="12"/>
      <c r="H838" s="12"/>
      <c r="I838" s="12"/>
      <c r="J838" s="12"/>
      <c r="K838" s="12"/>
      <c r="L838" s="12"/>
      <c r="M838" s="12"/>
      <c r="N838" s="12"/>
    </row>
    <row r="839" ht="15.75" customHeight="1">
      <c r="A839" s="12"/>
      <c r="B839" s="12"/>
      <c r="C839" s="12"/>
      <c r="D839" s="12"/>
      <c r="E839" s="12"/>
      <c r="F839" s="12"/>
      <c r="G839" s="12"/>
      <c r="H839" s="12"/>
      <c r="I839" s="12"/>
      <c r="J839" s="12"/>
      <c r="K839" s="12"/>
      <c r="L839" s="12"/>
      <c r="M839" s="12"/>
      <c r="N839" s="12"/>
    </row>
    <row r="840" ht="15.75" customHeight="1">
      <c r="A840" s="12"/>
      <c r="B840" s="12"/>
      <c r="C840" s="12"/>
      <c r="D840" s="12"/>
      <c r="E840" s="12"/>
      <c r="F840" s="12"/>
      <c r="G840" s="12"/>
      <c r="H840" s="12"/>
      <c r="I840" s="12"/>
      <c r="J840" s="12"/>
      <c r="K840" s="12"/>
      <c r="L840" s="12"/>
      <c r="M840" s="12"/>
      <c r="N840" s="12"/>
    </row>
    <row r="841" ht="15.75" customHeight="1">
      <c r="A841" s="12"/>
      <c r="B841" s="12"/>
      <c r="C841" s="12"/>
      <c r="D841" s="12"/>
      <c r="E841" s="12"/>
      <c r="F841" s="12"/>
      <c r="G841" s="12"/>
      <c r="H841" s="12"/>
      <c r="I841" s="12"/>
      <c r="J841" s="12"/>
      <c r="K841" s="12"/>
      <c r="L841" s="12"/>
      <c r="M841" s="12"/>
      <c r="N841" s="12"/>
    </row>
    <row r="842" ht="15.75" customHeight="1">
      <c r="A842" s="12"/>
      <c r="B842" s="12"/>
      <c r="C842" s="12"/>
      <c r="D842" s="12"/>
      <c r="E842" s="12"/>
      <c r="F842" s="12"/>
      <c r="G842" s="12"/>
      <c r="H842" s="12"/>
      <c r="I842" s="12"/>
      <c r="J842" s="12"/>
      <c r="K842" s="12"/>
      <c r="L842" s="12"/>
      <c r="M842" s="12"/>
      <c r="N842" s="12"/>
    </row>
    <row r="843" ht="15.75" customHeight="1">
      <c r="A843" s="12"/>
      <c r="B843" s="12"/>
      <c r="C843" s="12"/>
      <c r="D843" s="12"/>
      <c r="E843" s="12"/>
      <c r="F843" s="12"/>
      <c r="G843" s="12"/>
      <c r="H843" s="12"/>
      <c r="I843" s="12"/>
      <c r="J843" s="12"/>
      <c r="K843" s="12"/>
      <c r="L843" s="12"/>
      <c r="M843" s="12"/>
      <c r="N843" s="12"/>
    </row>
    <row r="844" ht="15.75" customHeight="1">
      <c r="A844" s="12"/>
      <c r="B844" s="12"/>
      <c r="C844" s="12"/>
      <c r="D844" s="12"/>
      <c r="E844" s="12"/>
      <c r="F844" s="12"/>
      <c r="G844" s="12"/>
      <c r="H844" s="12"/>
      <c r="I844" s="12"/>
      <c r="J844" s="12"/>
      <c r="K844" s="12"/>
      <c r="L844" s="12"/>
      <c r="M844" s="12"/>
      <c r="N844" s="12"/>
    </row>
    <row r="845" ht="15.75" customHeight="1">
      <c r="A845" s="12"/>
      <c r="B845" s="12"/>
      <c r="C845" s="12"/>
      <c r="D845" s="12"/>
      <c r="E845" s="12"/>
      <c r="F845" s="12"/>
      <c r="G845" s="12"/>
      <c r="H845" s="12"/>
      <c r="I845" s="12"/>
      <c r="J845" s="12"/>
      <c r="K845" s="12"/>
      <c r="L845" s="12"/>
      <c r="M845" s="12"/>
      <c r="N845" s="12"/>
    </row>
    <row r="846" ht="15.75" customHeight="1">
      <c r="A846" s="12"/>
      <c r="B846" s="12"/>
      <c r="C846" s="12"/>
      <c r="D846" s="12"/>
      <c r="E846" s="12"/>
      <c r="F846" s="12"/>
      <c r="G846" s="12"/>
      <c r="H846" s="12"/>
      <c r="I846" s="12"/>
      <c r="J846" s="12"/>
      <c r="K846" s="12"/>
      <c r="L846" s="12"/>
      <c r="M846" s="12"/>
      <c r="N846" s="12"/>
    </row>
    <row r="847" ht="15.75" customHeight="1">
      <c r="A847" s="12"/>
      <c r="B847" s="12"/>
      <c r="C847" s="12"/>
      <c r="D847" s="12"/>
      <c r="E847" s="12"/>
      <c r="F847" s="12"/>
      <c r="G847" s="12"/>
      <c r="H847" s="12"/>
      <c r="I847" s="12"/>
      <c r="J847" s="12"/>
      <c r="K847" s="12"/>
      <c r="L847" s="12"/>
      <c r="M847" s="12"/>
      <c r="N847" s="12"/>
    </row>
    <row r="848" ht="15.75" customHeight="1">
      <c r="A848" s="12"/>
      <c r="B848" s="12"/>
      <c r="C848" s="12"/>
      <c r="D848" s="12"/>
      <c r="E848" s="12"/>
      <c r="F848" s="12"/>
      <c r="G848" s="12"/>
      <c r="H848" s="12"/>
      <c r="I848" s="12"/>
      <c r="J848" s="12"/>
      <c r="K848" s="12"/>
      <c r="L848" s="12"/>
      <c r="M848" s="12"/>
      <c r="N848" s="12"/>
    </row>
    <row r="849" ht="15.75" customHeight="1">
      <c r="A849" s="12"/>
      <c r="B849" s="12"/>
      <c r="C849" s="12"/>
      <c r="D849" s="12"/>
      <c r="E849" s="12"/>
      <c r="F849" s="12"/>
      <c r="G849" s="12"/>
      <c r="H849" s="12"/>
      <c r="I849" s="12"/>
      <c r="J849" s="12"/>
      <c r="K849" s="12"/>
      <c r="L849" s="12"/>
      <c r="M849" s="12"/>
      <c r="N849" s="12"/>
    </row>
    <row r="850" ht="15.75" customHeight="1">
      <c r="A850" s="12"/>
      <c r="B850" s="12"/>
      <c r="C850" s="12"/>
      <c r="D850" s="12"/>
      <c r="E850" s="12"/>
      <c r="F850" s="12"/>
      <c r="G850" s="12"/>
      <c r="H850" s="12"/>
      <c r="I850" s="12"/>
      <c r="J850" s="12"/>
      <c r="K850" s="12"/>
      <c r="L850" s="12"/>
      <c r="M850" s="12"/>
      <c r="N850" s="12"/>
    </row>
    <row r="851" ht="15.75" customHeight="1">
      <c r="A851" s="12"/>
      <c r="B851" s="12"/>
      <c r="C851" s="12"/>
      <c r="D851" s="12"/>
      <c r="E851" s="12"/>
      <c r="F851" s="12"/>
      <c r="G851" s="12"/>
      <c r="H851" s="12"/>
      <c r="I851" s="12"/>
      <c r="J851" s="12"/>
      <c r="K851" s="12"/>
      <c r="L851" s="12"/>
      <c r="M851" s="12"/>
      <c r="N851" s="12"/>
    </row>
    <row r="852" ht="15.75" customHeight="1">
      <c r="A852" s="12"/>
      <c r="B852" s="12"/>
      <c r="C852" s="12"/>
      <c r="D852" s="12"/>
      <c r="E852" s="12"/>
      <c r="F852" s="12"/>
      <c r="G852" s="12"/>
      <c r="H852" s="12"/>
      <c r="I852" s="12"/>
      <c r="J852" s="12"/>
      <c r="K852" s="12"/>
      <c r="L852" s="12"/>
      <c r="M852" s="12"/>
      <c r="N852" s="12"/>
    </row>
    <row r="853" ht="15.75" customHeight="1">
      <c r="A853" s="12"/>
      <c r="B853" s="12"/>
      <c r="C853" s="12"/>
      <c r="D853" s="12"/>
      <c r="E853" s="12"/>
      <c r="F853" s="12"/>
      <c r="G853" s="12"/>
      <c r="H853" s="12"/>
      <c r="I853" s="12"/>
      <c r="J853" s="12"/>
      <c r="K853" s="12"/>
      <c r="L853" s="12"/>
      <c r="M853" s="12"/>
      <c r="N853" s="12"/>
    </row>
    <row r="854" ht="15.75" customHeight="1">
      <c r="A854" s="12"/>
      <c r="B854" s="12"/>
      <c r="C854" s="12"/>
      <c r="D854" s="12"/>
      <c r="E854" s="12"/>
      <c r="F854" s="12"/>
      <c r="G854" s="12"/>
      <c r="H854" s="12"/>
      <c r="I854" s="12"/>
      <c r="J854" s="12"/>
      <c r="K854" s="12"/>
      <c r="L854" s="12"/>
      <c r="M854" s="12"/>
      <c r="N854" s="12"/>
    </row>
    <row r="855" ht="15.75" customHeight="1">
      <c r="A855" s="12"/>
      <c r="B855" s="12"/>
      <c r="C855" s="12"/>
      <c r="D855" s="12"/>
      <c r="E855" s="12"/>
      <c r="F855" s="12"/>
      <c r="G855" s="12"/>
      <c r="H855" s="12"/>
      <c r="I855" s="12"/>
      <c r="J855" s="12"/>
      <c r="K855" s="12"/>
      <c r="L855" s="12"/>
      <c r="M855" s="12"/>
      <c r="N855" s="12"/>
    </row>
    <row r="856" ht="15.75" customHeight="1">
      <c r="A856" s="12"/>
      <c r="B856" s="12"/>
      <c r="C856" s="12"/>
      <c r="D856" s="12"/>
      <c r="E856" s="12"/>
      <c r="F856" s="12"/>
      <c r="G856" s="12"/>
      <c r="H856" s="12"/>
      <c r="I856" s="12"/>
      <c r="J856" s="12"/>
      <c r="K856" s="12"/>
      <c r="L856" s="12"/>
      <c r="M856" s="12"/>
      <c r="N856" s="12"/>
    </row>
    <row r="857" ht="15.75" customHeight="1">
      <c r="A857" s="12"/>
      <c r="B857" s="12"/>
      <c r="C857" s="12"/>
      <c r="D857" s="12"/>
      <c r="E857" s="12"/>
      <c r="F857" s="12"/>
      <c r="G857" s="12"/>
      <c r="H857" s="12"/>
      <c r="I857" s="12"/>
      <c r="J857" s="12"/>
      <c r="K857" s="12"/>
      <c r="L857" s="12"/>
      <c r="M857" s="12"/>
      <c r="N857" s="12"/>
    </row>
    <row r="858" ht="15.75" customHeight="1">
      <c r="A858" s="12"/>
      <c r="B858" s="12"/>
      <c r="C858" s="12"/>
      <c r="D858" s="12"/>
      <c r="E858" s="12"/>
      <c r="F858" s="12"/>
      <c r="G858" s="12"/>
      <c r="H858" s="12"/>
      <c r="I858" s="12"/>
      <c r="J858" s="12"/>
      <c r="K858" s="12"/>
      <c r="L858" s="12"/>
      <c r="M858" s="12"/>
      <c r="N858" s="12"/>
    </row>
    <row r="859" ht="15.75" customHeight="1">
      <c r="A859" s="12"/>
      <c r="B859" s="12"/>
      <c r="C859" s="12"/>
      <c r="D859" s="12"/>
      <c r="E859" s="12"/>
      <c r="F859" s="12"/>
      <c r="G859" s="12"/>
      <c r="H859" s="12"/>
      <c r="I859" s="12"/>
      <c r="J859" s="12"/>
      <c r="K859" s="12"/>
      <c r="L859" s="12"/>
      <c r="M859" s="12"/>
      <c r="N859" s="12"/>
    </row>
    <row r="860" ht="15.75" customHeight="1">
      <c r="A860" s="12"/>
      <c r="B860" s="12"/>
      <c r="C860" s="12"/>
      <c r="D860" s="12"/>
      <c r="E860" s="12"/>
      <c r="F860" s="12"/>
      <c r="G860" s="12"/>
      <c r="H860" s="12"/>
      <c r="I860" s="12"/>
      <c r="J860" s="12"/>
      <c r="K860" s="12"/>
      <c r="L860" s="12"/>
      <c r="M860" s="12"/>
      <c r="N860" s="12"/>
    </row>
    <row r="861" ht="15.75" customHeight="1">
      <c r="A861" s="12"/>
      <c r="B861" s="12"/>
      <c r="C861" s="12"/>
      <c r="D861" s="12"/>
      <c r="E861" s="12"/>
      <c r="F861" s="12"/>
      <c r="G861" s="12"/>
      <c r="H861" s="12"/>
      <c r="I861" s="12"/>
      <c r="J861" s="12"/>
      <c r="K861" s="12"/>
      <c r="L861" s="12"/>
      <c r="M861" s="12"/>
      <c r="N861" s="12"/>
    </row>
    <row r="862" ht="15.75" customHeight="1">
      <c r="A862" s="12"/>
      <c r="B862" s="12"/>
      <c r="C862" s="12"/>
      <c r="D862" s="12"/>
      <c r="E862" s="12"/>
      <c r="F862" s="12"/>
      <c r="G862" s="12"/>
      <c r="H862" s="12"/>
      <c r="I862" s="12"/>
      <c r="J862" s="12"/>
      <c r="K862" s="12"/>
      <c r="L862" s="12"/>
      <c r="M862" s="12"/>
      <c r="N862" s="12"/>
    </row>
    <row r="863" ht="15.75" customHeight="1">
      <c r="A863" s="12"/>
      <c r="B863" s="12"/>
      <c r="C863" s="12"/>
      <c r="D863" s="12"/>
      <c r="E863" s="12"/>
      <c r="F863" s="12"/>
      <c r="G863" s="12"/>
      <c r="H863" s="12"/>
      <c r="I863" s="12"/>
      <c r="J863" s="12"/>
      <c r="K863" s="12"/>
      <c r="L863" s="12"/>
      <c r="M863" s="12"/>
      <c r="N863" s="12"/>
    </row>
    <row r="864" ht="15.75" customHeight="1">
      <c r="A864" s="12"/>
      <c r="B864" s="12"/>
      <c r="C864" s="12"/>
      <c r="D864" s="12"/>
      <c r="E864" s="12"/>
      <c r="F864" s="12"/>
      <c r="G864" s="12"/>
      <c r="H864" s="12"/>
      <c r="I864" s="12"/>
      <c r="J864" s="12"/>
      <c r="K864" s="12"/>
      <c r="L864" s="12"/>
      <c r="M864" s="12"/>
      <c r="N864" s="12"/>
    </row>
    <row r="865" ht="15.75" customHeight="1">
      <c r="A865" s="12"/>
      <c r="B865" s="12"/>
      <c r="C865" s="12"/>
      <c r="D865" s="12"/>
      <c r="E865" s="12"/>
      <c r="F865" s="12"/>
      <c r="G865" s="12"/>
      <c r="H865" s="12"/>
      <c r="I865" s="12"/>
      <c r="J865" s="12"/>
      <c r="K865" s="12"/>
      <c r="L865" s="12"/>
      <c r="M865" s="12"/>
      <c r="N865" s="12"/>
    </row>
    <row r="866" ht="15.75" customHeight="1">
      <c r="A866" s="12"/>
      <c r="B866" s="12"/>
      <c r="C866" s="12"/>
      <c r="D866" s="12"/>
      <c r="E866" s="12"/>
      <c r="F866" s="12"/>
      <c r="G866" s="12"/>
      <c r="H866" s="12"/>
      <c r="I866" s="12"/>
      <c r="J866" s="12"/>
      <c r="K866" s="12"/>
      <c r="L866" s="12"/>
      <c r="M866" s="12"/>
      <c r="N866" s="12"/>
    </row>
    <row r="867" ht="15.75" customHeight="1">
      <c r="A867" s="12"/>
      <c r="B867" s="12"/>
      <c r="C867" s="12"/>
      <c r="D867" s="12"/>
      <c r="E867" s="12"/>
      <c r="F867" s="12"/>
      <c r="G867" s="12"/>
      <c r="H867" s="12"/>
      <c r="I867" s="12"/>
      <c r="J867" s="12"/>
      <c r="K867" s="12"/>
      <c r="L867" s="12"/>
      <c r="M867" s="12"/>
      <c r="N867" s="12"/>
    </row>
    <row r="868" ht="15.75" customHeight="1">
      <c r="A868" s="12"/>
      <c r="B868" s="12"/>
      <c r="C868" s="12"/>
      <c r="D868" s="12"/>
      <c r="E868" s="12"/>
      <c r="F868" s="12"/>
      <c r="G868" s="12"/>
      <c r="H868" s="12"/>
      <c r="I868" s="12"/>
      <c r="J868" s="12"/>
      <c r="K868" s="12"/>
      <c r="L868" s="12"/>
      <c r="M868" s="12"/>
      <c r="N868" s="12"/>
    </row>
    <row r="869" ht="15.75" customHeight="1">
      <c r="A869" s="12"/>
      <c r="B869" s="12"/>
      <c r="C869" s="12"/>
      <c r="D869" s="12"/>
      <c r="E869" s="12"/>
      <c r="F869" s="12"/>
      <c r="G869" s="12"/>
      <c r="H869" s="12"/>
      <c r="I869" s="12"/>
      <c r="J869" s="12"/>
      <c r="K869" s="12"/>
      <c r="L869" s="12"/>
      <c r="M869" s="12"/>
      <c r="N869" s="12"/>
    </row>
    <row r="870" ht="15.75" customHeight="1">
      <c r="A870" s="12"/>
      <c r="B870" s="12"/>
      <c r="C870" s="12"/>
      <c r="D870" s="12"/>
      <c r="E870" s="12"/>
      <c r="F870" s="12"/>
      <c r="G870" s="12"/>
      <c r="H870" s="12"/>
      <c r="I870" s="12"/>
      <c r="J870" s="12"/>
      <c r="K870" s="12"/>
      <c r="L870" s="12"/>
      <c r="M870" s="12"/>
      <c r="N870" s="12"/>
    </row>
    <row r="871" ht="15.75" customHeight="1">
      <c r="A871" s="12"/>
      <c r="B871" s="12"/>
      <c r="C871" s="12"/>
      <c r="D871" s="12"/>
      <c r="E871" s="12"/>
      <c r="F871" s="12"/>
      <c r="G871" s="12"/>
      <c r="H871" s="12"/>
      <c r="I871" s="12"/>
      <c r="J871" s="12"/>
      <c r="K871" s="12"/>
      <c r="L871" s="12"/>
      <c r="M871" s="12"/>
      <c r="N871" s="12"/>
    </row>
    <row r="872" ht="15.75" customHeight="1">
      <c r="A872" s="12"/>
      <c r="B872" s="12"/>
      <c r="C872" s="12"/>
      <c r="D872" s="12"/>
      <c r="E872" s="12"/>
      <c r="F872" s="12"/>
      <c r="G872" s="12"/>
      <c r="H872" s="12"/>
      <c r="I872" s="12"/>
      <c r="J872" s="12"/>
      <c r="K872" s="12"/>
      <c r="L872" s="12"/>
      <c r="M872" s="12"/>
      <c r="N872" s="12"/>
    </row>
    <row r="873" ht="15.75" customHeight="1">
      <c r="A873" s="12"/>
      <c r="B873" s="12"/>
      <c r="C873" s="12"/>
      <c r="D873" s="12"/>
      <c r="E873" s="12"/>
      <c r="F873" s="12"/>
      <c r="G873" s="12"/>
      <c r="H873" s="12"/>
      <c r="I873" s="12"/>
      <c r="J873" s="12"/>
      <c r="K873" s="12"/>
      <c r="L873" s="12"/>
      <c r="M873" s="12"/>
      <c r="N873" s="12"/>
    </row>
    <row r="874" ht="15.75" customHeight="1">
      <c r="A874" s="12"/>
      <c r="B874" s="12"/>
      <c r="C874" s="12"/>
      <c r="D874" s="12"/>
      <c r="E874" s="12"/>
      <c r="F874" s="12"/>
      <c r="G874" s="12"/>
      <c r="H874" s="12"/>
      <c r="I874" s="12"/>
      <c r="J874" s="12"/>
      <c r="K874" s="12"/>
      <c r="L874" s="12"/>
      <c r="M874" s="12"/>
      <c r="N874" s="12"/>
    </row>
    <row r="875" ht="15.75" customHeight="1">
      <c r="A875" s="12"/>
      <c r="B875" s="12"/>
      <c r="C875" s="12"/>
      <c r="D875" s="12"/>
      <c r="E875" s="12"/>
      <c r="F875" s="12"/>
      <c r="G875" s="12"/>
      <c r="H875" s="12"/>
      <c r="I875" s="12"/>
      <c r="J875" s="12"/>
      <c r="K875" s="12"/>
      <c r="L875" s="12"/>
      <c r="M875" s="12"/>
      <c r="N875" s="12"/>
    </row>
    <row r="876" ht="15.75" customHeight="1">
      <c r="A876" s="12"/>
      <c r="B876" s="12"/>
      <c r="C876" s="12"/>
      <c r="D876" s="12"/>
      <c r="E876" s="12"/>
      <c r="F876" s="12"/>
      <c r="G876" s="12"/>
      <c r="H876" s="12"/>
      <c r="I876" s="12"/>
      <c r="J876" s="12"/>
      <c r="K876" s="12"/>
      <c r="L876" s="12"/>
      <c r="M876" s="12"/>
      <c r="N876" s="12"/>
    </row>
    <row r="877" ht="15.75" customHeight="1">
      <c r="A877" s="12"/>
      <c r="B877" s="12"/>
      <c r="C877" s="12"/>
      <c r="D877" s="12"/>
      <c r="E877" s="12"/>
      <c r="F877" s="12"/>
      <c r="G877" s="12"/>
      <c r="H877" s="12"/>
      <c r="I877" s="12"/>
      <c r="J877" s="12"/>
      <c r="K877" s="12"/>
      <c r="L877" s="12"/>
      <c r="M877" s="12"/>
      <c r="N877" s="12"/>
    </row>
    <row r="878" ht="15.75" customHeight="1">
      <c r="A878" s="12"/>
      <c r="B878" s="12"/>
      <c r="C878" s="12"/>
      <c r="D878" s="12"/>
      <c r="E878" s="12"/>
      <c r="F878" s="12"/>
      <c r="G878" s="12"/>
      <c r="H878" s="12"/>
      <c r="I878" s="12"/>
      <c r="J878" s="12"/>
      <c r="K878" s="12"/>
      <c r="L878" s="12"/>
      <c r="M878" s="12"/>
      <c r="N878" s="12"/>
    </row>
    <row r="879" ht="15.75" customHeight="1">
      <c r="A879" s="12"/>
      <c r="B879" s="12"/>
      <c r="C879" s="12"/>
      <c r="D879" s="12"/>
      <c r="E879" s="12"/>
      <c r="F879" s="12"/>
      <c r="G879" s="12"/>
      <c r="H879" s="12"/>
      <c r="I879" s="12"/>
      <c r="J879" s="12"/>
      <c r="K879" s="12"/>
      <c r="L879" s="12"/>
      <c r="M879" s="12"/>
      <c r="N879" s="12"/>
    </row>
    <row r="880" ht="15.75" customHeight="1">
      <c r="A880" s="12"/>
      <c r="B880" s="12"/>
      <c r="C880" s="12"/>
      <c r="D880" s="12"/>
      <c r="E880" s="12"/>
      <c r="F880" s="12"/>
      <c r="G880" s="12"/>
      <c r="H880" s="12"/>
      <c r="I880" s="12"/>
      <c r="J880" s="12"/>
      <c r="K880" s="12"/>
      <c r="L880" s="12"/>
      <c r="M880" s="12"/>
      <c r="N880" s="12"/>
    </row>
    <row r="881" ht="15.75" customHeight="1">
      <c r="A881" s="12"/>
      <c r="B881" s="12"/>
      <c r="C881" s="12"/>
      <c r="D881" s="12"/>
      <c r="E881" s="12"/>
      <c r="F881" s="12"/>
      <c r="G881" s="12"/>
      <c r="H881" s="12"/>
      <c r="I881" s="12"/>
      <c r="J881" s="12"/>
      <c r="K881" s="12"/>
      <c r="L881" s="12"/>
      <c r="M881" s="12"/>
      <c r="N881" s="12"/>
    </row>
    <row r="882" ht="15.75" customHeight="1">
      <c r="A882" s="12"/>
      <c r="B882" s="12"/>
      <c r="C882" s="12"/>
      <c r="D882" s="12"/>
      <c r="E882" s="12"/>
      <c r="F882" s="12"/>
      <c r="G882" s="12"/>
      <c r="H882" s="12"/>
      <c r="I882" s="12"/>
      <c r="J882" s="12"/>
      <c r="K882" s="12"/>
      <c r="L882" s="12"/>
      <c r="M882" s="12"/>
      <c r="N882" s="12"/>
    </row>
    <row r="883" ht="15.75" customHeight="1">
      <c r="A883" s="12"/>
      <c r="B883" s="12"/>
      <c r="C883" s="12"/>
      <c r="D883" s="12"/>
      <c r="E883" s="12"/>
      <c r="F883" s="12"/>
      <c r="G883" s="12"/>
      <c r="H883" s="12"/>
      <c r="I883" s="12"/>
      <c r="J883" s="12"/>
      <c r="K883" s="12"/>
      <c r="L883" s="12"/>
      <c r="M883" s="12"/>
      <c r="N883" s="12"/>
    </row>
    <row r="884" ht="15.75" customHeight="1">
      <c r="A884" s="12"/>
      <c r="B884" s="12"/>
      <c r="C884" s="12"/>
      <c r="D884" s="12"/>
      <c r="E884" s="12"/>
      <c r="F884" s="12"/>
      <c r="G884" s="12"/>
      <c r="H884" s="12"/>
      <c r="I884" s="12"/>
      <c r="J884" s="12"/>
      <c r="K884" s="12"/>
      <c r="L884" s="12"/>
      <c r="M884" s="12"/>
      <c r="N884" s="12"/>
    </row>
    <row r="885" ht="15.75" customHeight="1">
      <c r="A885" s="12"/>
      <c r="B885" s="12"/>
      <c r="C885" s="12"/>
      <c r="D885" s="12"/>
      <c r="E885" s="12"/>
      <c r="F885" s="12"/>
      <c r="G885" s="12"/>
      <c r="H885" s="12"/>
      <c r="I885" s="12"/>
      <c r="J885" s="12"/>
      <c r="K885" s="12"/>
      <c r="L885" s="12"/>
      <c r="M885" s="12"/>
      <c r="N885" s="12"/>
    </row>
    <row r="886" ht="15.75" customHeight="1">
      <c r="A886" s="12"/>
      <c r="B886" s="12"/>
      <c r="C886" s="12"/>
      <c r="D886" s="12"/>
      <c r="E886" s="12"/>
      <c r="F886" s="12"/>
      <c r="G886" s="12"/>
      <c r="H886" s="12"/>
      <c r="I886" s="12"/>
      <c r="J886" s="12"/>
      <c r="K886" s="12"/>
      <c r="L886" s="12"/>
      <c r="M886" s="12"/>
      <c r="N886" s="12"/>
    </row>
    <row r="887" ht="15.75" customHeight="1">
      <c r="A887" s="12"/>
      <c r="B887" s="12"/>
      <c r="C887" s="12"/>
      <c r="D887" s="12"/>
      <c r="E887" s="12"/>
      <c r="F887" s="12"/>
      <c r="G887" s="12"/>
      <c r="H887" s="12"/>
      <c r="I887" s="12"/>
      <c r="J887" s="12"/>
      <c r="K887" s="12"/>
      <c r="L887" s="12"/>
      <c r="M887" s="12"/>
      <c r="N887" s="12"/>
    </row>
    <row r="888" ht="15.75" customHeight="1">
      <c r="A888" s="12"/>
      <c r="B888" s="12"/>
      <c r="C888" s="12"/>
      <c r="D888" s="12"/>
      <c r="E888" s="12"/>
      <c r="F888" s="12"/>
      <c r="G888" s="12"/>
      <c r="H888" s="12"/>
      <c r="I888" s="12"/>
      <c r="J888" s="12"/>
      <c r="K888" s="12"/>
      <c r="L888" s="12"/>
      <c r="M888" s="12"/>
      <c r="N888" s="12"/>
    </row>
    <row r="889" ht="15.75" customHeight="1">
      <c r="A889" s="12"/>
      <c r="B889" s="12"/>
      <c r="C889" s="12"/>
      <c r="D889" s="12"/>
      <c r="E889" s="12"/>
      <c r="F889" s="12"/>
      <c r="G889" s="12"/>
      <c r="H889" s="12"/>
      <c r="I889" s="12"/>
      <c r="J889" s="12"/>
      <c r="K889" s="12"/>
      <c r="L889" s="12"/>
      <c r="M889" s="12"/>
      <c r="N889" s="12"/>
    </row>
    <row r="890" ht="15.75" customHeight="1">
      <c r="A890" s="12"/>
      <c r="B890" s="12"/>
      <c r="C890" s="12"/>
      <c r="D890" s="12"/>
      <c r="E890" s="12"/>
      <c r="F890" s="12"/>
      <c r="G890" s="12"/>
      <c r="H890" s="12"/>
      <c r="I890" s="12"/>
      <c r="J890" s="12"/>
      <c r="K890" s="12"/>
      <c r="L890" s="12"/>
      <c r="M890" s="12"/>
      <c r="N890" s="12"/>
    </row>
    <row r="891" ht="15.75" customHeight="1">
      <c r="A891" s="12"/>
      <c r="B891" s="12"/>
      <c r="C891" s="12"/>
      <c r="D891" s="12"/>
      <c r="E891" s="12"/>
      <c r="F891" s="12"/>
      <c r="G891" s="12"/>
      <c r="H891" s="12"/>
      <c r="I891" s="12"/>
      <c r="J891" s="12"/>
      <c r="K891" s="12"/>
      <c r="L891" s="12"/>
      <c r="M891" s="12"/>
      <c r="N891" s="12"/>
    </row>
    <row r="892" ht="15.75" customHeight="1">
      <c r="A892" s="12"/>
      <c r="B892" s="12"/>
      <c r="C892" s="12"/>
      <c r="D892" s="12"/>
      <c r="E892" s="12"/>
      <c r="F892" s="12"/>
      <c r="G892" s="12"/>
      <c r="H892" s="12"/>
      <c r="I892" s="12"/>
      <c r="J892" s="12"/>
      <c r="K892" s="12"/>
      <c r="L892" s="12"/>
      <c r="M892" s="12"/>
      <c r="N892" s="12"/>
    </row>
    <row r="893" ht="15.75" customHeight="1">
      <c r="A893" s="12"/>
      <c r="B893" s="12"/>
      <c r="C893" s="12"/>
      <c r="D893" s="12"/>
      <c r="E893" s="12"/>
      <c r="F893" s="12"/>
      <c r="G893" s="12"/>
      <c r="H893" s="12"/>
      <c r="I893" s="12"/>
      <c r="J893" s="12"/>
      <c r="K893" s="12"/>
      <c r="L893" s="12"/>
      <c r="M893" s="12"/>
      <c r="N893" s="12"/>
    </row>
    <row r="894" ht="15.75" customHeight="1">
      <c r="A894" s="12"/>
      <c r="B894" s="12"/>
      <c r="C894" s="12"/>
      <c r="D894" s="12"/>
      <c r="E894" s="12"/>
      <c r="F894" s="12"/>
      <c r="G894" s="12"/>
      <c r="H894" s="12"/>
      <c r="I894" s="12"/>
      <c r="J894" s="12"/>
      <c r="K894" s="12"/>
      <c r="L894" s="12"/>
      <c r="M894" s="12"/>
      <c r="N894" s="12"/>
    </row>
    <row r="895" ht="15.75" customHeight="1">
      <c r="A895" s="12"/>
      <c r="B895" s="12"/>
      <c r="C895" s="12"/>
      <c r="D895" s="12"/>
      <c r="E895" s="12"/>
      <c r="F895" s="12"/>
      <c r="G895" s="12"/>
      <c r="H895" s="12"/>
      <c r="I895" s="12"/>
      <c r="J895" s="12"/>
      <c r="K895" s="12"/>
      <c r="L895" s="12"/>
      <c r="M895" s="12"/>
      <c r="N895" s="12"/>
    </row>
    <row r="896" ht="15.75" customHeight="1">
      <c r="A896" s="12"/>
      <c r="B896" s="12"/>
      <c r="C896" s="12"/>
      <c r="D896" s="12"/>
      <c r="E896" s="12"/>
      <c r="F896" s="12"/>
      <c r="G896" s="12"/>
      <c r="H896" s="12"/>
      <c r="I896" s="12"/>
      <c r="J896" s="12"/>
      <c r="K896" s="12"/>
      <c r="L896" s="12"/>
      <c r="M896" s="12"/>
      <c r="N896" s="12"/>
    </row>
    <row r="897" ht="15.75" customHeight="1">
      <c r="A897" s="12"/>
      <c r="B897" s="12"/>
      <c r="C897" s="12"/>
      <c r="D897" s="12"/>
      <c r="E897" s="12"/>
      <c r="F897" s="12"/>
      <c r="G897" s="12"/>
      <c r="H897" s="12"/>
      <c r="I897" s="12"/>
      <c r="J897" s="12"/>
      <c r="K897" s="12"/>
      <c r="L897" s="12"/>
      <c r="M897" s="12"/>
      <c r="N897" s="12"/>
    </row>
    <row r="898" ht="15.75" customHeight="1">
      <c r="A898" s="12"/>
      <c r="B898" s="12"/>
      <c r="C898" s="12"/>
      <c r="D898" s="12"/>
      <c r="E898" s="12"/>
      <c r="F898" s="12"/>
      <c r="G898" s="12"/>
      <c r="H898" s="12"/>
      <c r="I898" s="12"/>
      <c r="J898" s="12"/>
      <c r="K898" s="12"/>
      <c r="L898" s="12"/>
      <c r="M898" s="12"/>
      <c r="N898" s="12"/>
    </row>
    <row r="899" ht="15.75" customHeight="1">
      <c r="A899" s="12"/>
      <c r="B899" s="12"/>
      <c r="C899" s="12"/>
      <c r="D899" s="12"/>
      <c r="E899" s="12"/>
      <c r="F899" s="12"/>
      <c r="G899" s="12"/>
      <c r="H899" s="12"/>
      <c r="I899" s="12"/>
      <c r="J899" s="12"/>
      <c r="K899" s="12"/>
      <c r="L899" s="12"/>
      <c r="M899" s="12"/>
      <c r="N899" s="12"/>
    </row>
    <row r="900" ht="15.75" customHeight="1">
      <c r="A900" s="12"/>
      <c r="B900" s="12"/>
      <c r="C900" s="12"/>
      <c r="D900" s="12"/>
      <c r="E900" s="12"/>
      <c r="F900" s="12"/>
      <c r="G900" s="12"/>
      <c r="H900" s="12"/>
      <c r="I900" s="12"/>
      <c r="J900" s="12"/>
      <c r="K900" s="12"/>
      <c r="L900" s="12"/>
      <c r="M900" s="12"/>
      <c r="N900" s="12"/>
    </row>
    <row r="901" ht="15.75" customHeight="1">
      <c r="A901" s="12"/>
      <c r="B901" s="12"/>
      <c r="C901" s="12"/>
      <c r="D901" s="12"/>
      <c r="E901" s="12"/>
      <c r="F901" s="12"/>
      <c r="G901" s="12"/>
      <c r="H901" s="12"/>
      <c r="I901" s="12"/>
      <c r="J901" s="12"/>
      <c r="K901" s="12"/>
      <c r="L901" s="12"/>
      <c r="M901" s="12"/>
      <c r="N901" s="12"/>
    </row>
    <row r="902" ht="15.75" customHeight="1">
      <c r="A902" s="12"/>
      <c r="B902" s="12"/>
      <c r="C902" s="12"/>
      <c r="D902" s="12"/>
      <c r="E902" s="12"/>
      <c r="F902" s="12"/>
      <c r="G902" s="12"/>
      <c r="H902" s="12"/>
      <c r="I902" s="12"/>
      <c r="J902" s="12"/>
      <c r="K902" s="12"/>
      <c r="L902" s="12"/>
      <c r="M902" s="12"/>
      <c r="N902" s="12"/>
    </row>
    <row r="903" ht="15.75" customHeight="1">
      <c r="A903" s="12"/>
      <c r="B903" s="12"/>
      <c r="C903" s="12"/>
      <c r="D903" s="12"/>
      <c r="E903" s="12"/>
      <c r="F903" s="12"/>
      <c r="G903" s="12"/>
      <c r="H903" s="12"/>
      <c r="I903" s="12"/>
      <c r="J903" s="12"/>
      <c r="K903" s="12"/>
      <c r="L903" s="12"/>
      <c r="M903" s="12"/>
      <c r="N903" s="12"/>
    </row>
    <row r="904" ht="15.75" customHeight="1">
      <c r="A904" s="12"/>
      <c r="B904" s="12"/>
      <c r="C904" s="12"/>
      <c r="D904" s="12"/>
      <c r="E904" s="12"/>
      <c r="F904" s="12"/>
      <c r="G904" s="12"/>
      <c r="H904" s="12"/>
      <c r="I904" s="12"/>
      <c r="J904" s="12"/>
      <c r="K904" s="12"/>
      <c r="L904" s="12"/>
      <c r="M904" s="12"/>
      <c r="N904" s="12"/>
    </row>
    <row r="905" ht="15.75" customHeight="1">
      <c r="A905" s="12"/>
      <c r="B905" s="12"/>
      <c r="C905" s="12"/>
      <c r="D905" s="12"/>
      <c r="E905" s="12"/>
      <c r="F905" s="12"/>
      <c r="G905" s="12"/>
      <c r="H905" s="12"/>
      <c r="I905" s="12"/>
      <c r="J905" s="12"/>
      <c r="K905" s="12"/>
      <c r="L905" s="12"/>
      <c r="M905" s="12"/>
      <c r="N905" s="12"/>
    </row>
    <row r="906" ht="15.75" customHeight="1">
      <c r="A906" s="12"/>
      <c r="B906" s="12"/>
      <c r="C906" s="12"/>
      <c r="D906" s="12"/>
      <c r="E906" s="12"/>
      <c r="F906" s="12"/>
      <c r="G906" s="12"/>
      <c r="H906" s="12"/>
      <c r="I906" s="12"/>
      <c r="J906" s="12"/>
      <c r="K906" s="12"/>
      <c r="L906" s="12"/>
      <c r="M906" s="12"/>
      <c r="N906" s="12"/>
    </row>
    <row r="907" ht="15.75" customHeight="1">
      <c r="A907" s="12"/>
      <c r="B907" s="12"/>
      <c r="C907" s="12"/>
      <c r="D907" s="12"/>
      <c r="E907" s="12"/>
      <c r="F907" s="12"/>
      <c r="G907" s="12"/>
      <c r="H907" s="12"/>
      <c r="I907" s="12"/>
      <c r="J907" s="12"/>
      <c r="K907" s="12"/>
      <c r="L907" s="12"/>
      <c r="M907" s="12"/>
      <c r="N907" s="12"/>
    </row>
    <row r="908" ht="15.75" customHeight="1">
      <c r="A908" s="12"/>
      <c r="B908" s="12"/>
      <c r="C908" s="12"/>
      <c r="D908" s="12"/>
      <c r="E908" s="12"/>
      <c r="F908" s="12"/>
      <c r="G908" s="12"/>
      <c r="H908" s="12"/>
      <c r="I908" s="12"/>
      <c r="J908" s="12"/>
      <c r="K908" s="12"/>
      <c r="L908" s="12"/>
      <c r="M908" s="12"/>
      <c r="N908" s="12"/>
    </row>
    <row r="909" ht="15.75" customHeight="1">
      <c r="A909" s="12"/>
      <c r="B909" s="12"/>
      <c r="C909" s="12"/>
      <c r="D909" s="12"/>
      <c r="E909" s="12"/>
      <c r="F909" s="12"/>
      <c r="G909" s="12"/>
      <c r="H909" s="12"/>
      <c r="I909" s="12"/>
      <c r="J909" s="12"/>
      <c r="K909" s="12"/>
      <c r="L909" s="12"/>
      <c r="M909" s="12"/>
      <c r="N909" s="12"/>
    </row>
    <row r="910" ht="15.75" customHeight="1">
      <c r="A910" s="12"/>
      <c r="B910" s="12"/>
      <c r="C910" s="12"/>
      <c r="D910" s="12"/>
      <c r="E910" s="12"/>
      <c r="F910" s="12"/>
      <c r="G910" s="12"/>
      <c r="H910" s="12"/>
      <c r="I910" s="12"/>
      <c r="J910" s="12"/>
      <c r="K910" s="12"/>
      <c r="L910" s="12"/>
      <c r="M910" s="12"/>
      <c r="N910" s="12"/>
    </row>
    <row r="911" ht="15.75" customHeight="1">
      <c r="A911" s="12"/>
      <c r="B911" s="12"/>
      <c r="C911" s="12"/>
      <c r="D911" s="12"/>
      <c r="E911" s="12"/>
      <c r="F911" s="12"/>
      <c r="G911" s="12"/>
      <c r="H911" s="12"/>
      <c r="I911" s="12"/>
      <c r="J911" s="12"/>
      <c r="K911" s="12"/>
      <c r="L911" s="12"/>
      <c r="M911" s="12"/>
      <c r="N911" s="12"/>
    </row>
    <row r="912" ht="15.75" customHeight="1">
      <c r="A912" s="12"/>
      <c r="B912" s="12"/>
      <c r="C912" s="12"/>
      <c r="D912" s="12"/>
      <c r="E912" s="12"/>
      <c r="F912" s="12"/>
      <c r="G912" s="12"/>
      <c r="H912" s="12"/>
      <c r="I912" s="12"/>
      <c r="J912" s="12"/>
      <c r="K912" s="12"/>
      <c r="L912" s="12"/>
      <c r="M912" s="12"/>
      <c r="N912" s="12"/>
    </row>
    <row r="913" ht="15.75" customHeight="1">
      <c r="A913" s="12"/>
      <c r="B913" s="12"/>
      <c r="C913" s="12"/>
      <c r="D913" s="12"/>
      <c r="E913" s="12"/>
      <c r="F913" s="12"/>
      <c r="G913" s="12"/>
      <c r="H913" s="12"/>
      <c r="I913" s="12"/>
      <c r="J913" s="12"/>
      <c r="K913" s="12"/>
      <c r="L913" s="12"/>
      <c r="M913" s="12"/>
      <c r="N913" s="12"/>
    </row>
    <row r="914" ht="15.75" customHeight="1">
      <c r="A914" s="12"/>
      <c r="B914" s="12"/>
      <c r="C914" s="12"/>
      <c r="D914" s="12"/>
      <c r="E914" s="12"/>
      <c r="F914" s="12"/>
      <c r="G914" s="12"/>
      <c r="H914" s="12"/>
      <c r="I914" s="12"/>
      <c r="J914" s="12"/>
      <c r="K914" s="12"/>
      <c r="L914" s="12"/>
      <c r="M914" s="12"/>
      <c r="N914" s="12"/>
    </row>
    <row r="915" ht="15.75" customHeight="1">
      <c r="A915" s="12"/>
      <c r="B915" s="12"/>
      <c r="C915" s="12"/>
      <c r="D915" s="12"/>
      <c r="E915" s="12"/>
      <c r="F915" s="12"/>
      <c r="G915" s="12"/>
      <c r="H915" s="12"/>
      <c r="I915" s="12"/>
      <c r="J915" s="12"/>
      <c r="K915" s="12"/>
      <c r="L915" s="12"/>
      <c r="M915" s="12"/>
      <c r="N915" s="12"/>
    </row>
    <row r="916" ht="15.75" customHeight="1">
      <c r="A916" s="12"/>
      <c r="B916" s="12"/>
      <c r="C916" s="12"/>
      <c r="D916" s="12"/>
      <c r="E916" s="12"/>
      <c r="F916" s="12"/>
      <c r="G916" s="12"/>
      <c r="H916" s="12"/>
      <c r="I916" s="12"/>
      <c r="J916" s="12"/>
      <c r="K916" s="12"/>
      <c r="L916" s="12"/>
      <c r="M916" s="12"/>
      <c r="N916" s="12"/>
    </row>
    <row r="917" ht="15.75" customHeight="1">
      <c r="A917" s="12"/>
      <c r="B917" s="12"/>
      <c r="C917" s="12"/>
      <c r="D917" s="12"/>
      <c r="E917" s="12"/>
      <c r="F917" s="12"/>
      <c r="G917" s="12"/>
      <c r="H917" s="12"/>
      <c r="I917" s="12"/>
      <c r="J917" s="12"/>
      <c r="K917" s="12"/>
      <c r="L917" s="12"/>
      <c r="M917" s="12"/>
      <c r="N917" s="12"/>
    </row>
    <row r="918" ht="15.75" customHeight="1">
      <c r="A918" s="12"/>
      <c r="B918" s="12"/>
      <c r="C918" s="12"/>
      <c r="D918" s="12"/>
      <c r="E918" s="12"/>
      <c r="F918" s="12"/>
      <c r="G918" s="12"/>
      <c r="H918" s="12"/>
      <c r="I918" s="12"/>
      <c r="J918" s="12"/>
      <c r="K918" s="12"/>
      <c r="L918" s="12"/>
      <c r="M918" s="12"/>
      <c r="N918" s="12"/>
    </row>
    <row r="919" ht="15.75" customHeight="1">
      <c r="A919" s="12"/>
      <c r="B919" s="12"/>
      <c r="C919" s="12"/>
      <c r="D919" s="12"/>
      <c r="E919" s="12"/>
      <c r="F919" s="12"/>
      <c r="G919" s="12"/>
      <c r="H919" s="12"/>
      <c r="I919" s="12"/>
      <c r="J919" s="12"/>
      <c r="K919" s="12"/>
      <c r="L919" s="12"/>
      <c r="M919" s="12"/>
      <c r="N919" s="12"/>
    </row>
    <row r="920" ht="15.75" customHeight="1">
      <c r="A920" s="12"/>
      <c r="B920" s="12"/>
      <c r="C920" s="12"/>
      <c r="D920" s="12"/>
      <c r="E920" s="12"/>
      <c r="F920" s="12"/>
      <c r="G920" s="12"/>
      <c r="H920" s="12"/>
      <c r="I920" s="12"/>
      <c r="J920" s="12"/>
      <c r="K920" s="12"/>
      <c r="L920" s="12"/>
      <c r="M920" s="12"/>
      <c r="N920" s="12"/>
    </row>
    <row r="921" ht="15.75" customHeight="1">
      <c r="A921" s="12"/>
      <c r="B921" s="12"/>
      <c r="C921" s="12"/>
      <c r="D921" s="12"/>
      <c r="E921" s="12"/>
      <c r="F921" s="12"/>
      <c r="G921" s="12"/>
      <c r="H921" s="12"/>
      <c r="I921" s="12"/>
      <c r="J921" s="12"/>
      <c r="K921" s="12"/>
      <c r="L921" s="12"/>
      <c r="M921" s="12"/>
      <c r="N921" s="12"/>
    </row>
    <row r="922" ht="15.75" customHeight="1">
      <c r="A922" s="12"/>
      <c r="B922" s="12"/>
      <c r="C922" s="12"/>
      <c r="D922" s="12"/>
      <c r="E922" s="12"/>
      <c r="F922" s="12"/>
      <c r="G922" s="12"/>
      <c r="H922" s="12"/>
      <c r="I922" s="12"/>
      <c r="J922" s="12"/>
      <c r="K922" s="12"/>
      <c r="L922" s="12"/>
      <c r="M922" s="12"/>
      <c r="N922" s="12"/>
    </row>
    <row r="923" ht="15.75" customHeight="1">
      <c r="A923" s="12"/>
      <c r="B923" s="12"/>
      <c r="C923" s="12"/>
      <c r="D923" s="12"/>
      <c r="E923" s="12"/>
      <c r="F923" s="12"/>
      <c r="G923" s="12"/>
      <c r="H923" s="12"/>
      <c r="I923" s="12"/>
      <c r="J923" s="12"/>
      <c r="K923" s="12"/>
      <c r="L923" s="12"/>
      <c r="M923" s="12"/>
      <c r="N923" s="12"/>
    </row>
    <row r="924" ht="15.75" customHeight="1">
      <c r="A924" s="12"/>
      <c r="B924" s="12"/>
      <c r="C924" s="12"/>
      <c r="D924" s="12"/>
      <c r="E924" s="12"/>
      <c r="F924" s="12"/>
      <c r="G924" s="12"/>
      <c r="H924" s="12"/>
      <c r="I924" s="12"/>
      <c r="J924" s="12"/>
      <c r="K924" s="12"/>
      <c r="L924" s="12"/>
      <c r="M924" s="12"/>
      <c r="N924" s="12"/>
    </row>
    <row r="925" ht="15.75" customHeight="1">
      <c r="A925" s="12"/>
      <c r="B925" s="12"/>
      <c r="C925" s="12"/>
      <c r="D925" s="12"/>
      <c r="E925" s="12"/>
      <c r="F925" s="12"/>
      <c r="G925" s="12"/>
      <c r="H925" s="12"/>
      <c r="I925" s="12"/>
      <c r="J925" s="12"/>
      <c r="K925" s="12"/>
      <c r="L925" s="12"/>
      <c r="M925" s="12"/>
      <c r="N925" s="12"/>
    </row>
    <row r="926" ht="15.75" customHeight="1">
      <c r="A926" s="12"/>
      <c r="B926" s="12"/>
      <c r="C926" s="12"/>
      <c r="D926" s="12"/>
      <c r="E926" s="12"/>
      <c r="F926" s="12"/>
      <c r="G926" s="12"/>
      <c r="H926" s="12"/>
      <c r="I926" s="12"/>
      <c r="J926" s="12"/>
      <c r="K926" s="12"/>
      <c r="L926" s="12"/>
      <c r="M926" s="12"/>
      <c r="N926" s="12"/>
    </row>
    <row r="927" ht="15.75" customHeight="1">
      <c r="A927" s="12"/>
      <c r="B927" s="12"/>
      <c r="C927" s="12"/>
      <c r="D927" s="12"/>
      <c r="E927" s="12"/>
      <c r="F927" s="12"/>
      <c r="G927" s="12"/>
      <c r="H927" s="12"/>
      <c r="I927" s="12"/>
      <c r="J927" s="12"/>
      <c r="K927" s="12"/>
      <c r="L927" s="12"/>
      <c r="M927" s="12"/>
      <c r="N927" s="12"/>
    </row>
    <row r="928" ht="15.75" customHeight="1">
      <c r="A928" s="12"/>
      <c r="B928" s="12"/>
      <c r="C928" s="12"/>
      <c r="D928" s="12"/>
      <c r="E928" s="12"/>
      <c r="F928" s="12"/>
      <c r="G928" s="12"/>
      <c r="H928" s="12"/>
      <c r="I928" s="12"/>
      <c r="J928" s="12"/>
      <c r="K928" s="12"/>
      <c r="L928" s="12"/>
      <c r="M928" s="12"/>
      <c r="N928" s="12"/>
    </row>
    <row r="929" ht="15.75" customHeight="1">
      <c r="A929" s="12"/>
      <c r="B929" s="12"/>
      <c r="C929" s="12"/>
      <c r="D929" s="12"/>
      <c r="E929" s="12"/>
      <c r="F929" s="12"/>
      <c r="G929" s="12"/>
      <c r="H929" s="12"/>
      <c r="I929" s="12"/>
      <c r="J929" s="12"/>
      <c r="K929" s="12"/>
      <c r="L929" s="12"/>
      <c r="M929" s="12"/>
      <c r="N929" s="12"/>
    </row>
    <row r="930" ht="15.75" customHeight="1">
      <c r="A930" s="12"/>
      <c r="B930" s="12"/>
      <c r="C930" s="12"/>
      <c r="D930" s="12"/>
      <c r="E930" s="12"/>
      <c r="F930" s="12"/>
      <c r="G930" s="12"/>
      <c r="H930" s="12"/>
      <c r="I930" s="12"/>
      <c r="J930" s="12"/>
      <c r="K930" s="12"/>
      <c r="L930" s="12"/>
      <c r="M930" s="12"/>
      <c r="N930" s="12"/>
    </row>
    <row r="931" ht="15.75" customHeight="1">
      <c r="A931" s="12"/>
      <c r="B931" s="12"/>
      <c r="C931" s="12"/>
      <c r="D931" s="12"/>
      <c r="E931" s="12"/>
      <c r="F931" s="12"/>
      <c r="G931" s="12"/>
      <c r="H931" s="12"/>
      <c r="I931" s="12"/>
      <c r="J931" s="12"/>
      <c r="K931" s="12"/>
      <c r="L931" s="12"/>
      <c r="M931" s="12"/>
      <c r="N931" s="12"/>
    </row>
    <row r="932" ht="15.75" customHeight="1">
      <c r="A932" s="12"/>
      <c r="B932" s="12"/>
      <c r="C932" s="12"/>
      <c r="D932" s="12"/>
      <c r="E932" s="12"/>
      <c r="F932" s="12"/>
      <c r="G932" s="12"/>
      <c r="H932" s="12"/>
      <c r="I932" s="12"/>
      <c r="J932" s="12"/>
      <c r="K932" s="12"/>
      <c r="L932" s="12"/>
      <c r="M932" s="12"/>
      <c r="N932" s="12"/>
    </row>
    <row r="933" ht="15.75" customHeight="1">
      <c r="A933" s="12"/>
      <c r="B933" s="12"/>
      <c r="C933" s="12"/>
      <c r="D933" s="12"/>
      <c r="E933" s="12"/>
      <c r="F933" s="12"/>
      <c r="G933" s="12"/>
      <c r="H933" s="12"/>
      <c r="I933" s="12"/>
      <c r="J933" s="12"/>
      <c r="K933" s="12"/>
      <c r="L933" s="12"/>
      <c r="M933" s="12"/>
      <c r="N933" s="12"/>
    </row>
    <row r="934" ht="15.75" customHeight="1">
      <c r="A934" s="12"/>
      <c r="B934" s="12"/>
      <c r="C934" s="12"/>
      <c r="D934" s="12"/>
      <c r="E934" s="12"/>
      <c r="F934" s="12"/>
      <c r="G934" s="12"/>
      <c r="H934" s="12"/>
      <c r="I934" s="12"/>
      <c r="J934" s="12"/>
      <c r="K934" s="12"/>
      <c r="L934" s="12"/>
      <c r="M934" s="12"/>
      <c r="N934" s="12"/>
    </row>
    <row r="935" ht="15.75" customHeight="1">
      <c r="A935" s="12"/>
      <c r="B935" s="12"/>
      <c r="C935" s="12"/>
      <c r="D935" s="12"/>
      <c r="E935" s="12"/>
      <c r="F935" s="12"/>
      <c r="G935" s="12"/>
      <c r="H935" s="12"/>
      <c r="I935" s="12"/>
      <c r="J935" s="12"/>
      <c r="K935" s="12"/>
      <c r="L935" s="12"/>
      <c r="M935" s="12"/>
      <c r="N935" s="12"/>
    </row>
    <row r="936" ht="15.75" customHeight="1">
      <c r="A936" s="12"/>
      <c r="B936" s="12"/>
      <c r="C936" s="12"/>
      <c r="D936" s="12"/>
      <c r="E936" s="12"/>
      <c r="F936" s="12"/>
      <c r="G936" s="12"/>
      <c r="H936" s="12"/>
      <c r="I936" s="12"/>
      <c r="J936" s="12"/>
      <c r="K936" s="12"/>
      <c r="L936" s="12"/>
      <c r="M936" s="12"/>
      <c r="N936" s="12"/>
    </row>
    <row r="937" ht="15.75" customHeight="1">
      <c r="A937" s="12"/>
      <c r="B937" s="12"/>
      <c r="C937" s="12"/>
      <c r="D937" s="12"/>
      <c r="E937" s="12"/>
      <c r="F937" s="12"/>
      <c r="G937" s="12"/>
      <c r="H937" s="12"/>
      <c r="I937" s="12"/>
      <c r="J937" s="12"/>
      <c r="K937" s="12"/>
      <c r="L937" s="12"/>
      <c r="M937" s="12"/>
      <c r="N937" s="12"/>
    </row>
    <row r="938" ht="15.75" customHeight="1">
      <c r="A938" s="12"/>
      <c r="B938" s="12"/>
      <c r="C938" s="12"/>
      <c r="D938" s="12"/>
      <c r="E938" s="12"/>
      <c r="F938" s="12"/>
      <c r="G938" s="12"/>
      <c r="H938" s="12"/>
      <c r="I938" s="12"/>
      <c r="J938" s="12"/>
      <c r="K938" s="12"/>
      <c r="L938" s="12"/>
      <c r="M938" s="12"/>
      <c r="N938" s="12"/>
    </row>
    <row r="939" ht="15.75" customHeight="1">
      <c r="A939" s="12"/>
      <c r="B939" s="12"/>
      <c r="C939" s="12"/>
      <c r="D939" s="12"/>
      <c r="E939" s="12"/>
      <c r="F939" s="12"/>
      <c r="G939" s="12"/>
      <c r="H939" s="12"/>
      <c r="I939" s="12"/>
      <c r="J939" s="12"/>
      <c r="K939" s="12"/>
      <c r="L939" s="12"/>
      <c r="M939" s="12"/>
      <c r="N939" s="12"/>
    </row>
    <row r="940" ht="15.75" customHeight="1">
      <c r="A940" s="12"/>
      <c r="B940" s="12"/>
      <c r="C940" s="12"/>
      <c r="D940" s="12"/>
      <c r="E940" s="12"/>
      <c r="F940" s="12"/>
      <c r="G940" s="12"/>
      <c r="H940" s="12"/>
      <c r="I940" s="12"/>
      <c r="J940" s="12"/>
      <c r="K940" s="12"/>
      <c r="L940" s="12"/>
      <c r="M940" s="12"/>
      <c r="N940" s="12"/>
    </row>
    <row r="941" ht="15.75" customHeight="1">
      <c r="A941" s="12"/>
      <c r="B941" s="12"/>
      <c r="C941" s="12"/>
      <c r="D941" s="12"/>
      <c r="E941" s="12"/>
      <c r="F941" s="12"/>
      <c r="G941" s="12"/>
      <c r="H941" s="12"/>
      <c r="I941" s="12"/>
      <c r="J941" s="12"/>
      <c r="K941" s="12"/>
      <c r="L941" s="12"/>
      <c r="M941" s="12"/>
      <c r="N941" s="12"/>
    </row>
    <row r="942" ht="15.75" customHeight="1">
      <c r="A942" s="12"/>
      <c r="B942" s="12"/>
      <c r="C942" s="12"/>
      <c r="D942" s="12"/>
      <c r="E942" s="12"/>
      <c r="F942" s="12"/>
      <c r="G942" s="12"/>
      <c r="H942" s="12"/>
      <c r="I942" s="12"/>
      <c r="J942" s="12"/>
      <c r="K942" s="12"/>
      <c r="L942" s="12"/>
      <c r="M942" s="12"/>
      <c r="N942" s="12"/>
    </row>
    <row r="943" ht="15.75" customHeight="1">
      <c r="A943" s="12"/>
      <c r="B943" s="12"/>
      <c r="C943" s="12"/>
      <c r="D943" s="12"/>
      <c r="E943" s="12"/>
      <c r="F943" s="12"/>
      <c r="G943" s="12"/>
      <c r="H943" s="12"/>
      <c r="I943" s="12"/>
      <c r="J943" s="12"/>
      <c r="K943" s="12"/>
      <c r="L943" s="12"/>
      <c r="M943" s="12"/>
      <c r="N943" s="12"/>
    </row>
    <row r="944" ht="15.75" customHeight="1">
      <c r="A944" s="12"/>
      <c r="B944" s="12"/>
      <c r="C944" s="12"/>
      <c r="D944" s="12"/>
      <c r="E944" s="12"/>
      <c r="F944" s="12"/>
      <c r="G944" s="12"/>
      <c r="H944" s="12"/>
      <c r="I944" s="12"/>
      <c r="J944" s="12"/>
      <c r="K944" s="12"/>
      <c r="L944" s="12"/>
      <c r="M944" s="12"/>
      <c r="N944" s="12"/>
    </row>
    <row r="945" ht="15.75" customHeight="1">
      <c r="A945" s="12"/>
      <c r="B945" s="12"/>
      <c r="C945" s="12"/>
      <c r="D945" s="12"/>
      <c r="E945" s="12"/>
      <c r="F945" s="12"/>
      <c r="G945" s="12"/>
      <c r="H945" s="12"/>
      <c r="I945" s="12"/>
      <c r="J945" s="12"/>
      <c r="K945" s="12"/>
      <c r="L945" s="12"/>
      <c r="M945" s="12"/>
      <c r="N945" s="12"/>
    </row>
    <row r="946" ht="15.75" customHeight="1">
      <c r="A946" s="12"/>
      <c r="B946" s="12"/>
      <c r="C946" s="12"/>
      <c r="D946" s="12"/>
      <c r="E946" s="12"/>
      <c r="F946" s="12"/>
      <c r="G946" s="12"/>
      <c r="H946" s="12"/>
      <c r="I946" s="12"/>
      <c r="J946" s="12"/>
      <c r="K946" s="12"/>
      <c r="L946" s="12"/>
      <c r="M946" s="12"/>
      <c r="N946" s="12"/>
    </row>
    <row r="947" ht="15.75" customHeight="1">
      <c r="A947" s="12"/>
      <c r="B947" s="12"/>
      <c r="C947" s="12"/>
      <c r="D947" s="12"/>
      <c r="E947" s="12"/>
      <c r="F947" s="12"/>
      <c r="G947" s="12"/>
      <c r="H947" s="12"/>
      <c r="I947" s="12"/>
      <c r="J947" s="12"/>
      <c r="K947" s="12"/>
      <c r="L947" s="12"/>
      <c r="M947" s="12"/>
      <c r="N947" s="12"/>
    </row>
    <row r="948" ht="15.75" customHeight="1">
      <c r="A948" s="12"/>
      <c r="B948" s="12"/>
      <c r="C948" s="12"/>
      <c r="D948" s="12"/>
      <c r="E948" s="12"/>
      <c r="F948" s="12"/>
      <c r="G948" s="12"/>
      <c r="H948" s="12"/>
      <c r="I948" s="12"/>
      <c r="J948" s="12"/>
      <c r="K948" s="12"/>
      <c r="L948" s="12"/>
      <c r="M948" s="12"/>
      <c r="N948" s="12"/>
    </row>
    <row r="949" ht="15.75" customHeight="1">
      <c r="A949" s="12"/>
      <c r="B949" s="12"/>
      <c r="C949" s="12"/>
      <c r="D949" s="12"/>
      <c r="E949" s="12"/>
      <c r="F949" s="12"/>
      <c r="G949" s="12"/>
      <c r="H949" s="12"/>
      <c r="I949" s="12"/>
      <c r="J949" s="12"/>
      <c r="K949" s="12"/>
      <c r="L949" s="12"/>
      <c r="M949" s="12"/>
      <c r="N949" s="12"/>
    </row>
    <row r="950" ht="15.75" customHeight="1">
      <c r="A950" s="12"/>
      <c r="B950" s="12"/>
      <c r="C950" s="12"/>
      <c r="D950" s="12"/>
      <c r="E950" s="12"/>
      <c r="F950" s="12"/>
      <c r="G950" s="12"/>
      <c r="H950" s="12"/>
      <c r="I950" s="12"/>
      <c r="J950" s="12"/>
      <c r="K950" s="12"/>
      <c r="L950" s="12"/>
      <c r="M950" s="12"/>
      <c r="N950" s="12"/>
    </row>
    <row r="951" ht="15.75" customHeight="1">
      <c r="A951" s="12"/>
      <c r="B951" s="12"/>
      <c r="C951" s="12"/>
      <c r="D951" s="12"/>
      <c r="E951" s="12"/>
      <c r="F951" s="12"/>
      <c r="G951" s="12"/>
      <c r="H951" s="12"/>
      <c r="I951" s="12"/>
      <c r="J951" s="12"/>
      <c r="K951" s="12"/>
      <c r="L951" s="12"/>
      <c r="M951" s="12"/>
      <c r="N951" s="12"/>
    </row>
    <row r="952" ht="15.75" customHeight="1">
      <c r="A952" s="12"/>
      <c r="B952" s="12"/>
      <c r="C952" s="12"/>
      <c r="D952" s="12"/>
      <c r="E952" s="12"/>
      <c r="F952" s="12"/>
      <c r="G952" s="12"/>
      <c r="H952" s="12"/>
      <c r="I952" s="12"/>
      <c r="J952" s="12"/>
      <c r="K952" s="12"/>
      <c r="L952" s="12"/>
      <c r="M952" s="12"/>
      <c r="N952" s="12"/>
    </row>
    <row r="953" ht="15.75" customHeight="1">
      <c r="A953" s="12"/>
      <c r="B953" s="12"/>
      <c r="C953" s="12"/>
      <c r="D953" s="12"/>
      <c r="E953" s="12"/>
      <c r="F953" s="12"/>
      <c r="G953" s="12"/>
      <c r="H953" s="12"/>
      <c r="I953" s="12"/>
      <c r="J953" s="12"/>
      <c r="K953" s="12"/>
      <c r="L953" s="12"/>
      <c r="M953" s="12"/>
      <c r="N953" s="12"/>
    </row>
    <row r="954" ht="15.75" customHeight="1">
      <c r="A954" s="12"/>
      <c r="B954" s="12"/>
      <c r="C954" s="12"/>
      <c r="D954" s="12"/>
      <c r="E954" s="12"/>
      <c r="F954" s="12"/>
      <c r="G954" s="12"/>
      <c r="H954" s="12"/>
      <c r="I954" s="12"/>
      <c r="J954" s="12"/>
      <c r="K954" s="12"/>
      <c r="L954" s="12"/>
      <c r="M954" s="12"/>
      <c r="N954" s="12"/>
    </row>
    <row r="955" ht="15.75" customHeight="1">
      <c r="A955" s="12"/>
      <c r="B955" s="12"/>
      <c r="C955" s="12"/>
      <c r="D955" s="12"/>
      <c r="E955" s="12"/>
      <c r="F955" s="12"/>
      <c r="G955" s="12"/>
      <c r="H955" s="12"/>
      <c r="I955" s="12"/>
      <c r="J955" s="12"/>
      <c r="K955" s="12"/>
      <c r="L955" s="12"/>
      <c r="M955" s="12"/>
      <c r="N955" s="12"/>
    </row>
    <row r="956" ht="15.75" customHeight="1">
      <c r="A956" s="12"/>
      <c r="B956" s="12"/>
      <c r="C956" s="12"/>
      <c r="D956" s="12"/>
      <c r="E956" s="12"/>
      <c r="F956" s="12"/>
      <c r="G956" s="12"/>
      <c r="H956" s="12"/>
      <c r="I956" s="12"/>
      <c r="J956" s="12"/>
      <c r="K956" s="12"/>
      <c r="L956" s="12"/>
      <c r="M956" s="12"/>
      <c r="N956" s="12"/>
    </row>
    <row r="957" ht="15.75" customHeight="1">
      <c r="A957" s="12"/>
      <c r="B957" s="12"/>
      <c r="C957" s="12"/>
      <c r="D957" s="12"/>
      <c r="E957" s="12"/>
      <c r="F957" s="12"/>
      <c r="G957" s="12"/>
      <c r="H957" s="12"/>
      <c r="I957" s="12"/>
      <c r="J957" s="12"/>
      <c r="K957" s="12"/>
      <c r="L957" s="12"/>
      <c r="M957" s="12"/>
      <c r="N957" s="12"/>
    </row>
    <row r="958" ht="15.75" customHeight="1">
      <c r="A958" s="12"/>
      <c r="B958" s="12"/>
      <c r="C958" s="12"/>
      <c r="D958" s="12"/>
      <c r="E958" s="12"/>
      <c r="F958" s="12"/>
      <c r="G958" s="12"/>
      <c r="H958" s="12"/>
      <c r="I958" s="12"/>
      <c r="J958" s="12"/>
      <c r="K958" s="12"/>
      <c r="L958" s="12"/>
      <c r="M958" s="12"/>
      <c r="N958" s="12"/>
    </row>
    <row r="959" ht="15.75" customHeight="1">
      <c r="A959" s="12"/>
      <c r="B959" s="12"/>
      <c r="C959" s="12"/>
      <c r="D959" s="12"/>
      <c r="E959" s="12"/>
      <c r="F959" s="12"/>
      <c r="G959" s="12"/>
      <c r="H959" s="12"/>
      <c r="I959" s="12"/>
      <c r="J959" s="12"/>
      <c r="K959" s="12"/>
      <c r="L959" s="12"/>
      <c r="M959" s="12"/>
      <c r="N959" s="12"/>
    </row>
    <row r="960" ht="15.75" customHeight="1">
      <c r="A960" s="12"/>
      <c r="B960" s="12"/>
      <c r="C960" s="12"/>
      <c r="D960" s="12"/>
      <c r="E960" s="12"/>
      <c r="F960" s="12"/>
      <c r="G960" s="12"/>
      <c r="H960" s="12"/>
      <c r="I960" s="12"/>
      <c r="J960" s="12"/>
      <c r="K960" s="12"/>
      <c r="L960" s="12"/>
      <c r="M960" s="12"/>
      <c r="N960" s="12"/>
    </row>
    <row r="961" ht="15.75" customHeight="1">
      <c r="A961" s="12"/>
      <c r="B961" s="12"/>
      <c r="C961" s="12"/>
      <c r="D961" s="12"/>
      <c r="E961" s="12"/>
      <c r="F961" s="12"/>
      <c r="G961" s="12"/>
      <c r="H961" s="12"/>
      <c r="I961" s="12"/>
      <c r="J961" s="12"/>
      <c r="K961" s="12"/>
      <c r="L961" s="12"/>
      <c r="M961" s="12"/>
      <c r="N961" s="12"/>
    </row>
    <row r="962" ht="15.75" customHeight="1">
      <c r="A962" s="12"/>
      <c r="B962" s="12"/>
      <c r="C962" s="12"/>
      <c r="D962" s="12"/>
      <c r="E962" s="12"/>
      <c r="F962" s="12"/>
      <c r="G962" s="12"/>
      <c r="H962" s="12"/>
      <c r="I962" s="12"/>
      <c r="J962" s="12"/>
      <c r="K962" s="12"/>
      <c r="L962" s="12"/>
      <c r="M962" s="12"/>
      <c r="N962" s="12"/>
    </row>
    <row r="963" ht="15.75" customHeight="1">
      <c r="A963" s="12"/>
      <c r="B963" s="12"/>
      <c r="C963" s="12"/>
      <c r="D963" s="12"/>
      <c r="E963" s="12"/>
      <c r="F963" s="12"/>
      <c r="G963" s="12"/>
      <c r="H963" s="12"/>
      <c r="I963" s="12"/>
      <c r="J963" s="12"/>
      <c r="K963" s="12"/>
      <c r="L963" s="12"/>
      <c r="M963" s="12"/>
      <c r="N963" s="12"/>
    </row>
    <row r="964" ht="15.75" customHeight="1">
      <c r="A964" s="12"/>
      <c r="B964" s="12"/>
      <c r="C964" s="12"/>
      <c r="D964" s="12"/>
      <c r="E964" s="12"/>
      <c r="F964" s="12"/>
      <c r="G964" s="12"/>
      <c r="H964" s="12"/>
      <c r="I964" s="12"/>
      <c r="J964" s="12"/>
      <c r="K964" s="12"/>
      <c r="L964" s="12"/>
      <c r="M964" s="12"/>
      <c r="N964" s="12"/>
    </row>
    <row r="965" ht="15.75" customHeight="1">
      <c r="A965" s="12"/>
      <c r="B965" s="12"/>
      <c r="C965" s="12"/>
      <c r="D965" s="12"/>
      <c r="E965" s="12"/>
      <c r="F965" s="12"/>
      <c r="G965" s="12"/>
      <c r="H965" s="12"/>
      <c r="I965" s="12"/>
      <c r="J965" s="12"/>
      <c r="K965" s="12"/>
      <c r="L965" s="12"/>
      <c r="M965" s="12"/>
      <c r="N965" s="12"/>
    </row>
    <row r="966" ht="15.75" customHeight="1">
      <c r="A966" s="12"/>
      <c r="B966" s="12"/>
      <c r="C966" s="12"/>
      <c r="D966" s="12"/>
      <c r="E966" s="12"/>
      <c r="F966" s="12"/>
      <c r="G966" s="12"/>
      <c r="H966" s="12"/>
      <c r="I966" s="12"/>
      <c r="J966" s="12"/>
      <c r="K966" s="12"/>
      <c r="L966" s="12"/>
      <c r="M966" s="12"/>
      <c r="N966" s="12"/>
    </row>
    <row r="967" ht="15.75" customHeight="1">
      <c r="A967" s="12"/>
      <c r="B967" s="12"/>
      <c r="C967" s="12"/>
      <c r="D967" s="12"/>
      <c r="E967" s="12"/>
      <c r="F967" s="12"/>
      <c r="G967" s="12"/>
      <c r="H967" s="12"/>
      <c r="I967" s="12"/>
      <c r="J967" s="12"/>
      <c r="K967" s="12"/>
      <c r="L967" s="12"/>
      <c r="M967" s="12"/>
      <c r="N967" s="12"/>
    </row>
    <row r="968" ht="15.75" customHeight="1">
      <c r="A968" s="12"/>
      <c r="B968" s="12"/>
      <c r="C968" s="12"/>
      <c r="D968" s="12"/>
      <c r="E968" s="12"/>
      <c r="F968" s="12"/>
      <c r="G968" s="12"/>
      <c r="H968" s="12"/>
      <c r="I968" s="12"/>
      <c r="J968" s="12"/>
      <c r="K968" s="12"/>
      <c r="L968" s="12"/>
      <c r="M968" s="12"/>
      <c r="N968" s="12"/>
    </row>
    <row r="969" ht="15.75" customHeight="1">
      <c r="A969" s="12"/>
      <c r="B969" s="12"/>
      <c r="C969" s="12"/>
      <c r="D969" s="12"/>
      <c r="E969" s="12"/>
      <c r="F969" s="12"/>
      <c r="G969" s="12"/>
      <c r="H969" s="12"/>
      <c r="I969" s="12"/>
      <c r="J969" s="12"/>
      <c r="K969" s="12"/>
      <c r="L969" s="12"/>
      <c r="M969" s="12"/>
      <c r="N969" s="12"/>
    </row>
    <row r="970" ht="15.75" customHeight="1">
      <c r="A970" s="12"/>
      <c r="B970" s="12"/>
      <c r="C970" s="12"/>
      <c r="D970" s="12"/>
      <c r="E970" s="12"/>
      <c r="F970" s="12"/>
      <c r="G970" s="12"/>
      <c r="H970" s="12"/>
      <c r="I970" s="12"/>
      <c r="J970" s="12"/>
      <c r="K970" s="12"/>
      <c r="L970" s="12"/>
      <c r="M970" s="12"/>
      <c r="N970" s="12"/>
    </row>
    <row r="971" ht="15.75" customHeight="1">
      <c r="A971" s="12"/>
      <c r="B971" s="12"/>
      <c r="C971" s="12"/>
      <c r="D971" s="12"/>
      <c r="E971" s="12"/>
      <c r="F971" s="12"/>
      <c r="G971" s="12"/>
      <c r="H971" s="12"/>
      <c r="I971" s="12"/>
      <c r="J971" s="12"/>
      <c r="K971" s="12"/>
      <c r="L971" s="12"/>
      <c r="M971" s="12"/>
      <c r="N971" s="12"/>
    </row>
    <row r="972" ht="15.75" customHeight="1">
      <c r="A972" s="12"/>
      <c r="B972" s="12"/>
      <c r="C972" s="12"/>
      <c r="D972" s="12"/>
      <c r="E972" s="12"/>
      <c r="F972" s="12"/>
      <c r="G972" s="12"/>
      <c r="H972" s="12"/>
      <c r="I972" s="12"/>
      <c r="J972" s="12"/>
      <c r="K972" s="12"/>
      <c r="L972" s="12"/>
      <c r="M972" s="12"/>
      <c r="N972" s="12"/>
    </row>
    <row r="973" ht="15.75" customHeight="1">
      <c r="A973" s="12"/>
      <c r="B973" s="12"/>
      <c r="C973" s="12"/>
      <c r="D973" s="12"/>
      <c r="E973" s="12"/>
      <c r="F973" s="12"/>
      <c r="G973" s="12"/>
      <c r="H973" s="12"/>
      <c r="I973" s="12"/>
      <c r="J973" s="12"/>
      <c r="K973" s="12"/>
      <c r="L973" s="12"/>
      <c r="M973" s="12"/>
      <c r="N973" s="12"/>
    </row>
    <row r="974" ht="15.75" customHeight="1">
      <c r="A974" s="12"/>
      <c r="B974" s="12"/>
      <c r="C974" s="12"/>
      <c r="D974" s="12"/>
      <c r="E974" s="12"/>
      <c r="F974" s="12"/>
      <c r="G974" s="12"/>
      <c r="H974" s="12"/>
      <c r="I974" s="12"/>
      <c r="J974" s="12"/>
      <c r="K974" s="12"/>
      <c r="L974" s="12"/>
      <c r="M974" s="12"/>
      <c r="N974" s="12"/>
    </row>
    <row r="975" ht="15.75" customHeight="1">
      <c r="A975" s="12"/>
      <c r="B975" s="12"/>
      <c r="C975" s="12"/>
      <c r="D975" s="12"/>
      <c r="E975" s="12"/>
      <c r="F975" s="12"/>
      <c r="G975" s="12"/>
      <c r="H975" s="12"/>
      <c r="I975" s="12"/>
      <c r="J975" s="12"/>
      <c r="K975" s="12"/>
      <c r="L975" s="12"/>
      <c r="M975" s="12"/>
      <c r="N975" s="12"/>
    </row>
    <row r="976" ht="15.75" customHeight="1">
      <c r="A976" s="12"/>
      <c r="B976" s="12"/>
      <c r="C976" s="12"/>
      <c r="D976" s="12"/>
      <c r="E976" s="12"/>
      <c r="F976" s="12"/>
      <c r="G976" s="12"/>
      <c r="H976" s="12"/>
      <c r="I976" s="12"/>
      <c r="J976" s="12"/>
      <c r="K976" s="12"/>
      <c r="L976" s="12"/>
      <c r="M976" s="12"/>
      <c r="N976" s="12"/>
    </row>
    <row r="977" ht="15.75" customHeight="1">
      <c r="A977" s="12"/>
      <c r="B977" s="12"/>
      <c r="C977" s="12"/>
      <c r="D977" s="12"/>
      <c r="E977" s="12"/>
      <c r="F977" s="12"/>
      <c r="G977" s="12"/>
      <c r="H977" s="12"/>
      <c r="I977" s="12"/>
      <c r="J977" s="12"/>
      <c r="K977" s="12"/>
      <c r="L977" s="12"/>
      <c r="M977" s="12"/>
      <c r="N977" s="12"/>
    </row>
    <row r="978" ht="15.75" customHeight="1">
      <c r="A978" s="12"/>
      <c r="B978" s="12"/>
      <c r="C978" s="12"/>
      <c r="D978" s="12"/>
      <c r="E978" s="12"/>
      <c r="F978" s="12"/>
      <c r="G978" s="12"/>
      <c r="H978" s="12"/>
      <c r="I978" s="12"/>
      <c r="J978" s="12"/>
      <c r="K978" s="12"/>
      <c r="L978" s="12"/>
      <c r="M978" s="12"/>
      <c r="N978" s="12"/>
    </row>
    <row r="979" ht="15.75" customHeight="1">
      <c r="A979" s="12"/>
      <c r="B979" s="12"/>
      <c r="C979" s="12"/>
      <c r="D979" s="12"/>
      <c r="E979" s="12"/>
      <c r="F979" s="12"/>
      <c r="G979" s="12"/>
      <c r="H979" s="12"/>
      <c r="I979" s="12"/>
      <c r="J979" s="12"/>
      <c r="K979" s="12"/>
      <c r="L979" s="12"/>
      <c r="M979" s="12"/>
      <c r="N979" s="12"/>
    </row>
    <row r="980" ht="15.75" customHeight="1">
      <c r="A980" s="12"/>
      <c r="B980" s="12"/>
      <c r="C980" s="12"/>
      <c r="D980" s="12"/>
      <c r="E980" s="12"/>
      <c r="F980" s="12"/>
      <c r="G980" s="12"/>
      <c r="H980" s="12"/>
      <c r="I980" s="12"/>
      <c r="J980" s="12"/>
      <c r="K980" s="12"/>
      <c r="L980" s="12"/>
      <c r="M980" s="12"/>
      <c r="N980" s="12"/>
    </row>
    <row r="981" ht="15.75" customHeight="1">
      <c r="A981" s="12"/>
      <c r="B981" s="12"/>
      <c r="C981" s="12"/>
      <c r="D981" s="12"/>
      <c r="E981" s="12"/>
      <c r="F981" s="12"/>
      <c r="G981" s="12"/>
      <c r="H981" s="12"/>
      <c r="I981" s="12"/>
      <c r="J981" s="12"/>
      <c r="K981" s="12"/>
      <c r="L981" s="12"/>
      <c r="M981" s="12"/>
      <c r="N981" s="12"/>
    </row>
    <row r="982" ht="15.75" customHeight="1">
      <c r="A982" s="12"/>
      <c r="B982" s="12"/>
      <c r="C982" s="12"/>
      <c r="D982" s="12"/>
      <c r="E982" s="12"/>
      <c r="F982" s="12"/>
      <c r="G982" s="12"/>
      <c r="H982" s="12"/>
      <c r="I982" s="12"/>
      <c r="J982" s="12"/>
      <c r="K982" s="12"/>
      <c r="L982" s="12"/>
      <c r="M982" s="12"/>
      <c r="N982" s="12"/>
    </row>
    <row r="983" ht="15.75" customHeight="1">
      <c r="A983" s="12"/>
      <c r="B983" s="12"/>
      <c r="C983" s="12"/>
      <c r="D983" s="12"/>
      <c r="E983" s="12"/>
      <c r="F983" s="12"/>
      <c r="G983" s="12"/>
      <c r="H983" s="12"/>
      <c r="I983" s="12"/>
      <c r="J983" s="12"/>
      <c r="K983" s="12"/>
      <c r="L983" s="12"/>
      <c r="M983" s="12"/>
      <c r="N983" s="12"/>
    </row>
    <row r="984" ht="15.75" customHeight="1">
      <c r="A984" s="12"/>
      <c r="B984" s="12"/>
      <c r="C984" s="12"/>
      <c r="D984" s="12"/>
      <c r="E984" s="12"/>
      <c r="F984" s="12"/>
      <c r="G984" s="12"/>
      <c r="H984" s="12"/>
      <c r="I984" s="12"/>
      <c r="J984" s="12"/>
      <c r="K984" s="12"/>
      <c r="L984" s="12"/>
      <c r="M984" s="12"/>
      <c r="N984" s="12"/>
    </row>
    <row r="985" ht="15.75" customHeight="1">
      <c r="A985" s="12"/>
      <c r="B985" s="12"/>
      <c r="C985" s="12"/>
      <c r="D985" s="12"/>
      <c r="E985" s="12"/>
      <c r="F985" s="12"/>
      <c r="G985" s="12"/>
      <c r="H985" s="12"/>
      <c r="I985" s="12"/>
      <c r="J985" s="12"/>
      <c r="K985" s="12"/>
      <c r="L985" s="12"/>
      <c r="M985" s="12"/>
      <c r="N985" s="12"/>
    </row>
    <row r="986" ht="15.75" customHeight="1">
      <c r="A986" s="12"/>
      <c r="B986" s="12"/>
      <c r="C986" s="12"/>
      <c r="D986" s="12"/>
      <c r="E986" s="12"/>
      <c r="F986" s="12"/>
      <c r="G986" s="12"/>
      <c r="H986" s="12"/>
      <c r="I986" s="12"/>
      <c r="J986" s="12"/>
      <c r="K986" s="12"/>
      <c r="L986" s="12"/>
      <c r="M986" s="12"/>
      <c r="N986" s="12"/>
    </row>
    <row r="987" ht="15.75" customHeight="1">
      <c r="A987" s="12"/>
      <c r="B987" s="12"/>
      <c r="C987" s="12"/>
      <c r="D987" s="12"/>
      <c r="E987" s="12"/>
      <c r="F987" s="12"/>
      <c r="G987" s="12"/>
      <c r="H987" s="12"/>
      <c r="I987" s="12"/>
      <c r="J987" s="12"/>
      <c r="K987" s="12"/>
      <c r="L987" s="12"/>
      <c r="M987" s="12"/>
      <c r="N987" s="12"/>
    </row>
    <row r="988" ht="15.75" customHeight="1">
      <c r="A988" s="12"/>
      <c r="B988" s="12"/>
      <c r="C988" s="12"/>
      <c r="D988" s="12"/>
      <c r="E988" s="12"/>
      <c r="F988" s="12"/>
      <c r="G988" s="12"/>
      <c r="H988" s="12"/>
      <c r="I988" s="12"/>
      <c r="J988" s="12"/>
      <c r="K988" s="12"/>
      <c r="L988" s="12"/>
      <c r="M988" s="12"/>
      <c r="N988" s="12"/>
    </row>
    <row r="989" ht="15.75" customHeight="1">
      <c r="A989" s="12"/>
      <c r="B989" s="12"/>
      <c r="C989" s="12"/>
      <c r="D989" s="12"/>
      <c r="E989" s="12"/>
      <c r="F989" s="12"/>
      <c r="G989" s="12"/>
      <c r="H989" s="12"/>
      <c r="I989" s="12"/>
      <c r="J989" s="12"/>
      <c r="K989" s="12"/>
      <c r="L989" s="12"/>
      <c r="M989" s="12"/>
      <c r="N989" s="12"/>
    </row>
    <row r="990" ht="15.75" customHeight="1">
      <c r="A990" s="12"/>
      <c r="B990" s="12"/>
      <c r="C990" s="12"/>
      <c r="D990" s="12"/>
      <c r="E990" s="12"/>
      <c r="F990" s="12"/>
      <c r="G990" s="12"/>
      <c r="H990" s="12"/>
      <c r="I990" s="12"/>
      <c r="J990" s="12"/>
      <c r="K990" s="12"/>
      <c r="L990" s="12"/>
      <c r="M990" s="12"/>
      <c r="N990" s="12"/>
    </row>
    <row r="991" ht="15.75" customHeight="1">
      <c r="A991" s="12"/>
      <c r="B991" s="12"/>
      <c r="C991" s="12"/>
      <c r="D991" s="12"/>
      <c r="E991" s="12"/>
      <c r="F991" s="12"/>
      <c r="G991" s="12"/>
      <c r="H991" s="12"/>
      <c r="I991" s="12"/>
      <c r="J991" s="12"/>
      <c r="K991" s="12"/>
      <c r="L991" s="12"/>
      <c r="M991" s="12"/>
      <c r="N991" s="12"/>
    </row>
    <row r="992" ht="15.75" customHeight="1">
      <c r="A992" s="12"/>
      <c r="B992" s="12"/>
      <c r="C992" s="12"/>
      <c r="D992" s="12"/>
      <c r="E992" s="12"/>
      <c r="F992" s="12"/>
      <c r="G992" s="12"/>
      <c r="H992" s="12"/>
      <c r="I992" s="12"/>
      <c r="J992" s="12"/>
      <c r="K992" s="12"/>
      <c r="L992" s="12"/>
      <c r="M992" s="12"/>
      <c r="N992" s="12"/>
    </row>
    <row r="993" ht="15.75" customHeight="1">
      <c r="A993" s="12"/>
      <c r="B993" s="12"/>
      <c r="C993" s="12"/>
      <c r="D993" s="12"/>
      <c r="E993" s="12"/>
      <c r="F993" s="12"/>
      <c r="G993" s="12"/>
      <c r="H993" s="12"/>
      <c r="I993" s="12"/>
      <c r="J993" s="12"/>
      <c r="K993" s="12"/>
      <c r="L993" s="12"/>
      <c r="M993" s="12"/>
      <c r="N993" s="12"/>
    </row>
    <row r="994" ht="15.75" customHeight="1">
      <c r="A994" s="12"/>
      <c r="B994" s="12"/>
      <c r="C994" s="12"/>
      <c r="D994" s="12"/>
      <c r="E994" s="12"/>
      <c r="F994" s="12"/>
      <c r="G994" s="12"/>
      <c r="H994" s="12"/>
      <c r="I994" s="12"/>
      <c r="J994" s="12"/>
      <c r="K994" s="12"/>
      <c r="L994" s="12"/>
      <c r="M994" s="12"/>
      <c r="N994" s="12"/>
    </row>
    <row r="995" ht="15.75" customHeight="1">
      <c r="A995" s="12"/>
      <c r="B995" s="12"/>
      <c r="C995" s="12"/>
      <c r="D995" s="12"/>
      <c r="E995" s="12"/>
      <c r="F995" s="12"/>
      <c r="G995" s="12"/>
      <c r="H995" s="12"/>
      <c r="I995" s="12"/>
      <c r="J995" s="12"/>
      <c r="K995" s="12"/>
      <c r="L995" s="12"/>
      <c r="M995" s="12"/>
      <c r="N995" s="12"/>
    </row>
    <row r="996" ht="15.75" customHeight="1">
      <c r="A996" s="12"/>
      <c r="B996" s="12"/>
      <c r="C996" s="12"/>
      <c r="D996" s="12"/>
      <c r="E996" s="12"/>
      <c r="F996" s="12"/>
      <c r="G996" s="12"/>
      <c r="H996" s="12"/>
      <c r="I996" s="12"/>
      <c r="J996" s="12"/>
      <c r="K996" s="12"/>
      <c r="L996" s="12"/>
      <c r="M996" s="12"/>
      <c r="N996" s="12"/>
    </row>
    <row r="997" ht="15.75" customHeight="1">
      <c r="A997" s="12"/>
      <c r="B997" s="12"/>
      <c r="C997" s="12"/>
      <c r="D997" s="12"/>
      <c r="E997" s="12"/>
      <c r="F997" s="12"/>
      <c r="G997" s="12"/>
      <c r="H997" s="12"/>
      <c r="I997" s="12"/>
      <c r="J997" s="12"/>
      <c r="K997" s="12"/>
      <c r="L997" s="12"/>
      <c r="M997" s="12"/>
      <c r="N997" s="12"/>
    </row>
    <row r="998" ht="15.75" customHeight="1">
      <c r="A998" s="12"/>
      <c r="B998" s="12"/>
      <c r="C998" s="12"/>
      <c r="D998" s="12"/>
      <c r="E998" s="12"/>
      <c r="F998" s="12"/>
      <c r="G998" s="12"/>
      <c r="H998" s="12"/>
      <c r="I998" s="12"/>
      <c r="J998" s="12"/>
      <c r="K998" s="12"/>
      <c r="L998" s="12"/>
      <c r="M998" s="12"/>
      <c r="N998" s="12"/>
    </row>
    <row r="999" ht="15.75" customHeight="1">
      <c r="A999" s="12"/>
      <c r="B999" s="12"/>
      <c r="C999" s="12"/>
      <c r="D999" s="12"/>
      <c r="E999" s="12"/>
      <c r="F999" s="12"/>
      <c r="G999" s="12"/>
      <c r="H999" s="12"/>
      <c r="I999" s="12"/>
      <c r="J999" s="12"/>
      <c r="K999" s="12"/>
      <c r="L999" s="12"/>
      <c r="M999" s="12"/>
      <c r="N999" s="12"/>
    </row>
    <row r="1000" ht="15.75" customHeight="1">
      <c r="A1000" s="12"/>
      <c r="B1000" s="12"/>
      <c r="C1000" s="12"/>
      <c r="D1000" s="12"/>
      <c r="E1000" s="12"/>
      <c r="F1000" s="12"/>
      <c r="G1000" s="12"/>
      <c r="H1000" s="12"/>
      <c r="I1000" s="12"/>
      <c r="J1000" s="12"/>
      <c r="K1000" s="12"/>
      <c r="L1000" s="12"/>
      <c r="M1000" s="12"/>
      <c r="N1000" s="12"/>
    </row>
  </sheetData>
  <printOptions/>
  <pageMargins bottom="1.0" footer="0.0" header="0.0" left="0.75" right="0.75" top="1.0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0.0"/>
    <col customWidth="1" min="2" max="2" width="14.0"/>
    <col customWidth="1" min="3" max="3" width="12.0"/>
    <col customWidth="1" min="4" max="26" width="8.71"/>
  </cols>
  <sheetData>
    <row r="1" ht="15.0" customHeight="1">
      <c r="A1" s="2" t="s">
        <v>27</v>
      </c>
      <c r="B1" s="2" t="s">
        <v>3</v>
      </c>
      <c r="C1" s="2" t="s">
        <v>129</v>
      </c>
      <c r="D1" s="14" t="s">
        <v>130</v>
      </c>
      <c r="E1" s="15" t="s">
        <v>131</v>
      </c>
    </row>
    <row r="2" ht="15.0" customHeight="1">
      <c r="A2" s="3">
        <v>1.0</v>
      </c>
      <c r="B2" s="3" t="s">
        <v>24</v>
      </c>
      <c r="C2" s="3" t="s">
        <v>132</v>
      </c>
      <c r="D2" s="7" t="str">
        <f t="shared" ref="D2:D8" si="1">A2&amp;"_"&amp;B2</f>
        <v>1_U13</v>
      </c>
    </row>
    <row r="3" ht="15.0" customHeight="1">
      <c r="A3" s="3">
        <v>1.0</v>
      </c>
      <c r="B3" s="3" t="s">
        <v>46</v>
      </c>
      <c r="C3" s="3" t="s">
        <v>132</v>
      </c>
      <c r="D3" s="7" t="str">
        <f t="shared" si="1"/>
        <v>1_U14</v>
      </c>
    </row>
    <row r="4" ht="15.0" customHeight="1">
      <c r="A4" s="3">
        <v>1.0</v>
      </c>
      <c r="B4" s="3" t="s">
        <v>58</v>
      </c>
      <c r="C4" s="3" t="s">
        <v>132</v>
      </c>
      <c r="D4" s="7" t="str">
        <f t="shared" si="1"/>
        <v>1_U15</v>
      </c>
    </row>
    <row r="5" ht="15.0" customHeight="1">
      <c r="A5" s="3">
        <v>1.0</v>
      </c>
      <c r="B5" s="3" t="s">
        <v>71</v>
      </c>
      <c r="C5" s="3" t="s">
        <v>132</v>
      </c>
      <c r="D5" s="7" t="str">
        <f t="shared" si="1"/>
        <v>1_U16</v>
      </c>
    </row>
    <row r="6" ht="15.0" customHeight="1">
      <c r="A6" s="3">
        <v>1.0</v>
      </c>
      <c r="B6" s="8" t="s">
        <v>74</v>
      </c>
      <c r="C6" s="3" t="s">
        <v>132</v>
      </c>
      <c r="D6" s="7" t="str">
        <f t="shared" si="1"/>
        <v>1_U17</v>
      </c>
    </row>
    <row r="7" ht="15.0" customHeight="1">
      <c r="A7" s="3">
        <v>1.0</v>
      </c>
      <c r="B7" s="8" t="s">
        <v>115</v>
      </c>
      <c r="C7" s="3" t="s">
        <v>132</v>
      </c>
      <c r="D7" s="7" t="str">
        <f t="shared" si="1"/>
        <v>1_U18</v>
      </c>
    </row>
    <row r="8" ht="15.0" customHeight="1">
      <c r="A8" s="3">
        <v>1.0</v>
      </c>
      <c r="B8" s="3" t="s">
        <v>7</v>
      </c>
      <c r="C8" s="3" t="s">
        <v>132</v>
      </c>
      <c r="D8" s="7" t="str">
        <f t="shared" si="1"/>
        <v>1_LF2</v>
      </c>
    </row>
    <row r="9">
      <c r="A9" s="12"/>
      <c r="B9" s="12"/>
      <c r="C9" s="12"/>
    </row>
    <row r="10">
      <c r="A10" s="12"/>
      <c r="B10" s="12"/>
      <c r="C10" s="12"/>
    </row>
    <row r="11">
      <c r="A11" s="12"/>
      <c r="B11" s="12"/>
      <c r="C11" s="12"/>
    </row>
    <row r="12">
      <c r="A12" s="12"/>
      <c r="B12" s="12"/>
      <c r="C12" s="12"/>
    </row>
    <row r="13">
      <c r="A13" s="12"/>
      <c r="B13" s="12"/>
      <c r="C13" s="12"/>
    </row>
    <row r="14">
      <c r="A14" s="12"/>
      <c r="B14" s="12"/>
      <c r="C14" s="12"/>
    </row>
    <row r="15">
      <c r="A15" s="12"/>
      <c r="B15" s="12"/>
      <c r="C15" s="12"/>
    </row>
    <row r="16">
      <c r="A16" s="12"/>
      <c r="B16" s="12"/>
      <c r="C16" s="12"/>
    </row>
    <row r="17">
      <c r="A17" s="12"/>
      <c r="B17" s="12"/>
      <c r="C17" s="12"/>
    </row>
    <row r="18">
      <c r="A18" s="12"/>
      <c r="B18" s="12"/>
      <c r="C18" s="12"/>
    </row>
    <row r="19">
      <c r="A19" s="12"/>
      <c r="B19" s="12"/>
      <c r="C19" s="12"/>
    </row>
    <row r="20">
      <c r="A20" s="12"/>
      <c r="B20" s="12"/>
      <c r="C20" s="12"/>
    </row>
    <row r="21" ht="15.75" customHeight="1">
      <c r="A21" s="12"/>
      <c r="B21" s="12"/>
      <c r="C21" s="12"/>
    </row>
    <row r="22" ht="15.75" customHeight="1">
      <c r="A22" s="12"/>
      <c r="B22" s="12"/>
      <c r="C22" s="12"/>
    </row>
    <row r="23" ht="15.75" customHeight="1">
      <c r="A23" s="12"/>
      <c r="B23" s="12"/>
      <c r="C23" s="12"/>
    </row>
    <row r="24" ht="15.75" customHeight="1">
      <c r="A24" s="12"/>
      <c r="B24" s="12"/>
      <c r="C24" s="12"/>
    </row>
    <row r="25" ht="15.75" customHeight="1">
      <c r="A25" s="12"/>
      <c r="B25" s="12"/>
      <c r="C25" s="12"/>
    </row>
    <row r="26" ht="15.75" customHeight="1">
      <c r="A26" s="12"/>
      <c r="B26" s="12"/>
      <c r="C26" s="12"/>
    </row>
    <row r="27" ht="15.75" customHeight="1">
      <c r="A27" s="12"/>
      <c r="B27" s="12"/>
      <c r="C27" s="12"/>
    </row>
    <row r="28" ht="15.75" customHeight="1">
      <c r="A28" s="12"/>
      <c r="B28" s="12"/>
      <c r="C28" s="12"/>
    </row>
    <row r="29" ht="15.75" customHeight="1">
      <c r="A29" s="12"/>
      <c r="B29" s="12"/>
      <c r="C29" s="12"/>
    </row>
    <row r="30" ht="15.75" customHeight="1">
      <c r="A30" s="12"/>
      <c r="B30" s="12"/>
      <c r="C30" s="12"/>
    </row>
    <row r="31" ht="15.75" customHeight="1">
      <c r="A31" s="12"/>
      <c r="B31" s="12"/>
      <c r="C31" s="12"/>
    </row>
    <row r="32" ht="15.75" customHeight="1">
      <c r="A32" s="12"/>
      <c r="B32" s="12"/>
      <c r="C32" s="12"/>
    </row>
    <row r="33" ht="15.75" customHeight="1">
      <c r="A33" s="12"/>
      <c r="B33" s="12"/>
      <c r="C33" s="12"/>
    </row>
    <row r="34" ht="15.75" customHeight="1">
      <c r="A34" s="12"/>
      <c r="B34" s="12"/>
      <c r="C34" s="12"/>
    </row>
    <row r="35" ht="15.75" customHeight="1">
      <c r="A35" s="12"/>
      <c r="B35" s="12"/>
      <c r="C35" s="12"/>
    </row>
    <row r="36" ht="15.75" customHeight="1">
      <c r="A36" s="12"/>
      <c r="B36" s="12"/>
      <c r="C36" s="12"/>
    </row>
    <row r="37" ht="15.75" customHeight="1">
      <c r="A37" s="12"/>
      <c r="B37" s="12"/>
      <c r="C37" s="12"/>
    </row>
    <row r="38" ht="15.75" customHeight="1">
      <c r="A38" s="12"/>
      <c r="B38" s="12"/>
      <c r="C38" s="12"/>
    </row>
    <row r="39" ht="15.75" customHeight="1">
      <c r="A39" s="12"/>
      <c r="B39" s="12"/>
      <c r="C39" s="12"/>
    </row>
    <row r="40" ht="15.75" customHeight="1">
      <c r="A40" s="12"/>
      <c r="B40" s="12"/>
      <c r="C40" s="12"/>
    </row>
    <row r="41" ht="15.75" customHeight="1">
      <c r="A41" s="12"/>
      <c r="B41" s="12"/>
      <c r="C41" s="12"/>
    </row>
    <row r="42" ht="15.75" customHeight="1">
      <c r="A42" s="12"/>
      <c r="B42" s="12"/>
      <c r="C42" s="12"/>
    </row>
    <row r="43" ht="15.75" customHeight="1">
      <c r="A43" s="12"/>
      <c r="B43" s="12"/>
      <c r="C43" s="12"/>
    </row>
    <row r="44" ht="15.75" customHeight="1">
      <c r="A44" s="12"/>
      <c r="B44" s="12"/>
      <c r="C44" s="12"/>
    </row>
    <row r="45" ht="15.75" customHeight="1">
      <c r="A45" s="12"/>
      <c r="B45" s="12"/>
      <c r="C45" s="12"/>
    </row>
    <row r="46" ht="15.75" customHeight="1">
      <c r="A46" s="12"/>
      <c r="B46" s="12"/>
      <c r="C46" s="12"/>
    </row>
    <row r="47" ht="15.75" customHeight="1">
      <c r="A47" s="12"/>
      <c r="B47" s="12"/>
      <c r="C47" s="12"/>
    </row>
    <row r="48" ht="15.75" customHeight="1">
      <c r="A48" s="12"/>
      <c r="B48" s="12"/>
      <c r="C48" s="12"/>
    </row>
    <row r="49" ht="15.75" customHeight="1">
      <c r="A49" s="12"/>
      <c r="B49" s="12"/>
      <c r="C49" s="12"/>
    </row>
    <row r="50" ht="15.75" customHeight="1">
      <c r="A50" s="12"/>
      <c r="B50" s="12"/>
      <c r="C50" s="12"/>
    </row>
    <row r="51" ht="15.75" customHeight="1">
      <c r="A51" s="12"/>
      <c r="B51" s="12"/>
      <c r="C51" s="12"/>
    </row>
    <row r="52" ht="15.75" customHeight="1">
      <c r="A52" s="12"/>
      <c r="B52" s="12"/>
      <c r="C52" s="12"/>
    </row>
    <row r="53" ht="15.75" customHeight="1">
      <c r="A53" s="12"/>
      <c r="B53" s="12"/>
      <c r="C53" s="12"/>
    </row>
    <row r="54" ht="15.75" customHeight="1">
      <c r="A54" s="12"/>
      <c r="B54" s="12"/>
      <c r="C54" s="12"/>
    </row>
    <row r="55" ht="15.75" customHeight="1">
      <c r="A55" s="12"/>
      <c r="B55" s="12"/>
      <c r="C55" s="12"/>
    </row>
    <row r="56" ht="15.75" customHeight="1">
      <c r="A56" s="12"/>
      <c r="B56" s="12"/>
      <c r="C56" s="12"/>
    </row>
    <row r="57" ht="15.75" customHeight="1">
      <c r="A57" s="12"/>
      <c r="B57" s="12"/>
      <c r="C57" s="12"/>
    </row>
    <row r="58" ht="15.75" customHeight="1">
      <c r="A58" s="12"/>
      <c r="B58" s="12"/>
      <c r="C58" s="12"/>
    </row>
    <row r="59" ht="15.75" customHeight="1">
      <c r="A59" s="12"/>
      <c r="B59" s="12"/>
      <c r="C59" s="12"/>
    </row>
    <row r="60" ht="15.75" customHeight="1">
      <c r="A60" s="12"/>
      <c r="B60" s="12"/>
      <c r="C60" s="12"/>
    </row>
    <row r="61" ht="15.75" customHeight="1">
      <c r="A61" s="12"/>
      <c r="B61" s="12"/>
      <c r="C61" s="12"/>
    </row>
    <row r="62" ht="15.75" customHeight="1">
      <c r="A62" s="12"/>
      <c r="B62" s="12"/>
      <c r="C62" s="12"/>
    </row>
    <row r="63" ht="15.75" customHeight="1">
      <c r="A63" s="12"/>
      <c r="B63" s="12"/>
      <c r="C63" s="12"/>
    </row>
    <row r="64" ht="15.75" customHeight="1">
      <c r="A64" s="12"/>
      <c r="B64" s="12"/>
      <c r="C64" s="12"/>
    </row>
    <row r="65" ht="15.75" customHeight="1">
      <c r="A65" s="12"/>
      <c r="B65" s="12"/>
      <c r="C65" s="12"/>
    </row>
    <row r="66" ht="15.75" customHeight="1">
      <c r="A66" s="12"/>
      <c r="B66" s="12"/>
      <c r="C66" s="12"/>
    </row>
    <row r="67" ht="15.75" customHeight="1">
      <c r="A67" s="12"/>
      <c r="B67" s="12"/>
      <c r="C67" s="12"/>
    </row>
    <row r="68" ht="15.75" customHeight="1">
      <c r="A68" s="12"/>
      <c r="B68" s="12"/>
      <c r="C68" s="12"/>
    </row>
    <row r="69" ht="15.75" customHeight="1">
      <c r="A69" s="12"/>
      <c r="B69" s="12"/>
      <c r="C69" s="12"/>
    </row>
    <row r="70" ht="15.75" customHeight="1">
      <c r="A70" s="12"/>
      <c r="B70" s="12"/>
      <c r="C70" s="12"/>
    </row>
    <row r="71" ht="15.75" customHeight="1">
      <c r="A71" s="12"/>
      <c r="B71" s="12"/>
      <c r="C71" s="12"/>
    </row>
    <row r="72" ht="15.75" customHeight="1">
      <c r="A72" s="12"/>
      <c r="B72" s="12"/>
      <c r="C72" s="12"/>
    </row>
    <row r="73" ht="15.75" customHeight="1">
      <c r="A73" s="12"/>
      <c r="B73" s="12"/>
      <c r="C73" s="12"/>
    </row>
    <row r="74" ht="15.75" customHeight="1">
      <c r="A74" s="12"/>
      <c r="B74" s="12"/>
      <c r="C74" s="12"/>
    </row>
    <row r="75" ht="15.75" customHeight="1">
      <c r="A75" s="12"/>
      <c r="B75" s="12"/>
      <c r="C75" s="12"/>
    </row>
    <row r="76" ht="15.75" customHeight="1">
      <c r="A76" s="12"/>
      <c r="B76" s="12"/>
      <c r="C76" s="12"/>
    </row>
    <row r="77" ht="15.75" customHeight="1">
      <c r="A77" s="12"/>
      <c r="B77" s="12"/>
      <c r="C77" s="12"/>
    </row>
    <row r="78" ht="15.75" customHeight="1">
      <c r="A78" s="12"/>
      <c r="B78" s="12"/>
      <c r="C78" s="12"/>
    </row>
    <row r="79" ht="15.75" customHeight="1">
      <c r="A79" s="12"/>
      <c r="B79" s="12"/>
      <c r="C79" s="12"/>
    </row>
    <row r="80" ht="15.75" customHeight="1">
      <c r="A80" s="12"/>
      <c r="B80" s="12"/>
      <c r="C80" s="12"/>
    </row>
    <row r="81" ht="15.75" customHeight="1">
      <c r="A81" s="12"/>
      <c r="B81" s="12"/>
      <c r="C81" s="12"/>
    </row>
    <row r="82" ht="15.75" customHeight="1">
      <c r="A82" s="12"/>
      <c r="B82" s="12"/>
      <c r="C82" s="12"/>
    </row>
    <row r="83" ht="15.75" customHeight="1">
      <c r="A83" s="12"/>
      <c r="B83" s="12"/>
      <c r="C83" s="12"/>
    </row>
    <row r="84" ht="15.75" customHeight="1">
      <c r="A84" s="12"/>
      <c r="B84" s="12"/>
      <c r="C84" s="12"/>
    </row>
    <row r="85" ht="15.75" customHeight="1">
      <c r="A85" s="12"/>
      <c r="B85" s="12"/>
      <c r="C85" s="12"/>
    </row>
    <row r="86" ht="15.75" customHeight="1">
      <c r="A86" s="12"/>
      <c r="B86" s="12"/>
      <c r="C86" s="12"/>
    </row>
    <row r="87" ht="15.75" customHeight="1">
      <c r="A87" s="12"/>
      <c r="B87" s="12"/>
      <c r="C87" s="12"/>
    </row>
    <row r="88" ht="15.75" customHeight="1">
      <c r="A88" s="12"/>
      <c r="B88" s="12"/>
      <c r="C88" s="12"/>
    </row>
    <row r="89" ht="15.75" customHeight="1">
      <c r="A89" s="12"/>
      <c r="B89" s="12"/>
      <c r="C89" s="12"/>
    </row>
    <row r="90" ht="15.75" customHeight="1">
      <c r="A90" s="12"/>
      <c r="B90" s="12"/>
      <c r="C90" s="12"/>
    </row>
    <row r="91" ht="15.75" customHeight="1">
      <c r="A91" s="12"/>
      <c r="B91" s="12"/>
      <c r="C91" s="12"/>
    </row>
    <row r="92" ht="15.75" customHeight="1">
      <c r="A92" s="12"/>
      <c r="B92" s="12"/>
      <c r="C92" s="12"/>
    </row>
    <row r="93" ht="15.75" customHeight="1">
      <c r="A93" s="12"/>
      <c r="B93" s="12"/>
      <c r="C93" s="12"/>
    </row>
    <row r="94" ht="15.75" customHeight="1">
      <c r="A94" s="12"/>
      <c r="B94" s="12"/>
      <c r="C94" s="12"/>
    </row>
    <row r="95" ht="15.75" customHeight="1">
      <c r="A95" s="12"/>
      <c r="B95" s="12"/>
      <c r="C95" s="12"/>
    </row>
    <row r="96" ht="15.75" customHeight="1">
      <c r="A96" s="12"/>
      <c r="B96" s="12"/>
      <c r="C96" s="12"/>
    </row>
    <row r="97" ht="15.75" customHeight="1">
      <c r="A97" s="12"/>
      <c r="B97" s="12"/>
      <c r="C97" s="12"/>
    </row>
    <row r="98" ht="15.75" customHeight="1">
      <c r="A98" s="12"/>
      <c r="B98" s="12"/>
      <c r="C98" s="12"/>
    </row>
    <row r="99" ht="15.75" customHeight="1">
      <c r="A99" s="12"/>
      <c r="B99" s="12"/>
      <c r="C99" s="12"/>
    </row>
    <row r="100" ht="15.75" customHeight="1">
      <c r="A100" s="12"/>
      <c r="B100" s="12"/>
      <c r="C100" s="12"/>
    </row>
    <row r="101" ht="15.75" customHeight="1">
      <c r="A101" s="12"/>
      <c r="B101" s="12"/>
      <c r="C101" s="12"/>
    </row>
    <row r="102" ht="15.75" customHeight="1">
      <c r="A102" s="12"/>
      <c r="B102" s="12"/>
      <c r="C102" s="12"/>
    </row>
    <row r="103" ht="15.75" customHeight="1">
      <c r="A103" s="12"/>
      <c r="B103" s="12"/>
      <c r="C103" s="12"/>
    </row>
    <row r="104" ht="15.75" customHeight="1">
      <c r="A104" s="12"/>
      <c r="B104" s="12"/>
      <c r="C104" s="12"/>
    </row>
    <row r="105" ht="15.75" customHeight="1">
      <c r="A105" s="12"/>
      <c r="B105" s="12"/>
      <c r="C105" s="12"/>
    </row>
    <row r="106" ht="15.75" customHeight="1">
      <c r="A106" s="12"/>
      <c r="B106" s="12"/>
      <c r="C106" s="12"/>
    </row>
    <row r="107" ht="15.75" customHeight="1">
      <c r="A107" s="12"/>
      <c r="B107" s="12"/>
      <c r="C107" s="12"/>
    </row>
    <row r="108" ht="15.75" customHeight="1">
      <c r="A108" s="12"/>
      <c r="B108" s="12"/>
      <c r="C108" s="12"/>
    </row>
    <row r="109" ht="15.75" customHeight="1">
      <c r="A109" s="12"/>
      <c r="B109" s="12"/>
      <c r="C109" s="12"/>
    </row>
    <row r="110" ht="15.75" customHeight="1">
      <c r="A110" s="12"/>
      <c r="B110" s="12"/>
      <c r="C110" s="12"/>
    </row>
    <row r="111" ht="15.75" customHeight="1">
      <c r="A111" s="12"/>
      <c r="B111" s="12"/>
      <c r="C111" s="12"/>
    </row>
    <row r="112" ht="15.75" customHeight="1">
      <c r="A112" s="12"/>
      <c r="B112" s="12"/>
      <c r="C112" s="12"/>
    </row>
    <row r="113" ht="15.75" customHeight="1">
      <c r="A113" s="12"/>
      <c r="B113" s="12"/>
      <c r="C113" s="12"/>
    </row>
    <row r="114" ht="15.75" customHeight="1">
      <c r="A114" s="12"/>
      <c r="B114" s="12"/>
      <c r="C114" s="12"/>
    </row>
    <row r="115" ht="15.75" customHeight="1">
      <c r="A115" s="12"/>
      <c r="B115" s="12"/>
      <c r="C115" s="12"/>
    </row>
    <row r="116" ht="15.75" customHeight="1">
      <c r="A116" s="12"/>
      <c r="B116" s="12"/>
      <c r="C116" s="12"/>
    </row>
    <row r="117" ht="15.75" customHeight="1">
      <c r="A117" s="12"/>
      <c r="B117" s="12"/>
      <c r="C117" s="12"/>
    </row>
    <row r="118" ht="15.75" customHeight="1">
      <c r="A118" s="12"/>
      <c r="B118" s="12"/>
      <c r="C118" s="12"/>
    </row>
    <row r="119" ht="15.75" customHeight="1">
      <c r="A119" s="12"/>
      <c r="B119" s="12"/>
      <c r="C119" s="12"/>
    </row>
    <row r="120" ht="15.75" customHeight="1">
      <c r="A120" s="12"/>
      <c r="B120" s="12"/>
      <c r="C120" s="12"/>
    </row>
    <row r="121" ht="15.75" customHeight="1">
      <c r="A121" s="12"/>
      <c r="B121" s="12"/>
      <c r="C121" s="12"/>
    </row>
    <row r="122" ht="15.75" customHeight="1">
      <c r="A122" s="12"/>
      <c r="B122" s="12"/>
      <c r="C122" s="12"/>
    </row>
    <row r="123" ht="15.75" customHeight="1">
      <c r="A123" s="12"/>
      <c r="B123" s="12"/>
      <c r="C123" s="12"/>
    </row>
    <row r="124" ht="15.75" customHeight="1">
      <c r="A124" s="12"/>
      <c r="B124" s="12"/>
      <c r="C124" s="12"/>
    </row>
    <row r="125" ht="15.75" customHeight="1">
      <c r="A125" s="12"/>
      <c r="B125" s="12"/>
      <c r="C125" s="12"/>
    </row>
    <row r="126" ht="15.75" customHeight="1">
      <c r="A126" s="12"/>
      <c r="B126" s="12"/>
      <c r="C126" s="12"/>
    </row>
    <row r="127" ht="15.75" customHeight="1">
      <c r="A127" s="12"/>
      <c r="B127" s="12"/>
      <c r="C127" s="12"/>
    </row>
    <row r="128" ht="15.75" customHeight="1">
      <c r="A128" s="12"/>
      <c r="B128" s="12"/>
      <c r="C128" s="12"/>
    </row>
    <row r="129" ht="15.75" customHeight="1">
      <c r="A129" s="12"/>
      <c r="B129" s="12"/>
      <c r="C129" s="12"/>
    </row>
    <row r="130" ht="15.75" customHeight="1">
      <c r="A130" s="12"/>
      <c r="B130" s="12"/>
      <c r="C130" s="12"/>
    </row>
    <row r="131" ht="15.75" customHeight="1">
      <c r="A131" s="12"/>
      <c r="B131" s="12"/>
      <c r="C131" s="12"/>
    </row>
    <row r="132" ht="15.75" customHeight="1">
      <c r="A132" s="12"/>
      <c r="B132" s="12"/>
      <c r="C132" s="12"/>
    </row>
    <row r="133" ht="15.75" customHeight="1">
      <c r="A133" s="12"/>
      <c r="B133" s="12"/>
      <c r="C133" s="12"/>
    </row>
    <row r="134" ht="15.75" customHeight="1">
      <c r="A134" s="12"/>
      <c r="B134" s="12"/>
      <c r="C134" s="12"/>
    </row>
    <row r="135" ht="15.75" customHeight="1">
      <c r="A135" s="12"/>
      <c r="B135" s="12"/>
      <c r="C135" s="12"/>
    </row>
    <row r="136" ht="15.75" customHeight="1">
      <c r="A136" s="12"/>
      <c r="B136" s="12"/>
      <c r="C136" s="12"/>
    </row>
    <row r="137" ht="15.75" customHeight="1">
      <c r="A137" s="12"/>
      <c r="B137" s="12"/>
      <c r="C137" s="12"/>
    </row>
    <row r="138" ht="15.75" customHeight="1">
      <c r="A138" s="12"/>
      <c r="B138" s="12"/>
      <c r="C138" s="12"/>
    </row>
    <row r="139" ht="15.75" customHeight="1">
      <c r="A139" s="12"/>
      <c r="B139" s="12"/>
      <c r="C139" s="12"/>
    </row>
    <row r="140" ht="15.75" customHeight="1">
      <c r="A140" s="12"/>
      <c r="B140" s="12"/>
      <c r="C140" s="12"/>
    </row>
    <row r="141" ht="15.75" customHeight="1">
      <c r="A141" s="12"/>
      <c r="B141" s="12"/>
      <c r="C141" s="12"/>
    </row>
    <row r="142" ht="15.75" customHeight="1">
      <c r="A142" s="12"/>
      <c r="B142" s="12"/>
      <c r="C142" s="12"/>
    </row>
    <row r="143" ht="15.75" customHeight="1">
      <c r="A143" s="12"/>
      <c r="B143" s="12"/>
      <c r="C143" s="12"/>
    </row>
    <row r="144" ht="15.75" customHeight="1">
      <c r="A144" s="12"/>
      <c r="B144" s="12"/>
      <c r="C144" s="12"/>
    </row>
    <row r="145" ht="15.75" customHeight="1">
      <c r="A145" s="12"/>
      <c r="B145" s="12"/>
      <c r="C145" s="12"/>
    </row>
    <row r="146" ht="15.75" customHeight="1">
      <c r="A146" s="12"/>
      <c r="B146" s="12"/>
      <c r="C146" s="12"/>
    </row>
    <row r="147" ht="15.75" customHeight="1">
      <c r="A147" s="12"/>
      <c r="B147" s="12"/>
      <c r="C147" s="12"/>
    </row>
    <row r="148" ht="15.75" customHeight="1">
      <c r="A148" s="12"/>
      <c r="B148" s="12"/>
      <c r="C148" s="12"/>
    </row>
    <row r="149" ht="15.75" customHeight="1">
      <c r="A149" s="12"/>
      <c r="B149" s="12"/>
      <c r="C149" s="12"/>
    </row>
    <row r="150" ht="15.75" customHeight="1">
      <c r="A150" s="12"/>
      <c r="B150" s="12"/>
      <c r="C150" s="12"/>
    </row>
    <row r="151" ht="15.75" customHeight="1">
      <c r="A151" s="12"/>
      <c r="B151" s="12"/>
      <c r="C151" s="12"/>
    </row>
    <row r="152" ht="15.75" customHeight="1">
      <c r="A152" s="12"/>
      <c r="B152" s="12"/>
      <c r="C152" s="12"/>
    </row>
    <row r="153" ht="15.75" customHeight="1">
      <c r="A153" s="12"/>
      <c r="B153" s="12"/>
      <c r="C153" s="12"/>
    </row>
    <row r="154" ht="15.75" customHeight="1">
      <c r="A154" s="12"/>
      <c r="B154" s="12"/>
      <c r="C154" s="12"/>
    </row>
    <row r="155" ht="15.75" customHeight="1">
      <c r="A155" s="12"/>
      <c r="B155" s="12"/>
      <c r="C155" s="12"/>
    </row>
    <row r="156" ht="15.75" customHeight="1">
      <c r="A156" s="12"/>
      <c r="B156" s="12"/>
      <c r="C156" s="12"/>
    </row>
    <row r="157" ht="15.75" customHeight="1">
      <c r="A157" s="12"/>
      <c r="B157" s="12"/>
      <c r="C157" s="12"/>
    </row>
    <row r="158" ht="15.75" customHeight="1">
      <c r="A158" s="12"/>
      <c r="B158" s="12"/>
      <c r="C158" s="12"/>
    </row>
    <row r="159" ht="15.75" customHeight="1">
      <c r="A159" s="12"/>
      <c r="B159" s="12"/>
      <c r="C159" s="12"/>
    </row>
    <row r="160" ht="15.75" customHeight="1">
      <c r="A160" s="12"/>
      <c r="B160" s="12"/>
      <c r="C160" s="12"/>
    </row>
    <row r="161" ht="15.75" customHeight="1">
      <c r="A161" s="12"/>
      <c r="B161" s="12"/>
      <c r="C161" s="12"/>
    </row>
    <row r="162" ht="15.75" customHeight="1">
      <c r="A162" s="12"/>
      <c r="B162" s="12"/>
      <c r="C162" s="12"/>
    </row>
    <row r="163" ht="15.75" customHeight="1">
      <c r="A163" s="12"/>
      <c r="B163" s="12"/>
      <c r="C163" s="12"/>
    </row>
    <row r="164" ht="15.75" customHeight="1">
      <c r="A164" s="12"/>
      <c r="B164" s="12"/>
      <c r="C164" s="12"/>
    </row>
    <row r="165" ht="15.75" customHeight="1">
      <c r="A165" s="12"/>
      <c r="B165" s="12"/>
      <c r="C165" s="12"/>
    </row>
    <row r="166" ht="15.75" customHeight="1">
      <c r="A166" s="12"/>
      <c r="B166" s="12"/>
      <c r="C166" s="12"/>
    </row>
    <row r="167" ht="15.75" customHeight="1">
      <c r="A167" s="12"/>
      <c r="B167" s="12"/>
      <c r="C167" s="12"/>
    </row>
    <row r="168" ht="15.75" customHeight="1">
      <c r="A168" s="12"/>
      <c r="B168" s="12"/>
      <c r="C168" s="12"/>
    </row>
    <row r="169" ht="15.75" customHeight="1">
      <c r="A169" s="12"/>
      <c r="B169" s="12"/>
      <c r="C169" s="12"/>
    </row>
    <row r="170" ht="15.75" customHeight="1">
      <c r="A170" s="12"/>
      <c r="B170" s="12"/>
      <c r="C170" s="12"/>
    </row>
    <row r="171" ht="15.75" customHeight="1">
      <c r="A171" s="12"/>
      <c r="B171" s="12"/>
      <c r="C171" s="12"/>
    </row>
    <row r="172" ht="15.75" customHeight="1">
      <c r="A172" s="12"/>
      <c r="B172" s="12"/>
      <c r="C172" s="12"/>
    </row>
    <row r="173" ht="15.75" customHeight="1">
      <c r="A173" s="12"/>
      <c r="B173" s="12"/>
      <c r="C173" s="12"/>
    </row>
    <row r="174" ht="15.75" customHeight="1">
      <c r="A174" s="12"/>
      <c r="B174" s="12"/>
      <c r="C174" s="12"/>
    </row>
    <row r="175" ht="15.75" customHeight="1">
      <c r="A175" s="12"/>
      <c r="B175" s="12"/>
      <c r="C175" s="12"/>
    </row>
    <row r="176" ht="15.75" customHeight="1">
      <c r="A176" s="12"/>
      <c r="B176" s="12"/>
      <c r="C176" s="12"/>
    </row>
    <row r="177" ht="15.75" customHeight="1">
      <c r="A177" s="12"/>
      <c r="B177" s="12"/>
      <c r="C177" s="12"/>
    </row>
    <row r="178" ht="15.75" customHeight="1">
      <c r="A178" s="12"/>
      <c r="B178" s="12"/>
      <c r="C178" s="12"/>
    </row>
    <row r="179" ht="15.75" customHeight="1">
      <c r="A179" s="12"/>
      <c r="B179" s="12"/>
      <c r="C179" s="12"/>
    </row>
    <row r="180" ht="15.75" customHeight="1">
      <c r="A180" s="12"/>
      <c r="B180" s="12"/>
      <c r="C180" s="12"/>
    </row>
    <row r="181" ht="15.75" customHeight="1">
      <c r="A181" s="12"/>
      <c r="B181" s="12"/>
      <c r="C181" s="12"/>
    </row>
    <row r="182" ht="15.75" customHeight="1">
      <c r="A182" s="12"/>
      <c r="B182" s="12"/>
      <c r="C182" s="12"/>
    </row>
    <row r="183" ht="15.75" customHeight="1">
      <c r="A183" s="12"/>
      <c r="B183" s="12"/>
      <c r="C183" s="12"/>
    </row>
    <row r="184" ht="15.75" customHeight="1">
      <c r="A184" s="12"/>
      <c r="B184" s="12"/>
      <c r="C184" s="12"/>
    </row>
    <row r="185" ht="15.75" customHeight="1">
      <c r="A185" s="12"/>
      <c r="B185" s="12"/>
      <c r="C185" s="12"/>
    </row>
    <row r="186" ht="15.75" customHeight="1">
      <c r="A186" s="12"/>
      <c r="B186" s="12"/>
      <c r="C186" s="12"/>
    </row>
    <row r="187" ht="15.75" customHeight="1">
      <c r="A187" s="12"/>
      <c r="B187" s="12"/>
      <c r="C187" s="12"/>
    </row>
    <row r="188" ht="15.75" customHeight="1">
      <c r="A188" s="12"/>
      <c r="B188" s="12"/>
      <c r="C188" s="12"/>
    </row>
    <row r="189" ht="15.75" customHeight="1">
      <c r="A189" s="12"/>
      <c r="B189" s="12"/>
      <c r="C189" s="12"/>
    </row>
    <row r="190" ht="15.75" customHeight="1">
      <c r="A190" s="12"/>
      <c r="B190" s="12"/>
      <c r="C190" s="12"/>
    </row>
    <row r="191" ht="15.75" customHeight="1">
      <c r="A191" s="12"/>
      <c r="B191" s="12"/>
      <c r="C191" s="12"/>
    </row>
    <row r="192" ht="15.75" customHeight="1">
      <c r="A192" s="12"/>
      <c r="B192" s="12"/>
      <c r="C192" s="12"/>
    </row>
    <row r="193" ht="15.75" customHeight="1">
      <c r="A193" s="12"/>
      <c r="B193" s="12"/>
      <c r="C193" s="12"/>
    </row>
    <row r="194" ht="15.75" customHeight="1">
      <c r="A194" s="12"/>
      <c r="B194" s="12"/>
      <c r="C194" s="12"/>
    </row>
    <row r="195" ht="15.75" customHeight="1">
      <c r="A195" s="12"/>
      <c r="B195" s="12"/>
      <c r="C195" s="12"/>
    </row>
    <row r="196" ht="15.75" customHeight="1">
      <c r="A196" s="12"/>
      <c r="B196" s="12"/>
      <c r="C196" s="12"/>
    </row>
    <row r="197" ht="15.75" customHeight="1">
      <c r="A197" s="12"/>
      <c r="B197" s="12"/>
      <c r="C197" s="12"/>
    </row>
    <row r="198" ht="15.75" customHeight="1">
      <c r="A198" s="12"/>
      <c r="B198" s="12"/>
      <c r="C198" s="12"/>
    </row>
    <row r="199" ht="15.75" customHeight="1">
      <c r="A199" s="12"/>
      <c r="B199" s="12"/>
      <c r="C199" s="12"/>
    </row>
    <row r="200" ht="15.75" customHeight="1">
      <c r="A200" s="12"/>
      <c r="B200" s="12"/>
      <c r="C200" s="12"/>
    </row>
    <row r="201" ht="15.75" customHeight="1">
      <c r="A201" s="12"/>
      <c r="B201" s="12"/>
      <c r="C201" s="12"/>
    </row>
    <row r="202" ht="15.75" customHeight="1">
      <c r="A202" s="12"/>
      <c r="B202" s="12"/>
      <c r="C202" s="12"/>
    </row>
    <row r="203" ht="15.75" customHeight="1">
      <c r="A203" s="12"/>
      <c r="B203" s="12"/>
      <c r="C203" s="12"/>
    </row>
    <row r="204" ht="15.75" customHeight="1">
      <c r="A204" s="12"/>
      <c r="B204" s="12"/>
      <c r="C204" s="12"/>
    </row>
    <row r="205" ht="15.75" customHeight="1">
      <c r="A205" s="12"/>
      <c r="B205" s="12"/>
      <c r="C205" s="12"/>
    </row>
    <row r="206" ht="15.75" customHeight="1">
      <c r="A206" s="12"/>
      <c r="B206" s="12"/>
      <c r="C206" s="12"/>
    </row>
    <row r="207" ht="15.75" customHeight="1">
      <c r="A207" s="12"/>
      <c r="B207" s="12"/>
      <c r="C207" s="12"/>
    </row>
    <row r="208" ht="15.75" customHeight="1">
      <c r="A208" s="12"/>
      <c r="B208" s="12"/>
      <c r="C208" s="12"/>
    </row>
    <row r="209" ht="15.75" customHeight="1">
      <c r="A209" s="12"/>
      <c r="B209" s="12"/>
      <c r="C209" s="12"/>
    </row>
    <row r="210" ht="15.75" customHeight="1">
      <c r="A210" s="12"/>
      <c r="B210" s="12"/>
      <c r="C210" s="12"/>
    </row>
    <row r="211" ht="15.75" customHeight="1">
      <c r="A211" s="12"/>
      <c r="B211" s="12"/>
      <c r="C211" s="12"/>
    </row>
    <row r="212" ht="15.75" customHeight="1">
      <c r="A212" s="12"/>
      <c r="B212" s="12"/>
      <c r="C212" s="12"/>
    </row>
    <row r="213" ht="15.75" customHeight="1">
      <c r="A213" s="12"/>
      <c r="B213" s="12"/>
      <c r="C213" s="12"/>
    </row>
    <row r="214" ht="15.75" customHeight="1">
      <c r="A214" s="12"/>
      <c r="B214" s="12"/>
      <c r="C214" s="12"/>
    </row>
    <row r="215" ht="15.75" customHeight="1">
      <c r="A215" s="12"/>
      <c r="B215" s="12"/>
      <c r="C215" s="12"/>
    </row>
    <row r="216" ht="15.75" customHeight="1">
      <c r="A216" s="12"/>
      <c r="B216" s="12"/>
      <c r="C216" s="12"/>
    </row>
    <row r="217" ht="15.75" customHeight="1">
      <c r="A217" s="12"/>
      <c r="B217" s="12"/>
      <c r="C217" s="12"/>
    </row>
    <row r="218" ht="15.75" customHeight="1">
      <c r="A218" s="12"/>
      <c r="B218" s="12"/>
      <c r="C218" s="12"/>
    </row>
    <row r="219" ht="15.75" customHeight="1">
      <c r="A219" s="12"/>
      <c r="B219" s="12"/>
      <c r="C219" s="12"/>
    </row>
    <row r="220" ht="15.75" customHeight="1">
      <c r="A220" s="12"/>
      <c r="B220" s="12"/>
      <c r="C220" s="12"/>
    </row>
    <row r="221" ht="15.75" customHeight="1">
      <c r="A221" s="12"/>
      <c r="B221" s="12"/>
      <c r="C221" s="12"/>
    </row>
    <row r="222" ht="15.75" customHeight="1">
      <c r="A222" s="12"/>
      <c r="B222" s="12"/>
      <c r="C222" s="12"/>
    </row>
    <row r="223" ht="15.75" customHeight="1">
      <c r="A223" s="12"/>
      <c r="B223" s="12"/>
      <c r="C223" s="12"/>
    </row>
    <row r="224" ht="15.75" customHeight="1">
      <c r="A224" s="12"/>
      <c r="B224" s="12"/>
      <c r="C224" s="12"/>
    </row>
    <row r="225" ht="15.75" customHeight="1">
      <c r="A225" s="12"/>
      <c r="B225" s="12"/>
      <c r="C225" s="12"/>
    </row>
    <row r="226" ht="15.75" customHeight="1">
      <c r="A226" s="12"/>
      <c r="B226" s="12"/>
      <c r="C226" s="12"/>
    </row>
    <row r="227" ht="15.75" customHeight="1">
      <c r="A227" s="12"/>
      <c r="B227" s="12"/>
      <c r="C227" s="12"/>
    </row>
    <row r="228" ht="15.75" customHeight="1">
      <c r="A228" s="12"/>
      <c r="B228" s="12"/>
      <c r="C228" s="12"/>
    </row>
    <row r="229" ht="15.75" customHeight="1">
      <c r="A229" s="12"/>
      <c r="B229" s="12"/>
      <c r="C229" s="12"/>
    </row>
    <row r="230" ht="15.75" customHeight="1">
      <c r="A230" s="12"/>
      <c r="B230" s="12"/>
      <c r="C230" s="12"/>
    </row>
    <row r="231" ht="15.75" customHeight="1">
      <c r="A231" s="12"/>
      <c r="B231" s="12"/>
      <c r="C231" s="12"/>
    </row>
    <row r="232" ht="15.75" customHeight="1">
      <c r="A232" s="12"/>
      <c r="B232" s="12"/>
      <c r="C232" s="12"/>
    </row>
    <row r="233" ht="15.75" customHeight="1">
      <c r="A233" s="12"/>
      <c r="B233" s="12"/>
      <c r="C233" s="12"/>
    </row>
    <row r="234" ht="15.75" customHeight="1">
      <c r="A234" s="12"/>
      <c r="B234" s="12"/>
      <c r="C234" s="12"/>
    </row>
    <row r="235" ht="15.75" customHeight="1">
      <c r="A235" s="12"/>
      <c r="B235" s="12"/>
      <c r="C235" s="12"/>
    </row>
    <row r="236" ht="15.75" customHeight="1">
      <c r="A236" s="12"/>
      <c r="B236" s="12"/>
      <c r="C236" s="12"/>
    </row>
    <row r="237" ht="15.75" customHeight="1">
      <c r="A237" s="12"/>
      <c r="B237" s="12"/>
      <c r="C237" s="12"/>
    </row>
    <row r="238" ht="15.75" customHeight="1">
      <c r="A238" s="12"/>
      <c r="B238" s="12"/>
      <c r="C238" s="12"/>
    </row>
    <row r="239" ht="15.75" customHeight="1">
      <c r="A239" s="12"/>
      <c r="B239" s="12"/>
      <c r="C239" s="12"/>
    </row>
    <row r="240" ht="15.75" customHeight="1">
      <c r="A240" s="12"/>
      <c r="B240" s="12"/>
      <c r="C240" s="12"/>
    </row>
    <row r="241" ht="15.75" customHeight="1">
      <c r="A241" s="12"/>
      <c r="B241" s="12"/>
      <c r="C241" s="12"/>
    </row>
    <row r="242" ht="15.75" customHeight="1">
      <c r="A242" s="12"/>
      <c r="B242" s="12"/>
      <c r="C242" s="12"/>
    </row>
    <row r="243" ht="15.75" customHeight="1">
      <c r="A243" s="12"/>
      <c r="B243" s="12"/>
      <c r="C243" s="12"/>
    </row>
    <row r="244" ht="15.75" customHeight="1">
      <c r="A244" s="12"/>
      <c r="B244" s="12"/>
      <c r="C244" s="12"/>
    </row>
    <row r="245" ht="15.75" customHeight="1">
      <c r="A245" s="12"/>
      <c r="B245" s="12"/>
      <c r="C245" s="12"/>
    </row>
    <row r="246" ht="15.75" customHeight="1">
      <c r="A246" s="12"/>
      <c r="B246" s="12"/>
      <c r="C246" s="12"/>
    </row>
    <row r="247" ht="15.75" customHeight="1">
      <c r="A247" s="12"/>
      <c r="B247" s="12"/>
      <c r="C247" s="12"/>
    </row>
    <row r="248" ht="15.75" customHeight="1">
      <c r="A248" s="12"/>
      <c r="B248" s="12"/>
      <c r="C248" s="12"/>
    </row>
    <row r="249" ht="15.75" customHeight="1">
      <c r="A249" s="12"/>
      <c r="B249" s="12"/>
      <c r="C249" s="12"/>
    </row>
    <row r="250" ht="15.75" customHeight="1">
      <c r="A250" s="12"/>
      <c r="B250" s="12"/>
      <c r="C250" s="12"/>
    </row>
    <row r="251" ht="15.75" customHeight="1">
      <c r="A251" s="12"/>
      <c r="B251" s="12"/>
      <c r="C251" s="12"/>
    </row>
    <row r="252" ht="15.75" customHeight="1">
      <c r="A252" s="12"/>
      <c r="B252" s="12"/>
      <c r="C252" s="12"/>
    </row>
    <row r="253" ht="15.75" customHeight="1">
      <c r="A253" s="12"/>
      <c r="B253" s="12"/>
      <c r="C253" s="12"/>
    </row>
    <row r="254" ht="15.75" customHeight="1">
      <c r="A254" s="12"/>
      <c r="B254" s="12"/>
      <c r="C254" s="12"/>
    </row>
    <row r="255" ht="15.75" customHeight="1">
      <c r="A255" s="12"/>
      <c r="B255" s="12"/>
      <c r="C255" s="12"/>
    </row>
    <row r="256" ht="15.75" customHeight="1">
      <c r="A256" s="12"/>
      <c r="B256" s="12"/>
      <c r="C256" s="12"/>
    </row>
    <row r="257" ht="15.75" customHeight="1">
      <c r="A257" s="12"/>
      <c r="B257" s="12"/>
      <c r="C257" s="12"/>
    </row>
    <row r="258" ht="15.75" customHeight="1">
      <c r="A258" s="12"/>
      <c r="B258" s="12"/>
      <c r="C258" s="12"/>
    </row>
    <row r="259" ht="15.75" customHeight="1">
      <c r="A259" s="12"/>
      <c r="B259" s="12"/>
      <c r="C259" s="12"/>
    </row>
    <row r="260" ht="15.75" customHeight="1">
      <c r="A260" s="12"/>
      <c r="B260" s="12"/>
      <c r="C260" s="12"/>
    </row>
    <row r="261" ht="15.75" customHeight="1">
      <c r="A261" s="12"/>
      <c r="B261" s="12"/>
      <c r="C261" s="12"/>
    </row>
    <row r="262" ht="15.75" customHeight="1">
      <c r="A262" s="12"/>
      <c r="B262" s="12"/>
      <c r="C262" s="12"/>
    </row>
    <row r="263" ht="15.75" customHeight="1">
      <c r="A263" s="12"/>
      <c r="B263" s="12"/>
      <c r="C263" s="12"/>
    </row>
    <row r="264" ht="15.75" customHeight="1">
      <c r="A264" s="12"/>
      <c r="B264" s="12"/>
      <c r="C264" s="12"/>
    </row>
    <row r="265" ht="15.75" customHeight="1">
      <c r="A265" s="12"/>
      <c r="B265" s="12"/>
      <c r="C265" s="12"/>
    </row>
    <row r="266" ht="15.75" customHeight="1">
      <c r="A266" s="12"/>
      <c r="B266" s="12"/>
      <c r="C266" s="12"/>
    </row>
    <row r="267" ht="15.75" customHeight="1">
      <c r="A267" s="12"/>
      <c r="B267" s="12"/>
      <c r="C267" s="12"/>
    </row>
    <row r="268" ht="15.75" customHeight="1">
      <c r="A268" s="12"/>
      <c r="B268" s="12"/>
      <c r="C268" s="12"/>
    </row>
    <row r="269" ht="15.75" customHeight="1">
      <c r="A269" s="12"/>
      <c r="B269" s="12"/>
      <c r="C269" s="12"/>
    </row>
    <row r="270" ht="15.75" customHeight="1">
      <c r="A270" s="12"/>
      <c r="B270" s="12"/>
      <c r="C270" s="12"/>
    </row>
    <row r="271" ht="15.75" customHeight="1">
      <c r="A271" s="12"/>
      <c r="B271" s="12"/>
      <c r="C271" s="12"/>
    </row>
    <row r="272" ht="15.75" customHeight="1">
      <c r="A272" s="12"/>
      <c r="B272" s="12"/>
      <c r="C272" s="12"/>
    </row>
    <row r="273" ht="15.75" customHeight="1">
      <c r="A273" s="12"/>
      <c r="B273" s="12"/>
      <c r="C273" s="12"/>
    </row>
    <row r="274" ht="15.75" customHeight="1">
      <c r="A274" s="12"/>
      <c r="B274" s="12"/>
      <c r="C274" s="12"/>
    </row>
    <row r="275" ht="15.75" customHeight="1">
      <c r="A275" s="12"/>
      <c r="B275" s="12"/>
      <c r="C275" s="12"/>
    </row>
    <row r="276" ht="15.75" customHeight="1">
      <c r="A276" s="12"/>
      <c r="B276" s="12"/>
      <c r="C276" s="12"/>
    </row>
    <row r="277" ht="15.75" customHeight="1">
      <c r="A277" s="12"/>
      <c r="B277" s="12"/>
      <c r="C277" s="12"/>
    </row>
    <row r="278" ht="15.75" customHeight="1">
      <c r="A278" s="12"/>
      <c r="B278" s="12"/>
      <c r="C278" s="12"/>
    </row>
    <row r="279" ht="15.75" customHeight="1">
      <c r="A279" s="12"/>
      <c r="B279" s="12"/>
      <c r="C279" s="12"/>
    </row>
    <row r="280" ht="15.75" customHeight="1">
      <c r="A280" s="12"/>
      <c r="B280" s="12"/>
      <c r="C280" s="12"/>
    </row>
    <row r="281" ht="15.75" customHeight="1">
      <c r="A281" s="12"/>
      <c r="B281" s="12"/>
      <c r="C281" s="12"/>
    </row>
    <row r="282" ht="15.75" customHeight="1">
      <c r="A282" s="12"/>
      <c r="B282" s="12"/>
      <c r="C282" s="12"/>
    </row>
    <row r="283" ht="15.75" customHeight="1">
      <c r="A283" s="12"/>
      <c r="B283" s="12"/>
      <c r="C283" s="12"/>
    </row>
    <row r="284" ht="15.75" customHeight="1">
      <c r="A284" s="12"/>
      <c r="B284" s="12"/>
      <c r="C284" s="12"/>
    </row>
    <row r="285" ht="15.75" customHeight="1">
      <c r="A285" s="12"/>
      <c r="B285" s="12"/>
      <c r="C285" s="12"/>
    </row>
    <row r="286" ht="15.75" customHeight="1">
      <c r="A286" s="12"/>
      <c r="B286" s="12"/>
      <c r="C286" s="12"/>
    </row>
    <row r="287" ht="15.75" customHeight="1">
      <c r="A287" s="12"/>
      <c r="B287" s="12"/>
      <c r="C287" s="12"/>
    </row>
    <row r="288" ht="15.75" customHeight="1">
      <c r="A288" s="12"/>
      <c r="B288" s="12"/>
      <c r="C288" s="12"/>
    </row>
    <row r="289" ht="15.75" customHeight="1">
      <c r="A289" s="12"/>
      <c r="B289" s="12"/>
      <c r="C289" s="12"/>
    </row>
    <row r="290" ht="15.75" customHeight="1">
      <c r="A290" s="12"/>
      <c r="B290" s="12"/>
      <c r="C290" s="12"/>
    </row>
    <row r="291" ht="15.75" customHeight="1">
      <c r="A291" s="12"/>
      <c r="B291" s="12"/>
      <c r="C291" s="12"/>
    </row>
    <row r="292" ht="15.75" customHeight="1">
      <c r="A292" s="12"/>
      <c r="B292" s="12"/>
      <c r="C292" s="12"/>
    </row>
    <row r="293" ht="15.75" customHeight="1">
      <c r="A293" s="12"/>
      <c r="B293" s="12"/>
      <c r="C293" s="12"/>
    </row>
    <row r="294" ht="15.75" customHeight="1">
      <c r="A294" s="12"/>
      <c r="B294" s="12"/>
      <c r="C294" s="12"/>
    </row>
    <row r="295" ht="15.75" customHeight="1">
      <c r="A295" s="12"/>
      <c r="B295" s="12"/>
      <c r="C295" s="12"/>
    </row>
    <row r="296" ht="15.75" customHeight="1">
      <c r="A296" s="12"/>
      <c r="B296" s="12"/>
      <c r="C296" s="12"/>
    </row>
    <row r="297" ht="15.75" customHeight="1">
      <c r="A297" s="12"/>
      <c r="B297" s="12"/>
      <c r="C297" s="12"/>
    </row>
    <row r="298" ht="15.75" customHeight="1">
      <c r="A298" s="12"/>
      <c r="B298" s="12"/>
      <c r="C298" s="12"/>
    </row>
    <row r="299" ht="15.75" customHeight="1">
      <c r="A299" s="12"/>
      <c r="B299" s="12"/>
      <c r="C299" s="12"/>
    </row>
    <row r="300" ht="15.75" customHeight="1">
      <c r="A300" s="12"/>
      <c r="B300" s="12"/>
      <c r="C300" s="12"/>
    </row>
    <row r="301" ht="15.75" customHeight="1">
      <c r="A301" s="12"/>
      <c r="B301" s="12"/>
      <c r="C301" s="12"/>
    </row>
    <row r="302" ht="15.75" customHeight="1">
      <c r="A302" s="12"/>
      <c r="B302" s="12"/>
      <c r="C302" s="12"/>
    </row>
    <row r="303" ht="15.75" customHeight="1">
      <c r="A303" s="12"/>
      <c r="B303" s="12"/>
      <c r="C303" s="12"/>
    </row>
    <row r="304" ht="15.75" customHeight="1">
      <c r="A304" s="12"/>
      <c r="B304" s="12"/>
      <c r="C304" s="12"/>
    </row>
    <row r="305" ht="15.75" customHeight="1">
      <c r="A305" s="12"/>
      <c r="B305" s="12"/>
      <c r="C305" s="12"/>
    </row>
    <row r="306" ht="15.75" customHeight="1">
      <c r="A306" s="12"/>
      <c r="B306" s="12"/>
      <c r="C306" s="12"/>
    </row>
    <row r="307" ht="15.75" customHeight="1">
      <c r="A307" s="12"/>
      <c r="B307" s="12"/>
      <c r="C307" s="12"/>
    </row>
    <row r="308" ht="15.75" customHeight="1">
      <c r="A308" s="12"/>
      <c r="B308" s="12"/>
      <c r="C308" s="12"/>
    </row>
    <row r="309" ht="15.75" customHeight="1">
      <c r="A309" s="12"/>
      <c r="B309" s="12"/>
      <c r="C309" s="12"/>
    </row>
    <row r="310" ht="15.75" customHeight="1">
      <c r="A310" s="12"/>
      <c r="B310" s="12"/>
      <c r="C310" s="12"/>
    </row>
    <row r="311" ht="15.75" customHeight="1">
      <c r="A311" s="12"/>
      <c r="B311" s="12"/>
      <c r="C311" s="12"/>
    </row>
    <row r="312" ht="15.75" customHeight="1">
      <c r="A312" s="12"/>
      <c r="B312" s="12"/>
      <c r="C312" s="12"/>
    </row>
    <row r="313" ht="15.75" customHeight="1">
      <c r="A313" s="12"/>
      <c r="B313" s="12"/>
      <c r="C313" s="12"/>
    </row>
    <row r="314" ht="15.75" customHeight="1">
      <c r="A314" s="12"/>
      <c r="B314" s="12"/>
      <c r="C314" s="12"/>
    </row>
    <row r="315" ht="15.75" customHeight="1">
      <c r="A315" s="12"/>
      <c r="B315" s="12"/>
      <c r="C315" s="12"/>
    </row>
    <row r="316" ht="15.75" customHeight="1">
      <c r="A316" s="12"/>
      <c r="B316" s="12"/>
      <c r="C316" s="12"/>
    </row>
    <row r="317" ht="15.75" customHeight="1">
      <c r="A317" s="12"/>
      <c r="B317" s="12"/>
      <c r="C317" s="12"/>
    </row>
    <row r="318" ht="15.75" customHeight="1">
      <c r="A318" s="12"/>
      <c r="B318" s="12"/>
      <c r="C318" s="12"/>
    </row>
    <row r="319" ht="15.75" customHeight="1">
      <c r="A319" s="12"/>
      <c r="B319" s="12"/>
      <c r="C319" s="12"/>
    </row>
    <row r="320" ht="15.75" customHeight="1">
      <c r="A320" s="12"/>
      <c r="B320" s="12"/>
      <c r="C320" s="12"/>
    </row>
    <row r="321" ht="15.75" customHeight="1">
      <c r="A321" s="12"/>
      <c r="B321" s="12"/>
      <c r="C321" s="12"/>
    </row>
    <row r="322" ht="15.75" customHeight="1">
      <c r="A322" s="12"/>
      <c r="B322" s="12"/>
      <c r="C322" s="12"/>
    </row>
    <row r="323" ht="15.75" customHeight="1">
      <c r="A323" s="12"/>
      <c r="B323" s="12"/>
      <c r="C323" s="12"/>
    </row>
    <row r="324" ht="15.75" customHeight="1">
      <c r="A324" s="12"/>
      <c r="B324" s="12"/>
      <c r="C324" s="12"/>
    </row>
    <row r="325" ht="15.75" customHeight="1">
      <c r="A325" s="12"/>
      <c r="B325" s="12"/>
      <c r="C325" s="12"/>
    </row>
    <row r="326" ht="15.75" customHeight="1">
      <c r="A326" s="12"/>
      <c r="B326" s="12"/>
      <c r="C326" s="12"/>
    </row>
    <row r="327" ht="15.75" customHeight="1">
      <c r="A327" s="12"/>
      <c r="B327" s="12"/>
      <c r="C327" s="12"/>
    </row>
    <row r="328" ht="15.75" customHeight="1">
      <c r="A328" s="12"/>
      <c r="B328" s="12"/>
      <c r="C328" s="12"/>
    </row>
    <row r="329" ht="15.75" customHeight="1">
      <c r="A329" s="12"/>
      <c r="B329" s="12"/>
      <c r="C329" s="12"/>
    </row>
    <row r="330" ht="15.75" customHeight="1">
      <c r="A330" s="12"/>
      <c r="B330" s="12"/>
      <c r="C330" s="12"/>
    </row>
    <row r="331" ht="15.75" customHeight="1">
      <c r="A331" s="12"/>
      <c r="B331" s="12"/>
      <c r="C331" s="12"/>
    </row>
    <row r="332" ht="15.75" customHeight="1">
      <c r="A332" s="12"/>
      <c r="B332" s="12"/>
      <c r="C332" s="12"/>
    </row>
    <row r="333" ht="15.75" customHeight="1">
      <c r="A333" s="12"/>
      <c r="B333" s="12"/>
      <c r="C333" s="12"/>
    </row>
    <row r="334" ht="15.75" customHeight="1">
      <c r="A334" s="12"/>
      <c r="B334" s="12"/>
      <c r="C334" s="12"/>
    </row>
    <row r="335" ht="15.75" customHeight="1">
      <c r="A335" s="12"/>
      <c r="B335" s="12"/>
      <c r="C335" s="12"/>
    </row>
    <row r="336" ht="15.75" customHeight="1">
      <c r="A336" s="12"/>
      <c r="B336" s="12"/>
      <c r="C336" s="12"/>
    </row>
    <row r="337" ht="15.75" customHeight="1">
      <c r="A337" s="12"/>
      <c r="B337" s="12"/>
      <c r="C337" s="12"/>
    </row>
    <row r="338" ht="15.75" customHeight="1">
      <c r="A338" s="12"/>
      <c r="B338" s="12"/>
      <c r="C338" s="12"/>
    </row>
    <row r="339" ht="15.75" customHeight="1">
      <c r="A339" s="12"/>
      <c r="B339" s="12"/>
      <c r="C339" s="12"/>
    </row>
    <row r="340" ht="15.75" customHeight="1">
      <c r="A340" s="12"/>
      <c r="B340" s="12"/>
      <c r="C340" s="12"/>
    </row>
    <row r="341" ht="15.75" customHeight="1">
      <c r="A341" s="12"/>
      <c r="B341" s="12"/>
      <c r="C341" s="12"/>
    </row>
    <row r="342" ht="15.75" customHeight="1">
      <c r="A342" s="12"/>
      <c r="B342" s="12"/>
      <c r="C342" s="12"/>
    </row>
    <row r="343" ht="15.75" customHeight="1">
      <c r="A343" s="12"/>
      <c r="B343" s="12"/>
      <c r="C343" s="12"/>
    </row>
    <row r="344" ht="15.75" customHeight="1">
      <c r="A344" s="12"/>
      <c r="B344" s="12"/>
      <c r="C344" s="12"/>
    </row>
    <row r="345" ht="15.75" customHeight="1">
      <c r="A345" s="12"/>
      <c r="B345" s="12"/>
      <c r="C345" s="12"/>
    </row>
    <row r="346" ht="15.75" customHeight="1">
      <c r="A346" s="12"/>
      <c r="B346" s="12"/>
      <c r="C346" s="12"/>
    </row>
    <row r="347" ht="15.75" customHeight="1">
      <c r="A347" s="12"/>
      <c r="B347" s="12"/>
      <c r="C347" s="12"/>
    </row>
    <row r="348" ht="15.75" customHeight="1">
      <c r="A348" s="12"/>
      <c r="B348" s="12"/>
      <c r="C348" s="12"/>
    </row>
    <row r="349" ht="15.75" customHeight="1">
      <c r="A349" s="12"/>
      <c r="B349" s="12"/>
      <c r="C349" s="12"/>
    </row>
    <row r="350" ht="15.75" customHeight="1">
      <c r="A350" s="12"/>
      <c r="B350" s="12"/>
      <c r="C350" s="12"/>
    </row>
    <row r="351" ht="15.75" customHeight="1">
      <c r="A351" s="12"/>
      <c r="B351" s="12"/>
      <c r="C351" s="12"/>
    </row>
    <row r="352" ht="15.75" customHeight="1">
      <c r="A352" s="12"/>
      <c r="B352" s="12"/>
      <c r="C352" s="12"/>
    </row>
    <row r="353" ht="15.75" customHeight="1">
      <c r="A353" s="12"/>
      <c r="B353" s="12"/>
      <c r="C353" s="12"/>
    </row>
    <row r="354" ht="15.75" customHeight="1">
      <c r="A354" s="12"/>
      <c r="B354" s="12"/>
      <c r="C354" s="12"/>
    </row>
    <row r="355" ht="15.75" customHeight="1">
      <c r="A355" s="12"/>
      <c r="B355" s="12"/>
      <c r="C355" s="12"/>
    </row>
    <row r="356" ht="15.75" customHeight="1">
      <c r="A356" s="12"/>
      <c r="B356" s="12"/>
      <c r="C356" s="12"/>
    </row>
    <row r="357" ht="15.75" customHeight="1">
      <c r="A357" s="12"/>
      <c r="B357" s="12"/>
      <c r="C357" s="12"/>
    </row>
    <row r="358" ht="15.75" customHeight="1">
      <c r="A358" s="12"/>
      <c r="B358" s="12"/>
      <c r="C358" s="12"/>
    </row>
    <row r="359" ht="15.75" customHeight="1">
      <c r="A359" s="12"/>
      <c r="B359" s="12"/>
      <c r="C359" s="12"/>
    </row>
    <row r="360" ht="15.75" customHeight="1">
      <c r="A360" s="12"/>
      <c r="B360" s="12"/>
      <c r="C360" s="12"/>
    </row>
    <row r="361" ht="15.75" customHeight="1">
      <c r="A361" s="12"/>
      <c r="B361" s="12"/>
      <c r="C361" s="12"/>
    </row>
    <row r="362" ht="15.75" customHeight="1">
      <c r="A362" s="12"/>
      <c r="B362" s="12"/>
      <c r="C362" s="12"/>
    </row>
    <row r="363" ht="15.75" customHeight="1">
      <c r="A363" s="12"/>
      <c r="B363" s="12"/>
      <c r="C363" s="12"/>
    </row>
    <row r="364" ht="15.75" customHeight="1">
      <c r="A364" s="12"/>
      <c r="B364" s="12"/>
      <c r="C364" s="12"/>
    </row>
    <row r="365" ht="15.75" customHeight="1">
      <c r="A365" s="12"/>
      <c r="B365" s="12"/>
      <c r="C365" s="12"/>
    </row>
    <row r="366" ht="15.75" customHeight="1">
      <c r="A366" s="12"/>
      <c r="B366" s="12"/>
      <c r="C366" s="12"/>
    </row>
    <row r="367" ht="15.75" customHeight="1">
      <c r="A367" s="12"/>
      <c r="B367" s="12"/>
      <c r="C367" s="12"/>
    </row>
    <row r="368" ht="15.75" customHeight="1">
      <c r="A368" s="12"/>
      <c r="B368" s="12"/>
      <c r="C368" s="12"/>
    </row>
    <row r="369" ht="15.75" customHeight="1">
      <c r="A369" s="12"/>
      <c r="B369" s="12"/>
      <c r="C369" s="12"/>
    </row>
    <row r="370" ht="15.75" customHeight="1">
      <c r="A370" s="12"/>
      <c r="B370" s="12"/>
      <c r="C370" s="12"/>
    </row>
    <row r="371" ht="15.75" customHeight="1">
      <c r="A371" s="12"/>
      <c r="B371" s="12"/>
      <c r="C371" s="12"/>
    </row>
    <row r="372" ht="15.75" customHeight="1">
      <c r="A372" s="12"/>
      <c r="B372" s="12"/>
      <c r="C372" s="12"/>
    </row>
    <row r="373" ht="15.75" customHeight="1">
      <c r="A373" s="12"/>
      <c r="B373" s="12"/>
      <c r="C373" s="12"/>
    </row>
    <row r="374" ht="15.75" customHeight="1">
      <c r="A374" s="12"/>
      <c r="B374" s="12"/>
      <c r="C374" s="12"/>
    </row>
    <row r="375" ht="15.75" customHeight="1">
      <c r="A375" s="12"/>
      <c r="B375" s="12"/>
      <c r="C375" s="12"/>
    </row>
    <row r="376" ht="15.75" customHeight="1">
      <c r="A376" s="12"/>
      <c r="B376" s="12"/>
      <c r="C376" s="12"/>
    </row>
    <row r="377" ht="15.75" customHeight="1">
      <c r="A377" s="12"/>
      <c r="B377" s="12"/>
      <c r="C377" s="12"/>
    </row>
    <row r="378" ht="15.75" customHeight="1">
      <c r="A378" s="12"/>
      <c r="B378" s="12"/>
      <c r="C378" s="12"/>
    </row>
    <row r="379" ht="15.75" customHeight="1">
      <c r="A379" s="12"/>
      <c r="B379" s="12"/>
      <c r="C379" s="12"/>
    </row>
    <row r="380" ht="15.75" customHeight="1">
      <c r="A380" s="12"/>
      <c r="B380" s="12"/>
      <c r="C380" s="12"/>
    </row>
    <row r="381" ht="15.75" customHeight="1">
      <c r="A381" s="12"/>
      <c r="B381" s="12"/>
      <c r="C381" s="12"/>
    </row>
    <row r="382" ht="15.75" customHeight="1">
      <c r="A382" s="12"/>
      <c r="B382" s="12"/>
      <c r="C382" s="12"/>
    </row>
    <row r="383" ht="15.75" customHeight="1">
      <c r="A383" s="12"/>
      <c r="B383" s="12"/>
      <c r="C383" s="12"/>
    </row>
    <row r="384" ht="15.75" customHeight="1">
      <c r="A384" s="12"/>
      <c r="B384" s="12"/>
      <c r="C384" s="12"/>
    </row>
    <row r="385" ht="15.75" customHeight="1">
      <c r="A385" s="12"/>
      <c r="B385" s="12"/>
      <c r="C385" s="12"/>
    </row>
    <row r="386" ht="15.75" customHeight="1">
      <c r="A386" s="12"/>
      <c r="B386" s="12"/>
      <c r="C386" s="12"/>
    </row>
    <row r="387" ht="15.75" customHeight="1">
      <c r="A387" s="12"/>
      <c r="B387" s="12"/>
      <c r="C387" s="12"/>
    </row>
    <row r="388" ht="15.75" customHeight="1">
      <c r="A388" s="12"/>
      <c r="B388" s="12"/>
      <c r="C388" s="12"/>
    </row>
    <row r="389" ht="15.75" customHeight="1">
      <c r="A389" s="12"/>
      <c r="B389" s="12"/>
      <c r="C389" s="12"/>
    </row>
    <row r="390" ht="15.75" customHeight="1">
      <c r="A390" s="12"/>
      <c r="B390" s="12"/>
      <c r="C390" s="12"/>
    </row>
    <row r="391" ht="15.75" customHeight="1">
      <c r="A391" s="12"/>
      <c r="B391" s="12"/>
      <c r="C391" s="12"/>
    </row>
    <row r="392" ht="15.75" customHeight="1">
      <c r="A392" s="12"/>
      <c r="B392" s="12"/>
      <c r="C392" s="12"/>
    </row>
    <row r="393" ht="15.75" customHeight="1">
      <c r="A393" s="12"/>
      <c r="B393" s="12"/>
      <c r="C393" s="12"/>
    </row>
    <row r="394" ht="15.75" customHeight="1">
      <c r="A394" s="12"/>
      <c r="B394" s="12"/>
      <c r="C394" s="12"/>
    </row>
    <row r="395" ht="15.75" customHeight="1">
      <c r="A395" s="12"/>
      <c r="B395" s="12"/>
      <c r="C395" s="12"/>
    </row>
    <row r="396" ht="15.75" customHeight="1">
      <c r="A396" s="12"/>
      <c r="B396" s="12"/>
      <c r="C396" s="12"/>
    </row>
    <row r="397" ht="15.75" customHeight="1">
      <c r="A397" s="12"/>
      <c r="B397" s="12"/>
      <c r="C397" s="12"/>
    </row>
    <row r="398" ht="15.75" customHeight="1">
      <c r="A398" s="12"/>
      <c r="B398" s="12"/>
      <c r="C398" s="12"/>
    </row>
    <row r="399" ht="15.75" customHeight="1">
      <c r="A399" s="12"/>
      <c r="B399" s="12"/>
      <c r="C399" s="12"/>
    </row>
    <row r="400" ht="15.75" customHeight="1">
      <c r="A400" s="12"/>
      <c r="B400" s="12"/>
      <c r="C400" s="12"/>
    </row>
    <row r="401" ht="15.75" customHeight="1">
      <c r="A401" s="12"/>
      <c r="B401" s="12"/>
      <c r="C401" s="12"/>
    </row>
    <row r="402" ht="15.75" customHeight="1">
      <c r="A402" s="12"/>
      <c r="B402" s="12"/>
      <c r="C402" s="12"/>
    </row>
    <row r="403" ht="15.75" customHeight="1">
      <c r="A403" s="12"/>
      <c r="B403" s="12"/>
      <c r="C403" s="12"/>
    </row>
    <row r="404" ht="15.75" customHeight="1">
      <c r="A404" s="12"/>
      <c r="B404" s="12"/>
      <c r="C404" s="12"/>
    </row>
    <row r="405" ht="15.75" customHeight="1">
      <c r="A405" s="12"/>
      <c r="B405" s="12"/>
      <c r="C405" s="12"/>
    </row>
    <row r="406" ht="15.75" customHeight="1">
      <c r="A406" s="12"/>
      <c r="B406" s="12"/>
      <c r="C406" s="12"/>
    </row>
    <row r="407" ht="15.75" customHeight="1">
      <c r="A407" s="12"/>
      <c r="B407" s="12"/>
      <c r="C407" s="12"/>
    </row>
    <row r="408" ht="15.75" customHeight="1">
      <c r="A408" s="12"/>
      <c r="B408" s="12"/>
      <c r="C408" s="12"/>
    </row>
    <row r="409" ht="15.75" customHeight="1">
      <c r="A409" s="12"/>
      <c r="B409" s="12"/>
      <c r="C409" s="12"/>
    </row>
    <row r="410" ht="15.75" customHeight="1">
      <c r="A410" s="12"/>
      <c r="B410" s="12"/>
      <c r="C410" s="12"/>
    </row>
    <row r="411" ht="15.75" customHeight="1">
      <c r="A411" s="12"/>
      <c r="B411" s="12"/>
      <c r="C411" s="12"/>
    </row>
    <row r="412" ht="15.75" customHeight="1">
      <c r="A412" s="12"/>
      <c r="B412" s="12"/>
      <c r="C412" s="12"/>
    </row>
    <row r="413" ht="15.75" customHeight="1">
      <c r="A413" s="12"/>
      <c r="B413" s="12"/>
      <c r="C413" s="12"/>
    </row>
    <row r="414" ht="15.75" customHeight="1">
      <c r="A414" s="12"/>
      <c r="B414" s="12"/>
      <c r="C414" s="12"/>
    </row>
    <row r="415" ht="15.75" customHeight="1">
      <c r="A415" s="12"/>
      <c r="B415" s="12"/>
      <c r="C415" s="12"/>
    </row>
    <row r="416" ht="15.75" customHeight="1">
      <c r="A416" s="12"/>
      <c r="B416" s="12"/>
      <c r="C416" s="12"/>
    </row>
    <row r="417" ht="15.75" customHeight="1">
      <c r="A417" s="12"/>
      <c r="B417" s="12"/>
      <c r="C417" s="12"/>
    </row>
    <row r="418" ht="15.75" customHeight="1">
      <c r="A418" s="12"/>
      <c r="B418" s="12"/>
      <c r="C418" s="12"/>
    </row>
    <row r="419" ht="15.75" customHeight="1">
      <c r="A419" s="12"/>
      <c r="B419" s="12"/>
      <c r="C419" s="12"/>
    </row>
    <row r="420" ht="15.75" customHeight="1">
      <c r="A420" s="12"/>
      <c r="B420" s="12"/>
      <c r="C420" s="12"/>
    </row>
    <row r="421" ht="15.75" customHeight="1">
      <c r="A421" s="12"/>
      <c r="B421" s="12"/>
      <c r="C421" s="12"/>
    </row>
    <row r="422" ht="15.75" customHeight="1">
      <c r="A422" s="12"/>
      <c r="B422" s="12"/>
      <c r="C422" s="12"/>
    </row>
    <row r="423" ht="15.75" customHeight="1">
      <c r="A423" s="12"/>
      <c r="B423" s="12"/>
      <c r="C423" s="12"/>
    </row>
    <row r="424" ht="15.75" customHeight="1">
      <c r="A424" s="12"/>
      <c r="B424" s="12"/>
      <c r="C424" s="12"/>
    </row>
    <row r="425" ht="15.75" customHeight="1">
      <c r="A425" s="12"/>
      <c r="B425" s="12"/>
      <c r="C425" s="12"/>
    </row>
    <row r="426" ht="15.75" customHeight="1">
      <c r="A426" s="12"/>
      <c r="B426" s="12"/>
      <c r="C426" s="12"/>
    </row>
    <row r="427" ht="15.75" customHeight="1">
      <c r="A427" s="12"/>
      <c r="B427" s="12"/>
      <c r="C427" s="12"/>
    </row>
    <row r="428" ht="15.75" customHeight="1">
      <c r="A428" s="12"/>
      <c r="B428" s="12"/>
      <c r="C428" s="12"/>
    </row>
    <row r="429" ht="15.75" customHeight="1">
      <c r="A429" s="12"/>
      <c r="B429" s="12"/>
      <c r="C429" s="12"/>
    </row>
    <row r="430" ht="15.75" customHeight="1">
      <c r="A430" s="12"/>
      <c r="B430" s="12"/>
      <c r="C430" s="12"/>
    </row>
    <row r="431" ht="15.75" customHeight="1">
      <c r="A431" s="12"/>
      <c r="B431" s="12"/>
      <c r="C431" s="12"/>
    </row>
    <row r="432" ht="15.75" customHeight="1">
      <c r="A432" s="12"/>
      <c r="B432" s="12"/>
      <c r="C432" s="12"/>
    </row>
    <row r="433" ht="15.75" customHeight="1">
      <c r="A433" s="12"/>
      <c r="B433" s="12"/>
      <c r="C433" s="12"/>
    </row>
    <row r="434" ht="15.75" customHeight="1">
      <c r="A434" s="12"/>
      <c r="B434" s="12"/>
      <c r="C434" s="12"/>
    </row>
    <row r="435" ht="15.75" customHeight="1">
      <c r="A435" s="12"/>
      <c r="B435" s="12"/>
      <c r="C435" s="12"/>
    </row>
    <row r="436" ht="15.75" customHeight="1">
      <c r="A436" s="12"/>
      <c r="B436" s="12"/>
      <c r="C436" s="12"/>
    </row>
    <row r="437" ht="15.75" customHeight="1">
      <c r="A437" s="12"/>
      <c r="B437" s="12"/>
      <c r="C437" s="12"/>
    </row>
    <row r="438" ht="15.75" customHeight="1">
      <c r="A438" s="12"/>
      <c r="B438" s="12"/>
      <c r="C438" s="12"/>
    </row>
    <row r="439" ht="15.75" customHeight="1">
      <c r="A439" s="12"/>
      <c r="B439" s="12"/>
      <c r="C439" s="12"/>
    </row>
    <row r="440" ht="15.75" customHeight="1">
      <c r="A440" s="12"/>
      <c r="B440" s="12"/>
      <c r="C440" s="12"/>
    </row>
    <row r="441" ht="15.75" customHeight="1">
      <c r="A441" s="12"/>
      <c r="B441" s="12"/>
      <c r="C441" s="12"/>
    </row>
    <row r="442" ht="15.75" customHeight="1">
      <c r="A442" s="12"/>
      <c r="B442" s="12"/>
      <c r="C442" s="12"/>
    </row>
    <row r="443" ht="15.75" customHeight="1">
      <c r="A443" s="12"/>
      <c r="B443" s="12"/>
      <c r="C443" s="12"/>
    </row>
    <row r="444" ht="15.75" customHeight="1">
      <c r="A444" s="12"/>
      <c r="B444" s="12"/>
      <c r="C444" s="12"/>
    </row>
    <row r="445" ht="15.75" customHeight="1">
      <c r="A445" s="12"/>
      <c r="B445" s="12"/>
      <c r="C445" s="12"/>
    </row>
    <row r="446" ht="15.75" customHeight="1">
      <c r="A446" s="12"/>
      <c r="B446" s="12"/>
      <c r="C446" s="12"/>
    </row>
    <row r="447" ht="15.75" customHeight="1">
      <c r="A447" s="12"/>
      <c r="B447" s="12"/>
      <c r="C447" s="12"/>
    </row>
    <row r="448" ht="15.75" customHeight="1">
      <c r="A448" s="12"/>
      <c r="B448" s="12"/>
      <c r="C448" s="12"/>
    </row>
    <row r="449" ht="15.75" customHeight="1">
      <c r="A449" s="12"/>
      <c r="B449" s="12"/>
      <c r="C449" s="12"/>
    </row>
    <row r="450" ht="15.75" customHeight="1">
      <c r="A450" s="12"/>
      <c r="B450" s="12"/>
      <c r="C450" s="12"/>
    </row>
    <row r="451" ht="15.75" customHeight="1">
      <c r="A451" s="12"/>
      <c r="B451" s="12"/>
      <c r="C451" s="12"/>
    </row>
    <row r="452" ht="15.75" customHeight="1">
      <c r="A452" s="12"/>
      <c r="B452" s="12"/>
      <c r="C452" s="12"/>
    </row>
    <row r="453" ht="15.75" customHeight="1">
      <c r="A453" s="12"/>
      <c r="B453" s="12"/>
      <c r="C453" s="12"/>
    </row>
    <row r="454" ht="15.75" customHeight="1">
      <c r="A454" s="12"/>
      <c r="B454" s="12"/>
      <c r="C454" s="12"/>
    </row>
    <row r="455" ht="15.75" customHeight="1">
      <c r="A455" s="12"/>
      <c r="B455" s="12"/>
      <c r="C455" s="12"/>
    </row>
    <row r="456" ht="15.75" customHeight="1">
      <c r="A456" s="12"/>
      <c r="B456" s="12"/>
      <c r="C456" s="12"/>
    </row>
    <row r="457" ht="15.75" customHeight="1">
      <c r="A457" s="12"/>
      <c r="B457" s="12"/>
      <c r="C457" s="12"/>
    </row>
    <row r="458" ht="15.75" customHeight="1">
      <c r="A458" s="12"/>
      <c r="B458" s="12"/>
      <c r="C458" s="12"/>
    </row>
    <row r="459" ht="15.75" customHeight="1">
      <c r="A459" s="12"/>
      <c r="B459" s="12"/>
      <c r="C459" s="12"/>
    </row>
    <row r="460" ht="15.75" customHeight="1">
      <c r="A460" s="12"/>
      <c r="B460" s="12"/>
      <c r="C460" s="12"/>
    </row>
    <row r="461" ht="15.75" customHeight="1">
      <c r="A461" s="12"/>
      <c r="B461" s="12"/>
      <c r="C461" s="12"/>
    </row>
    <row r="462" ht="15.75" customHeight="1">
      <c r="A462" s="12"/>
      <c r="B462" s="12"/>
      <c r="C462" s="12"/>
    </row>
    <row r="463" ht="15.75" customHeight="1">
      <c r="A463" s="12"/>
      <c r="B463" s="12"/>
      <c r="C463" s="12"/>
    </row>
    <row r="464" ht="15.75" customHeight="1">
      <c r="A464" s="12"/>
      <c r="B464" s="12"/>
      <c r="C464" s="12"/>
    </row>
    <row r="465" ht="15.75" customHeight="1">
      <c r="A465" s="12"/>
      <c r="B465" s="12"/>
      <c r="C465" s="12"/>
    </row>
    <row r="466" ht="15.75" customHeight="1">
      <c r="A466" s="12"/>
      <c r="B466" s="12"/>
      <c r="C466" s="12"/>
    </row>
    <row r="467" ht="15.75" customHeight="1">
      <c r="A467" s="12"/>
      <c r="B467" s="12"/>
      <c r="C467" s="12"/>
    </row>
    <row r="468" ht="15.75" customHeight="1">
      <c r="A468" s="12"/>
      <c r="B468" s="12"/>
      <c r="C468" s="12"/>
    </row>
    <row r="469" ht="15.75" customHeight="1">
      <c r="A469" s="12"/>
      <c r="B469" s="12"/>
      <c r="C469" s="12"/>
    </row>
    <row r="470" ht="15.75" customHeight="1">
      <c r="A470" s="12"/>
      <c r="B470" s="12"/>
      <c r="C470" s="12"/>
    </row>
    <row r="471" ht="15.75" customHeight="1">
      <c r="A471" s="12"/>
      <c r="B471" s="12"/>
      <c r="C471" s="12"/>
    </row>
    <row r="472" ht="15.75" customHeight="1">
      <c r="A472" s="12"/>
      <c r="B472" s="12"/>
      <c r="C472" s="12"/>
    </row>
    <row r="473" ht="15.75" customHeight="1">
      <c r="A473" s="12"/>
      <c r="B473" s="12"/>
      <c r="C473" s="12"/>
    </row>
    <row r="474" ht="15.75" customHeight="1">
      <c r="A474" s="12"/>
      <c r="B474" s="12"/>
      <c r="C474" s="12"/>
    </row>
    <row r="475" ht="15.75" customHeight="1">
      <c r="A475" s="12"/>
      <c r="B475" s="12"/>
      <c r="C475" s="12"/>
    </row>
    <row r="476" ht="15.75" customHeight="1">
      <c r="A476" s="12"/>
      <c r="B476" s="12"/>
      <c r="C476" s="12"/>
    </row>
    <row r="477" ht="15.75" customHeight="1">
      <c r="A477" s="12"/>
      <c r="B477" s="12"/>
      <c r="C477" s="12"/>
    </row>
    <row r="478" ht="15.75" customHeight="1">
      <c r="A478" s="12"/>
      <c r="B478" s="12"/>
      <c r="C478" s="12"/>
    </row>
    <row r="479" ht="15.75" customHeight="1">
      <c r="A479" s="12"/>
      <c r="B479" s="12"/>
      <c r="C479" s="12"/>
    </row>
    <row r="480" ht="15.75" customHeight="1">
      <c r="A480" s="12"/>
      <c r="B480" s="12"/>
      <c r="C480" s="12"/>
    </row>
    <row r="481" ht="15.75" customHeight="1">
      <c r="A481" s="12"/>
      <c r="B481" s="12"/>
      <c r="C481" s="12"/>
    </row>
    <row r="482" ht="15.75" customHeight="1">
      <c r="A482" s="12"/>
      <c r="B482" s="12"/>
      <c r="C482" s="12"/>
    </row>
    <row r="483" ht="15.75" customHeight="1">
      <c r="A483" s="12"/>
      <c r="B483" s="12"/>
      <c r="C483" s="12"/>
    </row>
    <row r="484" ht="15.75" customHeight="1">
      <c r="A484" s="12"/>
      <c r="B484" s="12"/>
      <c r="C484" s="12"/>
    </row>
    <row r="485" ht="15.75" customHeight="1">
      <c r="A485" s="12"/>
      <c r="B485" s="12"/>
      <c r="C485" s="12"/>
    </row>
    <row r="486" ht="15.75" customHeight="1">
      <c r="A486" s="12"/>
      <c r="B486" s="12"/>
      <c r="C486" s="12"/>
    </row>
    <row r="487" ht="15.75" customHeight="1">
      <c r="A487" s="12"/>
      <c r="B487" s="12"/>
      <c r="C487" s="12"/>
    </row>
    <row r="488" ht="15.75" customHeight="1">
      <c r="A488" s="12"/>
      <c r="B488" s="12"/>
      <c r="C488" s="12"/>
    </row>
    <row r="489" ht="15.75" customHeight="1">
      <c r="A489" s="12"/>
      <c r="B489" s="12"/>
      <c r="C489" s="12"/>
    </row>
    <row r="490" ht="15.75" customHeight="1">
      <c r="A490" s="12"/>
      <c r="B490" s="12"/>
      <c r="C490" s="12"/>
    </row>
    <row r="491" ht="15.75" customHeight="1">
      <c r="A491" s="12"/>
      <c r="B491" s="12"/>
      <c r="C491" s="12"/>
    </row>
    <row r="492" ht="15.75" customHeight="1">
      <c r="A492" s="12"/>
      <c r="B492" s="12"/>
      <c r="C492" s="12"/>
    </row>
    <row r="493" ht="15.75" customHeight="1">
      <c r="A493" s="12"/>
      <c r="B493" s="12"/>
      <c r="C493" s="12"/>
    </row>
    <row r="494" ht="15.75" customHeight="1">
      <c r="A494" s="12"/>
      <c r="B494" s="12"/>
      <c r="C494" s="12"/>
    </row>
    <row r="495" ht="15.75" customHeight="1">
      <c r="A495" s="12"/>
      <c r="B495" s="12"/>
      <c r="C495" s="12"/>
    </row>
    <row r="496" ht="15.75" customHeight="1">
      <c r="A496" s="12"/>
      <c r="B496" s="12"/>
      <c r="C496" s="12"/>
    </row>
    <row r="497" ht="15.75" customHeight="1">
      <c r="A497" s="12"/>
      <c r="B497" s="12"/>
      <c r="C497" s="12"/>
    </row>
    <row r="498" ht="15.75" customHeight="1">
      <c r="A498" s="12"/>
      <c r="B498" s="12"/>
      <c r="C498" s="12"/>
    </row>
    <row r="499" ht="15.75" customHeight="1">
      <c r="A499" s="12"/>
      <c r="B499" s="12"/>
      <c r="C499" s="12"/>
    </row>
    <row r="500" ht="15.75" customHeight="1">
      <c r="A500" s="12"/>
      <c r="B500" s="12"/>
      <c r="C500" s="12"/>
    </row>
    <row r="501" ht="15.75" customHeight="1">
      <c r="A501" s="12"/>
      <c r="B501" s="12"/>
      <c r="C501" s="12"/>
    </row>
    <row r="502" ht="15.75" customHeight="1">
      <c r="A502" s="12"/>
      <c r="B502" s="12"/>
      <c r="C502" s="12"/>
    </row>
    <row r="503" ht="15.75" customHeight="1">
      <c r="A503" s="12"/>
      <c r="B503" s="12"/>
      <c r="C503" s="12"/>
    </row>
    <row r="504" ht="15.75" customHeight="1">
      <c r="A504" s="12"/>
      <c r="B504" s="12"/>
      <c r="C504" s="12"/>
    </row>
    <row r="505" ht="15.75" customHeight="1">
      <c r="A505" s="12"/>
      <c r="B505" s="12"/>
      <c r="C505" s="12"/>
    </row>
    <row r="506" ht="15.75" customHeight="1">
      <c r="A506" s="12"/>
      <c r="B506" s="12"/>
      <c r="C506" s="12"/>
    </row>
    <row r="507" ht="15.75" customHeight="1">
      <c r="A507" s="12"/>
      <c r="B507" s="12"/>
      <c r="C507" s="12"/>
    </row>
    <row r="508" ht="15.75" customHeight="1">
      <c r="A508" s="12"/>
      <c r="B508" s="12"/>
      <c r="C508" s="12"/>
    </row>
    <row r="509" ht="15.75" customHeight="1">
      <c r="A509" s="12"/>
      <c r="B509" s="12"/>
      <c r="C509" s="12"/>
    </row>
    <row r="510" ht="15.75" customHeight="1">
      <c r="A510" s="12"/>
      <c r="B510" s="12"/>
      <c r="C510" s="12"/>
    </row>
    <row r="511" ht="15.75" customHeight="1">
      <c r="A511" s="12"/>
      <c r="B511" s="12"/>
      <c r="C511" s="12"/>
    </row>
    <row r="512" ht="15.75" customHeight="1">
      <c r="A512" s="12"/>
      <c r="B512" s="12"/>
      <c r="C512" s="12"/>
    </row>
    <row r="513" ht="15.75" customHeight="1">
      <c r="A513" s="12"/>
      <c r="B513" s="12"/>
      <c r="C513" s="12"/>
    </row>
    <row r="514" ht="15.75" customHeight="1">
      <c r="A514" s="12"/>
      <c r="B514" s="12"/>
      <c r="C514" s="12"/>
    </row>
    <row r="515" ht="15.75" customHeight="1">
      <c r="A515" s="12"/>
      <c r="B515" s="12"/>
      <c r="C515" s="12"/>
    </row>
    <row r="516" ht="15.75" customHeight="1">
      <c r="A516" s="12"/>
      <c r="B516" s="12"/>
      <c r="C516" s="12"/>
    </row>
    <row r="517" ht="15.75" customHeight="1">
      <c r="A517" s="12"/>
      <c r="B517" s="12"/>
      <c r="C517" s="12"/>
    </row>
    <row r="518" ht="15.75" customHeight="1">
      <c r="A518" s="12"/>
      <c r="B518" s="12"/>
      <c r="C518" s="12"/>
    </row>
    <row r="519" ht="15.75" customHeight="1">
      <c r="A519" s="12"/>
      <c r="B519" s="12"/>
      <c r="C519" s="12"/>
    </row>
    <row r="520" ht="15.75" customHeight="1">
      <c r="A520" s="12"/>
      <c r="B520" s="12"/>
      <c r="C520" s="12"/>
    </row>
    <row r="521" ht="15.75" customHeight="1">
      <c r="A521" s="12"/>
      <c r="B521" s="12"/>
      <c r="C521" s="12"/>
    </row>
    <row r="522" ht="15.75" customHeight="1">
      <c r="A522" s="12"/>
      <c r="B522" s="12"/>
      <c r="C522" s="12"/>
    </row>
    <row r="523" ht="15.75" customHeight="1">
      <c r="A523" s="12"/>
      <c r="B523" s="12"/>
      <c r="C523" s="12"/>
    </row>
    <row r="524" ht="15.75" customHeight="1">
      <c r="A524" s="12"/>
      <c r="B524" s="12"/>
      <c r="C524" s="12"/>
    </row>
    <row r="525" ht="15.75" customHeight="1">
      <c r="A525" s="12"/>
      <c r="B525" s="12"/>
      <c r="C525" s="12"/>
    </row>
    <row r="526" ht="15.75" customHeight="1">
      <c r="A526" s="12"/>
      <c r="B526" s="12"/>
      <c r="C526" s="12"/>
    </row>
    <row r="527" ht="15.75" customHeight="1">
      <c r="A527" s="12"/>
      <c r="B527" s="12"/>
      <c r="C527" s="12"/>
    </row>
    <row r="528" ht="15.75" customHeight="1">
      <c r="A528" s="12"/>
      <c r="B528" s="12"/>
      <c r="C528" s="12"/>
    </row>
    <row r="529" ht="15.75" customHeight="1">
      <c r="A529" s="12"/>
      <c r="B529" s="12"/>
      <c r="C529" s="12"/>
    </row>
    <row r="530" ht="15.75" customHeight="1">
      <c r="A530" s="12"/>
      <c r="B530" s="12"/>
      <c r="C530" s="12"/>
    </row>
    <row r="531" ht="15.75" customHeight="1">
      <c r="A531" s="12"/>
      <c r="B531" s="12"/>
      <c r="C531" s="12"/>
    </row>
    <row r="532" ht="15.75" customHeight="1">
      <c r="A532" s="12"/>
      <c r="B532" s="12"/>
      <c r="C532" s="12"/>
    </row>
    <row r="533" ht="15.75" customHeight="1">
      <c r="A533" s="12"/>
      <c r="B533" s="12"/>
      <c r="C533" s="12"/>
    </row>
    <row r="534" ht="15.75" customHeight="1">
      <c r="A534" s="12"/>
      <c r="B534" s="12"/>
      <c r="C534" s="12"/>
    </row>
    <row r="535" ht="15.75" customHeight="1">
      <c r="A535" s="12"/>
      <c r="B535" s="12"/>
      <c r="C535" s="12"/>
    </row>
    <row r="536" ht="15.75" customHeight="1">
      <c r="A536" s="12"/>
      <c r="B536" s="12"/>
      <c r="C536" s="12"/>
    </row>
    <row r="537" ht="15.75" customHeight="1">
      <c r="A537" s="12"/>
      <c r="B537" s="12"/>
      <c r="C537" s="12"/>
    </row>
    <row r="538" ht="15.75" customHeight="1">
      <c r="A538" s="12"/>
      <c r="B538" s="12"/>
      <c r="C538" s="12"/>
    </row>
    <row r="539" ht="15.75" customHeight="1">
      <c r="A539" s="12"/>
      <c r="B539" s="12"/>
      <c r="C539" s="12"/>
    </row>
    <row r="540" ht="15.75" customHeight="1">
      <c r="A540" s="12"/>
      <c r="B540" s="12"/>
      <c r="C540" s="12"/>
    </row>
    <row r="541" ht="15.75" customHeight="1">
      <c r="A541" s="12"/>
      <c r="B541" s="12"/>
      <c r="C541" s="12"/>
    </row>
    <row r="542" ht="15.75" customHeight="1">
      <c r="A542" s="12"/>
      <c r="B542" s="12"/>
      <c r="C542" s="12"/>
    </row>
    <row r="543" ht="15.75" customHeight="1">
      <c r="A543" s="12"/>
      <c r="B543" s="12"/>
      <c r="C543" s="12"/>
    </row>
    <row r="544" ht="15.75" customHeight="1">
      <c r="A544" s="12"/>
      <c r="B544" s="12"/>
      <c r="C544" s="12"/>
    </row>
    <row r="545" ht="15.75" customHeight="1">
      <c r="A545" s="12"/>
      <c r="B545" s="12"/>
      <c r="C545" s="12"/>
    </row>
    <row r="546" ht="15.75" customHeight="1">
      <c r="A546" s="12"/>
      <c r="B546" s="12"/>
      <c r="C546" s="12"/>
    </row>
    <row r="547" ht="15.75" customHeight="1">
      <c r="A547" s="12"/>
      <c r="B547" s="12"/>
      <c r="C547" s="12"/>
    </row>
    <row r="548" ht="15.75" customHeight="1">
      <c r="A548" s="12"/>
      <c r="B548" s="12"/>
      <c r="C548" s="12"/>
    </row>
    <row r="549" ht="15.75" customHeight="1">
      <c r="A549" s="12"/>
      <c r="B549" s="12"/>
      <c r="C549" s="12"/>
    </row>
    <row r="550" ht="15.75" customHeight="1">
      <c r="A550" s="12"/>
      <c r="B550" s="12"/>
      <c r="C550" s="12"/>
    </row>
    <row r="551" ht="15.75" customHeight="1">
      <c r="A551" s="12"/>
      <c r="B551" s="12"/>
      <c r="C551" s="12"/>
    </row>
    <row r="552" ht="15.75" customHeight="1">
      <c r="A552" s="12"/>
      <c r="B552" s="12"/>
      <c r="C552" s="12"/>
    </row>
    <row r="553" ht="15.75" customHeight="1">
      <c r="A553" s="12"/>
      <c r="B553" s="12"/>
      <c r="C553" s="12"/>
    </row>
    <row r="554" ht="15.75" customHeight="1">
      <c r="A554" s="12"/>
      <c r="B554" s="12"/>
      <c r="C554" s="12"/>
    </row>
    <row r="555" ht="15.75" customHeight="1">
      <c r="A555" s="12"/>
      <c r="B555" s="12"/>
      <c r="C555" s="12"/>
    </row>
    <row r="556" ht="15.75" customHeight="1">
      <c r="A556" s="12"/>
      <c r="B556" s="12"/>
      <c r="C556" s="12"/>
    </row>
    <row r="557" ht="15.75" customHeight="1">
      <c r="A557" s="12"/>
      <c r="B557" s="12"/>
      <c r="C557" s="12"/>
    </row>
    <row r="558" ht="15.75" customHeight="1">
      <c r="A558" s="12"/>
      <c r="B558" s="12"/>
      <c r="C558" s="12"/>
    </row>
    <row r="559" ht="15.75" customHeight="1">
      <c r="A559" s="12"/>
      <c r="B559" s="12"/>
      <c r="C559" s="12"/>
    </row>
    <row r="560" ht="15.75" customHeight="1">
      <c r="A560" s="12"/>
      <c r="B560" s="12"/>
      <c r="C560" s="12"/>
    </row>
    <row r="561" ht="15.75" customHeight="1">
      <c r="A561" s="12"/>
      <c r="B561" s="12"/>
      <c r="C561" s="12"/>
    </row>
    <row r="562" ht="15.75" customHeight="1">
      <c r="A562" s="12"/>
      <c r="B562" s="12"/>
      <c r="C562" s="12"/>
    </row>
    <row r="563" ht="15.75" customHeight="1">
      <c r="A563" s="12"/>
      <c r="B563" s="12"/>
      <c r="C563" s="12"/>
    </row>
    <row r="564" ht="15.75" customHeight="1">
      <c r="A564" s="12"/>
      <c r="B564" s="12"/>
      <c r="C564" s="12"/>
    </row>
    <row r="565" ht="15.75" customHeight="1">
      <c r="A565" s="12"/>
      <c r="B565" s="12"/>
      <c r="C565" s="12"/>
    </row>
    <row r="566" ht="15.75" customHeight="1">
      <c r="A566" s="12"/>
      <c r="B566" s="12"/>
      <c r="C566" s="12"/>
    </row>
    <row r="567" ht="15.75" customHeight="1">
      <c r="A567" s="12"/>
      <c r="B567" s="12"/>
      <c r="C567" s="12"/>
    </row>
    <row r="568" ht="15.75" customHeight="1">
      <c r="A568" s="12"/>
      <c r="B568" s="12"/>
      <c r="C568" s="12"/>
    </row>
    <row r="569" ht="15.75" customHeight="1">
      <c r="A569" s="12"/>
      <c r="B569" s="12"/>
      <c r="C569" s="12"/>
    </row>
    <row r="570" ht="15.75" customHeight="1">
      <c r="A570" s="12"/>
      <c r="B570" s="12"/>
      <c r="C570" s="12"/>
    </row>
    <row r="571" ht="15.75" customHeight="1">
      <c r="A571" s="12"/>
      <c r="B571" s="12"/>
      <c r="C571" s="12"/>
    </row>
    <row r="572" ht="15.75" customHeight="1">
      <c r="A572" s="12"/>
      <c r="B572" s="12"/>
      <c r="C572" s="12"/>
    </row>
    <row r="573" ht="15.75" customHeight="1">
      <c r="A573" s="12"/>
      <c r="B573" s="12"/>
      <c r="C573" s="12"/>
    </row>
    <row r="574" ht="15.75" customHeight="1">
      <c r="A574" s="12"/>
      <c r="B574" s="12"/>
      <c r="C574" s="12"/>
    </row>
    <row r="575" ht="15.75" customHeight="1">
      <c r="A575" s="12"/>
      <c r="B575" s="12"/>
      <c r="C575" s="12"/>
    </row>
    <row r="576" ht="15.75" customHeight="1">
      <c r="A576" s="12"/>
      <c r="B576" s="12"/>
      <c r="C576" s="12"/>
    </row>
    <row r="577" ht="15.75" customHeight="1">
      <c r="A577" s="12"/>
      <c r="B577" s="12"/>
      <c r="C577" s="12"/>
    </row>
    <row r="578" ht="15.75" customHeight="1">
      <c r="A578" s="12"/>
      <c r="B578" s="12"/>
      <c r="C578" s="12"/>
    </row>
    <row r="579" ht="15.75" customHeight="1">
      <c r="A579" s="12"/>
      <c r="B579" s="12"/>
      <c r="C579" s="12"/>
    </row>
    <row r="580" ht="15.75" customHeight="1">
      <c r="A580" s="12"/>
      <c r="B580" s="12"/>
      <c r="C580" s="12"/>
    </row>
    <row r="581" ht="15.75" customHeight="1">
      <c r="A581" s="12"/>
      <c r="B581" s="12"/>
      <c r="C581" s="12"/>
    </row>
    <row r="582" ht="15.75" customHeight="1">
      <c r="A582" s="12"/>
      <c r="B582" s="12"/>
      <c r="C582" s="12"/>
    </row>
    <row r="583" ht="15.75" customHeight="1">
      <c r="A583" s="12"/>
      <c r="B583" s="12"/>
      <c r="C583" s="12"/>
    </row>
    <row r="584" ht="15.75" customHeight="1">
      <c r="A584" s="12"/>
      <c r="B584" s="12"/>
      <c r="C584" s="12"/>
    </row>
    <row r="585" ht="15.75" customHeight="1">
      <c r="A585" s="12"/>
      <c r="B585" s="12"/>
      <c r="C585" s="12"/>
    </row>
    <row r="586" ht="15.75" customHeight="1">
      <c r="A586" s="12"/>
      <c r="B586" s="12"/>
      <c r="C586" s="12"/>
    </row>
    <row r="587" ht="15.75" customHeight="1">
      <c r="A587" s="12"/>
      <c r="B587" s="12"/>
      <c r="C587" s="12"/>
    </row>
    <row r="588" ht="15.75" customHeight="1">
      <c r="A588" s="12"/>
      <c r="B588" s="12"/>
      <c r="C588" s="12"/>
    </row>
    <row r="589" ht="15.75" customHeight="1">
      <c r="A589" s="12"/>
      <c r="B589" s="12"/>
      <c r="C589" s="12"/>
    </row>
    <row r="590" ht="15.75" customHeight="1">
      <c r="A590" s="12"/>
      <c r="B590" s="12"/>
      <c r="C590" s="12"/>
    </row>
    <row r="591" ht="15.75" customHeight="1">
      <c r="A591" s="12"/>
      <c r="B591" s="12"/>
      <c r="C591" s="12"/>
    </row>
    <row r="592" ht="15.75" customHeight="1">
      <c r="A592" s="12"/>
      <c r="B592" s="12"/>
      <c r="C592" s="12"/>
    </row>
    <row r="593" ht="15.75" customHeight="1">
      <c r="A593" s="12"/>
      <c r="B593" s="12"/>
      <c r="C593" s="12"/>
    </row>
    <row r="594" ht="15.75" customHeight="1">
      <c r="A594" s="12"/>
      <c r="B594" s="12"/>
      <c r="C594" s="12"/>
    </row>
    <row r="595" ht="15.75" customHeight="1">
      <c r="A595" s="12"/>
      <c r="B595" s="12"/>
      <c r="C595" s="12"/>
    </row>
    <row r="596" ht="15.75" customHeight="1">
      <c r="A596" s="12"/>
      <c r="B596" s="12"/>
      <c r="C596" s="12"/>
    </row>
    <row r="597" ht="15.75" customHeight="1">
      <c r="A597" s="12"/>
      <c r="B597" s="12"/>
      <c r="C597" s="12"/>
    </row>
    <row r="598" ht="15.75" customHeight="1">
      <c r="A598" s="12"/>
      <c r="B598" s="12"/>
      <c r="C598" s="12"/>
    </row>
    <row r="599" ht="15.75" customHeight="1">
      <c r="A599" s="12"/>
      <c r="B599" s="12"/>
      <c r="C599" s="12"/>
    </row>
    <row r="600" ht="15.75" customHeight="1">
      <c r="A600" s="12"/>
      <c r="B600" s="12"/>
      <c r="C600" s="12"/>
    </row>
    <row r="601" ht="15.75" customHeight="1">
      <c r="A601" s="12"/>
      <c r="B601" s="12"/>
      <c r="C601" s="12"/>
    </row>
    <row r="602" ht="15.75" customHeight="1">
      <c r="A602" s="12"/>
      <c r="B602" s="12"/>
      <c r="C602" s="12"/>
    </row>
    <row r="603" ht="15.75" customHeight="1">
      <c r="A603" s="12"/>
      <c r="B603" s="12"/>
      <c r="C603" s="12"/>
    </row>
    <row r="604" ht="15.75" customHeight="1">
      <c r="A604" s="12"/>
      <c r="B604" s="12"/>
      <c r="C604" s="12"/>
    </row>
    <row r="605" ht="15.75" customHeight="1">
      <c r="A605" s="12"/>
      <c r="B605" s="12"/>
      <c r="C605" s="12"/>
    </row>
    <row r="606" ht="15.75" customHeight="1">
      <c r="A606" s="12"/>
      <c r="B606" s="12"/>
      <c r="C606" s="12"/>
    </row>
    <row r="607" ht="15.75" customHeight="1">
      <c r="A607" s="12"/>
      <c r="B607" s="12"/>
      <c r="C607" s="12"/>
    </row>
    <row r="608" ht="15.75" customHeight="1">
      <c r="A608" s="12"/>
      <c r="B608" s="12"/>
      <c r="C608" s="12"/>
    </row>
    <row r="609" ht="15.75" customHeight="1">
      <c r="A609" s="12"/>
      <c r="B609" s="12"/>
      <c r="C609" s="12"/>
    </row>
    <row r="610" ht="15.75" customHeight="1">
      <c r="A610" s="12"/>
      <c r="B610" s="12"/>
      <c r="C610" s="12"/>
    </row>
    <row r="611" ht="15.75" customHeight="1">
      <c r="A611" s="12"/>
      <c r="B611" s="12"/>
      <c r="C611" s="12"/>
    </row>
    <row r="612" ht="15.75" customHeight="1">
      <c r="A612" s="12"/>
      <c r="B612" s="12"/>
      <c r="C612" s="12"/>
    </row>
    <row r="613" ht="15.75" customHeight="1">
      <c r="A613" s="12"/>
      <c r="B613" s="12"/>
      <c r="C613" s="12"/>
    </row>
    <row r="614" ht="15.75" customHeight="1">
      <c r="A614" s="12"/>
      <c r="B614" s="12"/>
      <c r="C614" s="12"/>
    </row>
    <row r="615" ht="15.75" customHeight="1">
      <c r="A615" s="12"/>
      <c r="B615" s="12"/>
      <c r="C615" s="12"/>
    </row>
    <row r="616" ht="15.75" customHeight="1">
      <c r="A616" s="12"/>
      <c r="B616" s="12"/>
      <c r="C616" s="12"/>
    </row>
    <row r="617" ht="15.75" customHeight="1">
      <c r="A617" s="12"/>
      <c r="B617" s="12"/>
      <c r="C617" s="12"/>
    </row>
    <row r="618" ht="15.75" customHeight="1">
      <c r="A618" s="12"/>
      <c r="B618" s="12"/>
      <c r="C618" s="12"/>
    </row>
    <row r="619" ht="15.75" customHeight="1">
      <c r="A619" s="12"/>
      <c r="B619" s="12"/>
      <c r="C619" s="12"/>
    </row>
    <row r="620" ht="15.75" customHeight="1">
      <c r="A620" s="12"/>
      <c r="B620" s="12"/>
      <c r="C620" s="12"/>
    </row>
    <row r="621" ht="15.75" customHeight="1">
      <c r="A621" s="12"/>
      <c r="B621" s="12"/>
      <c r="C621" s="12"/>
    </row>
    <row r="622" ht="15.75" customHeight="1">
      <c r="A622" s="12"/>
      <c r="B622" s="12"/>
      <c r="C622" s="12"/>
    </row>
    <row r="623" ht="15.75" customHeight="1">
      <c r="A623" s="12"/>
      <c r="B623" s="12"/>
      <c r="C623" s="12"/>
    </row>
    <row r="624" ht="15.75" customHeight="1">
      <c r="A624" s="12"/>
      <c r="B624" s="12"/>
      <c r="C624" s="12"/>
    </row>
    <row r="625" ht="15.75" customHeight="1">
      <c r="A625" s="12"/>
      <c r="B625" s="12"/>
      <c r="C625" s="12"/>
    </row>
    <row r="626" ht="15.75" customHeight="1">
      <c r="A626" s="12"/>
      <c r="B626" s="12"/>
      <c r="C626" s="12"/>
    </row>
    <row r="627" ht="15.75" customHeight="1">
      <c r="A627" s="12"/>
      <c r="B627" s="12"/>
      <c r="C627" s="12"/>
    </row>
    <row r="628" ht="15.75" customHeight="1">
      <c r="A628" s="12"/>
      <c r="B628" s="12"/>
      <c r="C628" s="12"/>
    </row>
    <row r="629" ht="15.75" customHeight="1">
      <c r="A629" s="12"/>
      <c r="B629" s="12"/>
      <c r="C629" s="12"/>
    </row>
    <row r="630" ht="15.75" customHeight="1">
      <c r="A630" s="12"/>
      <c r="B630" s="12"/>
      <c r="C630" s="12"/>
    </row>
    <row r="631" ht="15.75" customHeight="1">
      <c r="A631" s="12"/>
      <c r="B631" s="12"/>
      <c r="C631" s="12"/>
    </row>
    <row r="632" ht="15.75" customHeight="1">
      <c r="A632" s="12"/>
      <c r="B632" s="12"/>
      <c r="C632" s="12"/>
    </row>
    <row r="633" ht="15.75" customHeight="1">
      <c r="A633" s="12"/>
      <c r="B633" s="12"/>
      <c r="C633" s="12"/>
    </row>
    <row r="634" ht="15.75" customHeight="1">
      <c r="A634" s="12"/>
      <c r="B634" s="12"/>
      <c r="C634" s="12"/>
    </row>
    <row r="635" ht="15.75" customHeight="1">
      <c r="A635" s="12"/>
      <c r="B635" s="12"/>
      <c r="C635" s="12"/>
    </row>
    <row r="636" ht="15.75" customHeight="1">
      <c r="A636" s="12"/>
      <c r="B636" s="12"/>
      <c r="C636" s="12"/>
    </row>
    <row r="637" ht="15.75" customHeight="1">
      <c r="A637" s="12"/>
      <c r="B637" s="12"/>
      <c r="C637" s="12"/>
    </row>
    <row r="638" ht="15.75" customHeight="1">
      <c r="A638" s="12"/>
      <c r="B638" s="12"/>
      <c r="C638" s="12"/>
    </row>
    <row r="639" ht="15.75" customHeight="1">
      <c r="A639" s="12"/>
      <c r="B639" s="12"/>
      <c r="C639" s="12"/>
    </row>
    <row r="640" ht="15.75" customHeight="1">
      <c r="A640" s="12"/>
      <c r="B640" s="12"/>
      <c r="C640" s="12"/>
    </row>
    <row r="641" ht="15.75" customHeight="1">
      <c r="A641" s="12"/>
      <c r="B641" s="12"/>
      <c r="C641" s="12"/>
    </row>
    <row r="642" ht="15.75" customHeight="1">
      <c r="A642" s="12"/>
      <c r="B642" s="12"/>
      <c r="C642" s="12"/>
    </row>
    <row r="643" ht="15.75" customHeight="1">
      <c r="A643" s="12"/>
      <c r="B643" s="12"/>
      <c r="C643" s="12"/>
    </row>
    <row r="644" ht="15.75" customHeight="1">
      <c r="A644" s="12"/>
      <c r="B644" s="12"/>
      <c r="C644" s="12"/>
    </row>
    <row r="645" ht="15.75" customHeight="1">
      <c r="A645" s="12"/>
      <c r="B645" s="12"/>
      <c r="C645" s="12"/>
    </row>
    <row r="646" ht="15.75" customHeight="1">
      <c r="A646" s="12"/>
      <c r="B646" s="12"/>
      <c r="C646" s="12"/>
    </row>
    <row r="647" ht="15.75" customHeight="1">
      <c r="A647" s="12"/>
      <c r="B647" s="12"/>
      <c r="C647" s="12"/>
    </row>
    <row r="648" ht="15.75" customHeight="1">
      <c r="A648" s="12"/>
      <c r="B648" s="12"/>
      <c r="C648" s="12"/>
    </row>
    <row r="649" ht="15.75" customHeight="1">
      <c r="A649" s="12"/>
      <c r="B649" s="12"/>
      <c r="C649" s="12"/>
    </row>
    <row r="650" ht="15.75" customHeight="1">
      <c r="A650" s="12"/>
      <c r="B650" s="12"/>
      <c r="C650" s="12"/>
    </row>
    <row r="651" ht="15.75" customHeight="1">
      <c r="A651" s="12"/>
      <c r="B651" s="12"/>
      <c r="C651" s="12"/>
    </row>
    <row r="652" ht="15.75" customHeight="1">
      <c r="A652" s="12"/>
      <c r="B652" s="12"/>
      <c r="C652" s="12"/>
    </row>
    <row r="653" ht="15.75" customHeight="1">
      <c r="A653" s="12"/>
      <c r="B653" s="12"/>
      <c r="C653" s="12"/>
    </row>
    <row r="654" ht="15.75" customHeight="1">
      <c r="A654" s="12"/>
      <c r="B654" s="12"/>
      <c r="C654" s="12"/>
    </row>
    <row r="655" ht="15.75" customHeight="1">
      <c r="A655" s="12"/>
      <c r="B655" s="12"/>
      <c r="C655" s="12"/>
    </row>
    <row r="656" ht="15.75" customHeight="1">
      <c r="A656" s="12"/>
      <c r="B656" s="12"/>
      <c r="C656" s="12"/>
    </row>
    <row r="657" ht="15.75" customHeight="1">
      <c r="A657" s="12"/>
      <c r="B657" s="12"/>
      <c r="C657" s="12"/>
    </row>
    <row r="658" ht="15.75" customHeight="1">
      <c r="A658" s="12"/>
      <c r="B658" s="12"/>
      <c r="C658" s="12"/>
    </row>
    <row r="659" ht="15.75" customHeight="1">
      <c r="A659" s="12"/>
      <c r="B659" s="12"/>
      <c r="C659" s="12"/>
    </row>
    <row r="660" ht="15.75" customHeight="1">
      <c r="A660" s="12"/>
      <c r="B660" s="12"/>
      <c r="C660" s="12"/>
    </row>
    <row r="661" ht="15.75" customHeight="1">
      <c r="A661" s="12"/>
      <c r="B661" s="12"/>
      <c r="C661" s="12"/>
    </row>
    <row r="662" ht="15.75" customHeight="1">
      <c r="A662" s="12"/>
      <c r="B662" s="12"/>
      <c r="C662" s="12"/>
    </row>
    <row r="663" ht="15.75" customHeight="1">
      <c r="A663" s="12"/>
      <c r="B663" s="12"/>
      <c r="C663" s="12"/>
    </row>
    <row r="664" ht="15.75" customHeight="1">
      <c r="A664" s="12"/>
      <c r="B664" s="12"/>
      <c r="C664" s="12"/>
    </row>
    <row r="665" ht="15.75" customHeight="1">
      <c r="A665" s="12"/>
      <c r="B665" s="12"/>
      <c r="C665" s="12"/>
    </row>
    <row r="666" ht="15.75" customHeight="1">
      <c r="A666" s="12"/>
      <c r="B666" s="12"/>
      <c r="C666" s="12"/>
    </row>
    <row r="667" ht="15.75" customHeight="1">
      <c r="A667" s="12"/>
      <c r="B667" s="12"/>
      <c r="C667" s="12"/>
    </row>
    <row r="668" ht="15.75" customHeight="1">
      <c r="A668" s="12"/>
      <c r="B668" s="12"/>
      <c r="C668" s="12"/>
    </row>
    <row r="669" ht="15.75" customHeight="1">
      <c r="A669" s="12"/>
      <c r="B669" s="12"/>
      <c r="C669" s="12"/>
    </row>
    <row r="670" ht="15.75" customHeight="1">
      <c r="A670" s="12"/>
      <c r="B670" s="12"/>
      <c r="C670" s="12"/>
    </row>
    <row r="671" ht="15.75" customHeight="1">
      <c r="A671" s="12"/>
      <c r="B671" s="12"/>
      <c r="C671" s="12"/>
    </row>
    <row r="672" ht="15.75" customHeight="1">
      <c r="A672" s="12"/>
      <c r="B672" s="12"/>
      <c r="C672" s="12"/>
    </row>
    <row r="673" ht="15.75" customHeight="1">
      <c r="A673" s="12"/>
      <c r="B673" s="12"/>
      <c r="C673" s="12"/>
    </row>
    <row r="674" ht="15.75" customHeight="1">
      <c r="A674" s="12"/>
      <c r="B674" s="12"/>
      <c r="C674" s="12"/>
    </row>
    <row r="675" ht="15.75" customHeight="1">
      <c r="A675" s="12"/>
      <c r="B675" s="12"/>
      <c r="C675" s="12"/>
    </row>
    <row r="676" ht="15.75" customHeight="1">
      <c r="A676" s="12"/>
      <c r="B676" s="12"/>
      <c r="C676" s="12"/>
    </row>
    <row r="677" ht="15.75" customHeight="1">
      <c r="A677" s="12"/>
      <c r="B677" s="12"/>
      <c r="C677" s="12"/>
    </row>
    <row r="678" ht="15.75" customHeight="1">
      <c r="A678" s="12"/>
      <c r="B678" s="12"/>
      <c r="C678" s="12"/>
    </row>
    <row r="679" ht="15.75" customHeight="1">
      <c r="A679" s="12"/>
      <c r="B679" s="12"/>
      <c r="C679" s="12"/>
    </row>
    <row r="680" ht="15.75" customHeight="1">
      <c r="A680" s="12"/>
      <c r="B680" s="12"/>
      <c r="C680" s="12"/>
    </row>
    <row r="681" ht="15.75" customHeight="1">
      <c r="A681" s="12"/>
      <c r="B681" s="12"/>
      <c r="C681" s="12"/>
    </row>
    <row r="682" ht="15.75" customHeight="1">
      <c r="A682" s="12"/>
      <c r="B682" s="12"/>
      <c r="C682" s="12"/>
    </row>
    <row r="683" ht="15.75" customHeight="1">
      <c r="A683" s="12"/>
      <c r="B683" s="12"/>
      <c r="C683" s="12"/>
    </row>
    <row r="684" ht="15.75" customHeight="1">
      <c r="A684" s="12"/>
      <c r="B684" s="12"/>
      <c r="C684" s="12"/>
    </row>
    <row r="685" ht="15.75" customHeight="1">
      <c r="A685" s="12"/>
      <c r="B685" s="12"/>
      <c r="C685" s="12"/>
    </row>
    <row r="686" ht="15.75" customHeight="1">
      <c r="A686" s="12"/>
      <c r="B686" s="12"/>
      <c r="C686" s="12"/>
    </row>
    <row r="687" ht="15.75" customHeight="1">
      <c r="A687" s="12"/>
      <c r="B687" s="12"/>
      <c r="C687" s="12"/>
    </row>
    <row r="688" ht="15.75" customHeight="1">
      <c r="A688" s="12"/>
      <c r="B688" s="12"/>
      <c r="C688" s="12"/>
    </row>
    <row r="689" ht="15.75" customHeight="1">
      <c r="A689" s="12"/>
      <c r="B689" s="12"/>
      <c r="C689" s="12"/>
    </row>
    <row r="690" ht="15.75" customHeight="1">
      <c r="A690" s="12"/>
      <c r="B690" s="12"/>
      <c r="C690" s="12"/>
    </row>
    <row r="691" ht="15.75" customHeight="1">
      <c r="A691" s="12"/>
      <c r="B691" s="12"/>
      <c r="C691" s="12"/>
    </row>
    <row r="692" ht="15.75" customHeight="1">
      <c r="A692" s="12"/>
      <c r="B692" s="12"/>
      <c r="C692" s="12"/>
    </row>
    <row r="693" ht="15.75" customHeight="1">
      <c r="A693" s="12"/>
      <c r="B693" s="12"/>
      <c r="C693" s="12"/>
    </row>
    <row r="694" ht="15.75" customHeight="1">
      <c r="A694" s="12"/>
      <c r="B694" s="12"/>
      <c r="C694" s="12"/>
    </row>
    <row r="695" ht="15.75" customHeight="1">
      <c r="A695" s="12"/>
      <c r="B695" s="12"/>
      <c r="C695" s="12"/>
    </row>
    <row r="696" ht="15.75" customHeight="1">
      <c r="A696" s="12"/>
      <c r="B696" s="12"/>
      <c r="C696" s="12"/>
    </row>
    <row r="697" ht="15.75" customHeight="1">
      <c r="A697" s="12"/>
      <c r="B697" s="12"/>
      <c r="C697" s="12"/>
    </row>
    <row r="698" ht="15.75" customHeight="1">
      <c r="A698" s="12"/>
      <c r="B698" s="12"/>
      <c r="C698" s="12"/>
    </row>
    <row r="699" ht="15.75" customHeight="1">
      <c r="A699" s="12"/>
      <c r="B699" s="12"/>
      <c r="C699" s="12"/>
    </row>
    <row r="700" ht="15.75" customHeight="1">
      <c r="A700" s="12"/>
      <c r="B700" s="12"/>
      <c r="C700" s="12"/>
    </row>
    <row r="701" ht="15.75" customHeight="1">
      <c r="A701" s="12"/>
      <c r="B701" s="12"/>
      <c r="C701" s="12"/>
    </row>
    <row r="702" ht="15.75" customHeight="1">
      <c r="A702" s="12"/>
      <c r="B702" s="12"/>
      <c r="C702" s="12"/>
    </row>
    <row r="703" ht="15.75" customHeight="1">
      <c r="A703" s="12"/>
      <c r="B703" s="12"/>
      <c r="C703" s="12"/>
    </row>
    <row r="704" ht="15.75" customHeight="1">
      <c r="A704" s="12"/>
      <c r="B704" s="12"/>
      <c r="C704" s="12"/>
    </row>
    <row r="705" ht="15.75" customHeight="1">
      <c r="A705" s="12"/>
      <c r="B705" s="12"/>
      <c r="C705" s="12"/>
    </row>
    <row r="706" ht="15.75" customHeight="1">
      <c r="A706" s="12"/>
      <c r="B706" s="12"/>
      <c r="C706" s="12"/>
    </row>
    <row r="707" ht="15.75" customHeight="1">
      <c r="A707" s="12"/>
      <c r="B707" s="12"/>
      <c r="C707" s="12"/>
    </row>
    <row r="708" ht="15.75" customHeight="1">
      <c r="A708" s="12"/>
      <c r="B708" s="12"/>
      <c r="C708" s="12"/>
    </row>
    <row r="709" ht="15.75" customHeight="1">
      <c r="A709" s="12"/>
      <c r="B709" s="12"/>
      <c r="C709" s="12"/>
    </row>
    <row r="710" ht="15.75" customHeight="1">
      <c r="A710" s="12"/>
      <c r="B710" s="12"/>
      <c r="C710" s="12"/>
    </row>
    <row r="711" ht="15.75" customHeight="1">
      <c r="A711" s="12"/>
      <c r="B711" s="12"/>
      <c r="C711" s="12"/>
    </row>
    <row r="712" ht="15.75" customHeight="1">
      <c r="A712" s="12"/>
      <c r="B712" s="12"/>
      <c r="C712" s="12"/>
    </row>
    <row r="713" ht="15.75" customHeight="1">
      <c r="A713" s="12"/>
      <c r="B713" s="12"/>
      <c r="C713" s="12"/>
    </row>
    <row r="714" ht="15.75" customHeight="1">
      <c r="A714" s="12"/>
      <c r="B714" s="12"/>
      <c r="C714" s="12"/>
    </row>
    <row r="715" ht="15.75" customHeight="1">
      <c r="A715" s="12"/>
      <c r="B715" s="12"/>
      <c r="C715" s="12"/>
    </row>
    <row r="716" ht="15.75" customHeight="1">
      <c r="A716" s="12"/>
      <c r="B716" s="12"/>
      <c r="C716" s="12"/>
    </row>
    <row r="717" ht="15.75" customHeight="1">
      <c r="A717" s="12"/>
      <c r="B717" s="12"/>
      <c r="C717" s="12"/>
    </row>
    <row r="718" ht="15.75" customHeight="1">
      <c r="A718" s="12"/>
      <c r="B718" s="12"/>
      <c r="C718" s="12"/>
    </row>
    <row r="719" ht="15.75" customHeight="1">
      <c r="A719" s="12"/>
      <c r="B719" s="12"/>
      <c r="C719" s="12"/>
    </row>
    <row r="720" ht="15.75" customHeight="1">
      <c r="A720" s="12"/>
      <c r="B720" s="12"/>
      <c r="C720" s="12"/>
    </row>
    <row r="721" ht="15.75" customHeight="1">
      <c r="A721" s="12"/>
      <c r="B721" s="12"/>
      <c r="C721" s="12"/>
    </row>
    <row r="722" ht="15.75" customHeight="1">
      <c r="A722" s="12"/>
      <c r="B722" s="12"/>
      <c r="C722" s="12"/>
    </row>
    <row r="723" ht="15.75" customHeight="1">
      <c r="A723" s="12"/>
      <c r="B723" s="12"/>
      <c r="C723" s="12"/>
    </row>
    <row r="724" ht="15.75" customHeight="1">
      <c r="A724" s="12"/>
      <c r="B724" s="12"/>
      <c r="C724" s="12"/>
    </row>
    <row r="725" ht="15.75" customHeight="1">
      <c r="A725" s="12"/>
      <c r="B725" s="12"/>
      <c r="C725" s="12"/>
    </row>
    <row r="726" ht="15.75" customHeight="1">
      <c r="A726" s="12"/>
      <c r="B726" s="12"/>
      <c r="C726" s="12"/>
    </row>
    <row r="727" ht="15.75" customHeight="1">
      <c r="A727" s="12"/>
      <c r="B727" s="12"/>
      <c r="C727" s="12"/>
    </row>
    <row r="728" ht="15.75" customHeight="1">
      <c r="A728" s="12"/>
      <c r="B728" s="12"/>
      <c r="C728" s="12"/>
    </row>
    <row r="729" ht="15.75" customHeight="1">
      <c r="A729" s="12"/>
      <c r="B729" s="12"/>
      <c r="C729" s="12"/>
    </row>
    <row r="730" ht="15.75" customHeight="1">
      <c r="A730" s="12"/>
      <c r="B730" s="12"/>
      <c r="C730" s="12"/>
    </row>
    <row r="731" ht="15.75" customHeight="1">
      <c r="A731" s="12"/>
      <c r="B731" s="12"/>
      <c r="C731" s="12"/>
    </row>
    <row r="732" ht="15.75" customHeight="1">
      <c r="A732" s="12"/>
      <c r="B732" s="12"/>
      <c r="C732" s="12"/>
    </row>
    <row r="733" ht="15.75" customHeight="1">
      <c r="A733" s="12"/>
      <c r="B733" s="12"/>
      <c r="C733" s="12"/>
    </row>
    <row r="734" ht="15.75" customHeight="1">
      <c r="A734" s="12"/>
      <c r="B734" s="12"/>
      <c r="C734" s="12"/>
    </row>
    <row r="735" ht="15.75" customHeight="1">
      <c r="A735" s="12"/>
      <c r="B735" s="12"/>
      <c r="C735" s="12"/>
    </row>
    <row r="736" ht="15.75" customHeight="1">
      <c r="A736" s="12"/>
      <c r="B736" s="12"/>
      <c r="C736" s="12"/>
    </row>
    <row r="737" ht="15.75" customHeight="1">
      <c r="A737" s="12"/>
      <c r="B737" s="12"/>
      <c r="C737" s="12"/>
    </row>
    <row r="738" ht="15.75" customHeight="1">
      <c r="A738" s="12"/>
      <c r="B738" s="12"/>
      <c r="C738" s="12"/>
    </row>
    <row r="739" ht="15.75" customHeight="1">
      <c r="A739" s="12"/>
      <c r="B739" s="12"/>
      <c r="C739" s="12"/>
    </row>
    <row r="740" ht="15.75" customHeight="1">
      <c r="A740" s="12"/>
      <c r="B740" s="12"/>
      <c r="C740" s="12"/>
    </row>
    <row r="741" ht="15.75" customHeight="1">
      <c r="A741" s="12"/>
      <c r="B741" s="12"/>
      <c r="C741" s="12"/>
    </row>
    <row r="742" ht="15.75" customHeight="1">
      <c r="A742" s="12"/>
      <c r="B742" s="12"/>
      <c r="C742" s="12"/>
    </row>
    <row r="743" ht="15.75" customHeight="1">
      <c r="A743" s="12"/>
      <c r="B743" s="12"/>
      <c r="C743" s="12"/>
    </row>
    <row r="744" ht="15.75" customHeight="1">
      <c r="A744" s="12"/>
      <c r="B744" s="12"/>
      <c r="C744" s="12"/>
    </row>
    <row r="745" ht="15.75" customHeight="1">
      <c r="A745" s="12"/>
      <c r="B745" s="12"/>
      <c r="C745" s="12"/>
    </row>
    <row r="746" ht="15.75" customHeight="1">
      <c r="A746" s="12"/>
      <c r="B746" s="12"/>
      <c r="C746" s="12"/>
    </row>
    <row r="747" ht="15.75" customHeight="1">
      <c r="A747" s="12"/>
      <c r="B747" s="12"/>
      <c r="C747" s="12"/>
    </row>
    <row r="748" ht="15.75" customHeight="1">
      <c r="A748" s="12"/>
      <c r="B748" s="12"/>
      <c r="C748" s="12"/>
    </row>
    <row r="749" ht="15.75" customHeight="1">
      <c r="A749" s="12"/>
      <c r="B749" s="12"/>
      <c r="C749" s="12"/>
    </row>
    <row r="750" ht="15.75" customHeight="1">
      <c r="A750" s="12"/>
      <c r="B750" s="12"/>
      <c r="C750" s="12"/>
    </row>
    <row r="751" ht="15.75" customHeight="1">
      <c r="A751" s="12"/>
      <c r="B751" s="12"/>
      <c r="C751" s="12"/>
    </row>
    <row r="752" ht="15.75" customHeight="1">
      <c r="A752" s="12"/>
      <c r="B752" s="12"/>
      <c r="C752" s="12"/>
    </row>
    <row r="753" ht="15.75" customHeight="1">
      <c r="A753" s="12"/>
      <c r="B753" s="12"/>
      <c r="C753" s="12"/>
    </row>
    <row r="754" ht="15.75" customHeight="1">
      <c r="A754" s="12"/>
      <c r="B754" s="12"/>
      <c r="C754" s="12"/>
    </row>
    <row r="755" ht="15.75" customHeight="1">
      <c r="A755" s="12"/>
      <c r="B755" s="12"/>
      <c r="C755" s="12"/>
    </row>
    <row r="756" ht="15.75" customHeight="1">
      <c r="A756" s="12"/>
      <c r="B756" s="12"/>
      <c r="C756" s="12"/>
    </row>
    <row r="757" ht="15.75" customHeight="1">
      <c r="A757" s="12"/>
      <c r="B757" s="12"/>
      <c r="C757" s="12"/>
    </row>
    <row r="758" ht="15.75" customHeight="1">
      <c r="A758" s="12"/>
      <c r="B758" s="12"/>
      <c r="C758" s="12"/>
    </row>
    <row r="759" ht="15.75" customHeight="1">
      <c r="A759" s="12"/>
      <c r="B759" s="12"/>
      <c r="C759" s="12"/>
    </row>
    <row r="760" ht="15.75" customHeight="1">
      <c r="A760" s="12"/>
      <c r="B760" s="12"/>
      <c r="C760" s="12"/>
    </row>
    <row r="761" ht="15.75" customHeight="1">
      <c r="A761" s="12"/>
      <c r="B761" s="12"/>
      <c r="C761" s="12"/>
    </row>
    <row r="762" ht="15.75" customHeight="1">
      <c r="A762" s="12"/>
      <c r="B762" s="12"/>
      <c r="C762" s="12"/>
    </row>
    <row r="763" ht="15.75" customHeight="1">
      <c r="A763" s="12"/>
      <c r="B763" s="12"/>
      <c r="C763" s="12"/>
    </row>
    <row r="764" ht="15.75" customHeight="1">
      <c r="A764" s="12"/>
      <c r="B764" s="12"/>
      <c r="C764" s="12"/>
    </row>
    <row r="765" ht="15.75" customHeight="1">
      <c r="A765" s="12"/>
      <c r="B765" s="12"/>
      <c r="C765" s="12"/>
    </row>
    <row r="766" ht="15.75" customHeight="1">
      <c r="A766" s="12"/>
      <c r="B766" s="12"/>
      <c r="C766" s="12"/>
    </row>
    <row r="767" ht="15.75" customHeight="1">
      <c r="A767" s="12"/>
      <c r="B767" s="12"/>
      <c r="C767" s="12"/>
    </row>
    <row r="768" ht="15.75" customHeight="1">
      <c r="A768" s="12"/>
      <c r="B768" s="12"/>
      <c r="C768" s="12"/>
    </row>
    <row r="769" ht="15.75" customHeight="1">
      <c r="A769" s="12"/>
      <c r="B769" s="12"/>
      <c r="C769" s="12"/>
    </row>
    <row r="770" ht="15.75" customHeight="1">
      <c r="A770" s="12"/>
      <c r="B770" s="12"/>
      <c r="C770" s="12"/>
    </row>
    <row r="771" ht="15.75" customHeight="1">
      <c r="A771" s="12"/>
      <c r="B771" s="12"/>
      <c r="C771" s="12"/>
    </row>
    <row r="772" ht="15.75" customHeight="1">
      <c r="A772" s="12"/>
      <c r="B772" s="12"/>
      <c r="C772" s="12"/>
    </row>
    <row r="773" ht="15.75" customHeight="1">
      <c r="A773" s="12"/>
      <c r="B773" s="12"/>
      <c r="C773" s="12"/>
    </row>
    <row r="774" ht="15.75" customHeight="1">
      <c r="A774" s="12"/>
      <c r="B774" s="12"/>
      <c r="C774" s="12"/>
    </row>
    <row r="775" ht="15.75" customHeight="1">
      <c r="A775" s="12"/>
      <c r="B775" s="12"/>
      <c r="C775" s="12"/>
    </row>
    <row r="776" ht="15.75" customHeight="1">
      <c r="A776" s="12"/>
      <c r="B776" s="12"/>
      <c r="C776" s="12"/>
    </row>
    <row r="777" ht="15.75" customHeight="1">
      <c r="A777" s="12"/>
      <c r="B777" s="12"/>
      <c r="C777" s="12"/>
    </row>
    <row r="778" ht="15.75" customHeight="1">
      <c r="A778" s="12"/>
      <c r="B778" s="12"/>
      <c r="C778" s="12"/>
    </row>
    <row r="779" ht="15.75" customHeight="1">
      <c r="A779" s="12"/>
      <c r="B779" s="12"/>
      <c r="C779" s="12"/>
    </row>
    <row r="780" ht="15.75" customHeight="1">
      <c r="A780" s="12"/>
      <c r="B780" s="12"/>
      <c r="C780" s="12"/>
    </row>
    <row r="781" ht="15.75" customHeight="1">
      <c r="A781" s="12"/>
      <c r="B781" s="12"/>
      <c r="C781" s="12"/>
    </row>
    <row r="782" ht="15.75" customHeight="1">
      <c r="A782" s="12"/>
      <c r="B782" s="12"/>
      <c r="C782" s="12"/>
    </row>
    <row r="783" ht="15.75" customHeight="1">
      <c r="A783" s="12"/>
      <c r="B783" s="12"/>
      <c r="C783" s="12"/>
    </row>
    <row r="784" ht="15.75" customHeight="1">
      <c r="A784" s="12"/>
      <c r="B784" s="12"/>
      <c r="C784" s="12"/>
    </row>
    <row r="785" ht="15.75" customHeight="1">
      <c r="A785" s="12"/>
      <c r="B785" s="12"/>
      <c r="C785" s="12"/>
    </row>
    <row r="786" ht="15.75" customHeight="1">
      <c r="A786" s="12"/>
      <c r="B786" s="12"/>
      <c r="C786" s="12"/>
    </row>
    <row r="787" ht="15.75" customHeight="1">
      <c r="A787" s="12"/>
      <c r="B787" s="12"/>
      <c r="C787" s="12"/>
    </row>
    <row r="788" ht="15.75" customHeight="1">
      <c r="A788" s="12"/>
      <c r="B788" s="12"/>
      <c r="C788" s="12"/>
    </row>
    <row r="789" ht="15.75" customHeight="1">
      <c r="A789" s="12"/>
      <c r="B789" s="12"/>
      <c r="C789" s="12"/>
    </row>
    <row r="790" ht="15.75" customHeight="1">
      <c r="A790" s="12"/>
      <c r="B790" s="12"/>
      <c r="C790" s="12"/>
    </row>
    <row r="791" ht="15.75" customHeight="1">
      <c r="A791" s="12"/>
      <c r="B791" s="12"/>
      <c r="C791" s="12"/>
    </row>
    <row r="792" ht="15.75" customHeight="1">
      <c r="A792" s="12"/>
      <c r="B792" s="12"/>
      <c r="C792" s="12"/>
    </row>
    <row r="793" ht="15.75" customHeight="1">
      <c r="A793" s="12"/>
      <c r="B793" s="12"/>
      <c r="C793" s="12"/>
    </row>
    <row r="794" ht="15.75" customHeight="1">
      <c r="A794" s="12"/>
      <c r="B794" s="12"/>
      <c r="C794" s="12"/>
    </row>
    <row r="795" ht="15.75" customHeight="1">
      <c r="A795" s="12"/>
      <c r="B795" s="12"/>
      <c r="C795" s="12"/>
    </row>
    <row r="796" ht="15.75" customHeight="1">
      <c r="A796" s="12"/>
      <c r="B796" s="12"/>
      <c r="C796" s="12"/>
    </row>
    <row r="797" ht="15.75" customHeight="1">
      <c r="A797" s="12"/>
      <c r="B797" s="12"/>
      <c r="C797" s="12"/>
    </row>
    <row r="798" ht="15.75" customHeight="1">
      <c r="A798" s="12"/>
      <c r="B798" s="12"/>
      <c r="C798" s="12"/>
    </row>
    <row r="799" ht="15.75" customHeight="1">
      <c r="A799" s="12"/>
      <c r="B799" s="12"/>
      <c r="C799" s="12"/>
    </row>
    <row r="800" ht="15.75" customHeight="1">
      <c r="A800" s="12"/>
      <c r="B800" s="12"/>
      <c r="C800" s="12"/>
    </row>
    <row r="801" ht="15.75" customHeight="1">
      <c r="A801" s="12"/>
      <c r="B801" s="12"/>
      <c r="C801" s="12"/>
    </row>
    <row r="802" ht="15.75" customHeight="1">
      <c r="A802" s="12"/>
      <c r="B802" s="12"/>
      <c r="C802" s="12"/>
    </row>
    <row r="803" ht="15.75" customHeight="1">
      <c r="A803" s="12"/>
      <c r="B803" s="12"/>
      <c r="C803" s="12"/>
    </row>
    <row r="804" ht="15.75" customHeight="1">
      <c r="A804" s="12"/>
      <c r="B804" s="12"/>
      <c r="C804" s="12"/>
    </row>
    <row r="805" ht="15.75" customHeight="1">
      <c r="A805" s="12"/>
      <c r="B805" s="12"/>
      <c r="C805" s="12"/>
    </row>
    <row r="806" ht="15.75" customHeight="1">
      <c r="A806" s="12"/>
      <c r="B806" s="12"/>
      <c r="C806" s="12"/>
    </row>
    <row r="807" ht="15.75" customHeight="1">
      <c r="A807" s="12"/>
      <c r="B807" s="12"/>
      <c r="C807" s="12"/>
    </row>
    <row r="808" ht="15.75" customHeight="1">
      <c r="A808" s="12"/>
      <c r="B808" s="12"/>
      <c r="C808" s="12"/>
    </row>
    <row r="809" ht="15.75" customHeight="1">
      <c r="A809" s="12"/>
      <c r="B809" s="12"/>
      <c r="C809" s="12"/>
    </row>
    <row r="810" ht="15.75" customHeight="1">
      <c r="A810" s="12"/>
      <c r="B810" s="12"/>
      <c r="C810" s="12"/>
    </row>
    <row r="811" ht="15.75" customHeight="1">
      <c r="A811" s="12"/>
      <c r="B811" s="12"/>
      <c r="C811" s="12"/>
    </row>
    <row r="812" ht="15.75" customHeight="1">
      <c r="A812" s="12"/>
      <c r="B812" s="12"/>
      <c r="C812" s="12"/>
    </row>
    <row r="813" ht="15.75" customHeight="1">
      <c r="A813" s="12"/>
      <c r="B813" s="12"/>
      <c r="C813" s="12"/>
    </row>
    <row r="814" ht="15.75" customHeight="1">
      <c r="A814" s="12"/>
      <c r="B814" s="12"/>
      <c r="C814" s="12"/>
    </row>
    <row r="815" ht="15.75" customHeight="1">
      <c r="A815" s="12"/>
      <c r="B815" s="12"/>
      <c r="C815" s="12"/>
    </row>
    <row r="816" ht="15.75" customHeight="1">
      <c r="A816" s="12"/>
      <c r="B816" s="12"/>
      <c r="C816" s="12"/>
    </row>
    <row r="817" ht="15.75" customHeight="1">
      <c r="A817" s="12"/>
      <c r="B817" s="12"/>
      <c r="C817" s="12"/>
    </row>
    <row r="818" ht="15.75" customHeight="1">
      <c r="A818" s="12"/>
      <c r="B818" s="12"/>
      <c r="C818" s="12"/>
    </row>
    <row r="819" ht="15.75" customHeight="1">
      <c r="A819" s="12"/>
      <c r="B819" s="12"/>
      <c r="C819" s="12"/>
    </row>
    <row r="820" ht="15.75" customHeight="1">
      <c r="A820" s="12"/>
      <c r="B820" s="12"/>
      <c r="C820" s="12"/>
    </row>
    <row r="821" ht="15.75" customHeight="1">
      <c r="A821" s="12"/>
      <c r="B821" s="12"/>
      <c r="C821" s="12"/>
    </row>
    <row r="822" ht="15.75" customHeight="1">
      <c r="A822" s="12"/>
      <c r="B822" s="12"/>
      <c r="C822" s="12"/>
    </row>
    <row r="823" ht="15.75" customHeight="1">
      <c r="A823" s="12"/>
      <c r="B823" s="12"/>
      <c r="C823" s="12"/>
    </row>
    <row r="824" ht="15.75" customHeight="1">
      <c r="A824" s="12"/>
      <c r="B824" s="12"/>
      <c r="C824" s="12"/>
    </row>
    <row r="825" ht="15.75" customHeight="1">
      <c r="A825" s="12"/>
      <c r="B825" s="12"/>
      <c r="C825" s="12"/>
    </row>
    <row r="826" ht="15.75" customHeight="1">
      <c r="A826" s="12"/>
      <c r="B826" s="12"/>
      <c r="C826" s="12"/>
    </row>
    <row r="827" ht="15.75" customHeight="1">
      <c r="A827" s="12"/>
      <c r="B827" s="12"/>
      <c r="C827" s="12"/>
    </row>
    <row r="828" ht="15.75" customHeight="1">
      <c r="A828" s="12"/>
      <c r="B828" s="12"/>
      <c r="C828" s="12"/>
    </row>
    <row r="829" ht="15.75" customHeight="1">
      <c r="A829" s="12"/>
      <c r="B829" s="12"/>
      <c r="C829" s="12"/>
    </row>
    <row r="830" ht="15.75" customHeight="1">
      <c r="A830" s="12"/>
      <c r="B830" s="12"/>
      <c r="C830" s="12"/>
    </row>
    <row r="831" ht="15.75" customHeight="1">
      <c r="A831" s="12"/>
      <c r="B831" s="12"/>
      <c r="C831" s="12"/>
    </row>
    <row r="832" ht="15.75" customHeight="1">
      <c r="A832" s="12"/>
      <c r="B832" s="12"/>
      <c r="C832" s="12"/>
    </row>
    <row r="833" ht="15.75" customHeight="1">
      <c r="A833" s="12"/>
      <c r="B833" s="12"/>
      <c r="C833" s="12"/>
    </row>
    <row r="834" ht="15.75" customHeight="1">
      <c r="A834" s="12"/>
      <c r="B834" s="12"/>
      <c r="C834" s="12"/>
    </row>
    <row r="835" ht="15.75" customHeight="1">
      <c r="A835" s="12"/>
      <c r="B835" s="12"/>
      <c r="C835" s="12"/>
    </row>
    <row r="836" ht="15.75" customHeight="1">
      <c r="A836" s="12"/>
      <c r="B836" s="12"/>
      <c r="C836" s="12"/>
    </row>
    <row r="837" ht="15.75" customHeight="1">
      <c r="A837" s="12"/>
      <c r="B837" s="12"/>
      <c r="C837" s="12"/>
    </row>
    <row r="838" ht="15.75" customHeight="1">
      <c r="A838" s="12"/>
      <c r="B838" s="12"/>
      <c r="C838" s="12"/>
    </row>
    <row r="839" ht="15.75" customHeight="1">
      <c r="A839" s="12"/>
      <c r="B839" s="12"/>
      <c r="C839" s="12"/>
    </row>
    <row r="840" ht="15.75" customHeight="1">
      <c r="A840" s="12"/>
      <c r="B840" s="12"/>
      <c r="C840" s="12"/>
    </row>
    <row r="841" ht="15.75" customHeight="1">
      <c r="A841" s="12"/>
      <c r="B841" s="12"/>
      <c r="C841" s="12"/>
    </row>
    <row r="842" ht="15.75" customHeight="1">
      <c r="A842" s="12"/>
      <c r="B842" s="12"/>
      <c r="C842" s="12"/>
    </row>
    <row r="843" ht="15.75" customHeight="1">
      <c r="A843" s="12"/>
      <c r="B843" s="12"/>
      <c r="C843" s="12"/>
    </row>
    <row r="844" ht="15.75" customHeight="1">
      <c r="A844" s="12"/>
      <c r="B844" s="12"/>
      <c r="C844" s="12"/>
    </row>
    <row r="845" ht="15.75" customHeight="1">
      <c r="A845" s="12"/>
      <c r="B845" s="12"/>
      <c r="C845" s="12"/>
    </row>
    <row r="846" ht="15.75" customHeight="1">
      <c r="A846" s="12"/>
      <c r="B846" s="12"/>
      <c r="C846" s="12"/>
    </row>
    <row r="847" ht="15.75" customHeight="1">
      <c r="A847" s="12"/>
      <c r="B847" s="12"/>
      <c r="C847" s="12"/>
    </row>
    <row r="848" ht="15.75" customHeight="1">
      <c r="A848" s="12"/>
      <c r="B848" s="12"/>
      <c r="C848" s="12"/>
    </row>
    <row r="849" ht="15.75" customHeight="1">
      <c r="A849" s="12"/>
      <c r="B849" s="12"/>
      <c r="C849" s="12"/>
    </row>
    <row r="850" ht="15.75" customHeight="1">
      <c r="A850" s="12"/>
      <c r="B850" s="12"/>
      <c r="C850" s="12"/>
    </row>
    <row r="851" ht="15.75" customHeight="1">
      <c r="A851" s="12"/>
      <c r="B851" s="12"/>
      <c r="C851" s="12"/>
    </row>
    <row r="852" ht="15.75" customHeight="1">
      <c r="A852" s="12"/>
      <c r="B852" s="12"/>
      <c r="C852" s="12"/>
    </row>
    <row r="853" ht="15.75" customHeight="1">
      <c r="A853" s="12"/>
      <c r="B853" s="12"/>
      <c r="C853" s="12"/>
    </row>
    <row r="854" ht="15.75" customHeight="1">
      <c r="A854" s="12"/>
      <c r="B854" s="12"/>
      <c r="C854" s="12"/>
    </row>
    <row r="855" ht="15.75" customHeight="1">
      <c r="A855" s="12"/>
      <c r="B855" s="12"/>
      <c r="C855" s="12"/>
    </row>
    <row r="856" ht="15.75" customHeight="1">
      <c r="A856" s="12"/>
      <c r="B856" s="12"/>
      <c r="C856" s="12"/>
    </row>
    <row r="857" ht="15.75" customHeight="1">
      <c r="A857" s="12"/>
      <c r="B857" s="12"/>
      <c r="C857" s="12"/>
    </row>
    <row r="858" ht="15.75" customHeight="1">
      <c r="A858" s="12"/>
      <c r="B858" s="12"/>
      <c r="C858" s="12"/>
    </row>
    <row r="859" ht="15.75" customHeight="1">
      <c r="A859" s="12"/>
      <c r="B859" s="12"/>
      <c r="C859" s="12"/>
    </row>
    <row r="860" ht="15.75" customHeight="1">
      <c r="A860" s="12"/>
      <c r="B860" s="12"/>
      <c r="C860" s="12"/>
    </row>
    <row r="861" ht="15.75" customHeight="1">
      <c r="A861" s="12"/>
      <c r="B861" s="12"/>
      <c r="C861" s="12"/>
    </row>
    <row r="862" ht="15.75" customHeight="1">
      <c r="A862" s="12"/>
      <c r="B862" s="12"/>
      <c r="C862" s="12"/>
    </row>
    <row r="863" ht="15.75" customHeight="1">
      <c r="A863" s="12"/>
      <c r="B863" s="12"/>
      <c r="C863" s="12"/>
    </row>
    <row r="864" ht="15.75" customHeight="1">
      <c r="A864" s="12"/>
      <c r="B864" s="12"/>
      <c r="C864" s="12"/>
    </row>
    <row r="865" ht="15.75" customHeight="1">
      <c r="A865" s="12"/>
      <c r="B865" s="12"/>
      <c r="C865" s="12"/>
    </row>
    <row r="866" ht="15.75" customHeight="1">
      <c r="A866" s="12"/>
      <c r="B866" s="12"/>
      <c r="C866" s="12"/>
    </row>
    <row r="867" ht="15.75" customHeight="1">
      <c r="A867" s="12"/>
      <c r="B867" s="12"/>
      <c r="C867" s="12"/>
    </row>
    <row r="868" ht="15.75" customHeight="1">
      <c r="A868" s="12"/>
      <c r="B868" s="12"/>
      <c r="C868" s="12"/>
    </row>
    <row r="869" ht="15.75" customHeight="1">
      <c r="A869" s="12"/>
      <c r="B869" s="12"/>
      <c r="C869" s="12"/>
    </row>
    <row r="870" ht="15.75" customHeight="1">
      <c r="A870" s="12"/>
      <c r="B870" s="12"/>
      <c r="C870" s="12"/>
    </row>
    <row r="871" ht="15.75" customHeight="1">
      <c r="A871" s="12"/>
      <c r="B871" s="12"/>
      <c r="C871" s="12"/>
    </row>
    <row r="872" ht="15.75" customHeight="1">
      <c r="A872" s="12"/>
      <c r="B872" s="12"/>
      <c r="C872" s="12"/>
    </row>
    <row r="873" ht="15.75" customHeight="1">
      <c r="A873" s="12"/>
      <c r="B873" s="12"/>
      <c r="C873" s="12"/>
    </row>
    <row r="874" ht="15.75" customHeight="1">
      <c r="A874" s="12"/>
      <c r="B874" s="12"/>
      <c r="C874" s="12"/>
    </row>
    <row r="875" ht="15.75" customHeight="1">
      <c r="A875" s="12"/>
      <c r="B875" s="12"/>
      <c r="C875" s="12"/>
    </row>
    <row r="876" ht="15.75" customHeight="1">
      <c r="A876" s="12"/>
      <c r="B876" s="12"/>
      <c r="C876" s="12"/>
    </row>
    <row r="877" ht="15.75" customHeight="1">
      <c r="A877" s="12"/>
      <c r="B877" s="12"/>
      <c r="C877" s="12"/>
    </row>
    <row r="878" ht="15.75" customHeight="1">
      <c r="A878" s="12"/>
      <c r="B878" s="12"/>
      <c r="C878" s="12"/>
    </row>
    <row r="879" ht="15.75" customHeight="1">
      <c r="A879" s="12"/>
      <c r="B879" s="12"/>
      <c r="C879" s="12"/>
    </row>
    <row r="880" ht="15.75" customHeight="1">
      <c r="A880" s="12"/>
      <c r="B880" s="12"/>
      <c r="C880" s="12"/>
    </row>
    <row r="881" ht="15.75" customHeight="1">
      <c r="A881" s="12"/>
      <c r="B881" s="12"/>
      <c r="C881" s="12"/>
    </row>
    <row r="882" ht="15.75" customHeight="1">
      <c r="A882" s="12"/>
      <c r="B882" s="12"/>
      <c r="C882" s="12"/>
    </row>
    <row r="883" ht="15.75" customHeight="1">
      <c r="A883" s="12"/>
      <c r="B883" s="12"/>
      <c r="C883" s="12"/>
    </row>
    <row r="884" ht="15.75" customHeight="1">
      <c r="A884" s="12"/>
      <c r="B884" s="12"/>
      <c r="C884" s="12"/>
    </row>
    <row r="885" ht="15.75" customHeight="1">
      <c r="A885" s="12"/>
      <c r="B885" s="12"/>
      <c r="C885" s="12"/>
    </row>
    <row r="886" ht="15.75" customHeight="1">
      <c r="A886" s="12"/>
      <c r="B886" s="12"/>
      <c r="C886" s="12"/>
    </row>
    <row r="887" ht="15.75" customHeight="1">
      <c r="A887" s="12"/>
      <c r="B887" s="12"/>
      <c r="C887" s="12"/>
    </row>
    <row r="888" ht="15.75" customHeight="1">
      <c r="A888" s="12"/>
      <c r="B888" s="12"/>
      <c r="C888" s="12"/>
    </row>
    <row r="889" ht="15.75" customHeight="1">
      <c r="A889" s="12"/>
      <c r="B889" s="12"/>
      <c r="C889" s="12"/>
    </row>
    <row r="890" ht="15.75" customHeight="1">
      <c r="A890" s="12"/>
      <c r="B890" s="12"/>
      <c r="C890" s="12"/>
    </row>
    <row r="891" ht="15.75" customHeight="1">
      <c r="A891" s="12"/>
      <c r="B891" s="12"/>
      <c r="C891" s="12"/>
    </row>
    <row r="892" ht="15.75" customHeight="1">
      <c r="A892" s="12"/>
      <c r="B892" s="12"/>
      <c r="C892" s="12"/>
    </row>
    <row r="893" ht="15.75" customHeight="1">
      <c r="A893" s="12"/>
      <c r="B893" s="12"/>
      <c r="C893" s="12"/>
    </row>
    <row r="894" ht="15.75" customHeight="1">
      <c r="A894" s="12"/>
      <c r="B894" s="12"/>
      <c r="C894" s="12"/>
    </row>
    <row r="895" ht="15.75" customHeight="1">
      <c r="A895" s="12"/>
      <c r="B895" s="12"/>
      <c r="C895" s="12"/>
    </row>
    <row r="896" ht="15.75" customHeight="1">
      <c r="A896" s="12"/>
      <c r="B896" s="12"/>
      <c r="C896" s="12"/>
    </row>
    <row r="897" ht="15.75" customHeight="1">
      <c r="A897" s="12"/>
      <c r="B897" s="12"/>
      <c r="C897" s="12"/>
    </row>
    <row r="898" ht="15.75" customHeight="1">
      <c r="A898" s="12"/>
      <c r="B898" s="12"/>
      <c r="C898" s="12"/>
    </row>
    <row r="899" ht="15.75" customHeight="1">
      <c r="A899" s="12"/>
      <c r="B899" s="12"/>
      <c r="C899" s="12"/>
    </row>
    <row r="900" ht="15.75" customHeight="1">
      <c r="A900" s="12"/>
      <c r="B900" s="12"/>
      <c r="C900" s="12"/>
    </row>
    <row r="901" ht="15.75" customHeight="1">
      <c r="A901" s="12"/>
      <c r="B901" s="12"/>
      <c r="C901" s="12"/>
    </row>
    <row r="902" ht="15.75" customHeight="1">
      <c r="A902" s="12"/>
      <c r="B902" s="12"/>
      <c r="C902" s="12"/>
    </row>
    <row r="903" ht="15.75" customHeight="1">
      <c r="A903" s="12"/>
      <c r="B903" s="12"/>
      <c r="C903" s="12"/>
    </row>
    <row r="904" ht="15.75" customHeight="1">
      <c r="A904" s="12"/>
      <c r="B904" s="12"/>
      <c r="C904" s="12"/>
    </row>
    <row r="905" ht="15.75" customHeight="1">
      <c r="A905" s="12"/>
      <c r="B905" s="12"/>
      <c r="C905" s="12"/>
    </row>
    <row r="906" ht="15.75" customHeight="1">
      <c r="A906" s="12"/>
      <c r="B906" s="12"/>
      <c r="C906" s="12"/>
    </row>
    <row r="907" ht="15.75" customHeight="1">
      <c r="A907" s="12"/>
      <c r="B907" s="12"/>
      <c r="C907" s="12"/>
    </row>
    <row r="908" ht="15.75" customHeight="1">
      <c r="A908" s="12"/>
      <c r="B908" s="12"/>
      <c r="C908" s="12"/>
    </row>
    <row r="909" ht="15.75" customHeight="1">
      <c r="A909" s="12"/>
      <c r="B909" s="12"/>
      <c r="C909" s="12"/>
    </row>
    <row r="910" ht="15.75" customHeight="1">
      <c r="A910" s="12"/>
      <c r="B910" s="12"/>
      <c r="C910" s="12"/>
    </row>
    <row r="911" ht="15.75" customHeight="1">
      <c r="A911" s="12"/>
      <c r="B911" s="12"/>
      <c r="C911" s="12"/>
    </row>
    <row r="912" ht="15.75" customHeight="1">
      <c r="A912" s="12"/>
      <c r="B912" s="12"/>
      <c r="C912" s="12"/>
    </row>
    <row r="913" ht="15.75" customHeight="1">
      <c r="A913" s="12"/>
      <c r="B913" s="12"/>
      <c r="C913" s="12"/>
    </row>
    <row r="914" ht="15.75" customHeight="1">
      <c r="A914" s="12"/>
      <c r="B914" s="12"/>
      <c r="C914" s="12"/>
    </row>
    <row r="915" ht="15.75" customHeight="1">
      <c r="A915" s="12"/>
      <c r="B915" s="12"/>
      <c r="C915" s="12"/>
    </row>
    <row r="916" ht="15.75" customHeight="1">
      <c r="A916" s="12"/>
      <c r="B916" s="12"/>
      <c r="C916" s="12"/>
    </row>
    <row r="917" ht="15.75" customHeight="1">
      <c r="A917" s="12"/>
      <c r="B917" s="12"/>
      <c r="C917" s="12"/>
    </row>
    <row r="918" ht="15.75" customHeight="1">
      <c r="A918" s="12"/>
      <c r="B918" s="12"/>
      <c r="C918" s="12"/>
    </row>
    <row r="919" ht="15.75" customHeight="1">
      <c r="A919" s="12"/>
      <c r="B919" s="12"/>
      <c r="C919" s="12"/>
    </row>
    <row r="920" ht="15.75" customHeight="1">
      <c r="A920" s="12"/>
      <c r="B920" s="12"/>
      <c r="C920" s="12"/>
    </row>
    <row r="921" ht="15.75" customHeight="1">
      <c r="A921" s="12"/>
      <c r="B921" s="12"/>
      <c r="C921" s="12"/>
    </row>
    <row r="922" ht="15.75" customHeight="1">
      <c r="A922" s="12"/>
      <c r="B922" s="12"/>
      <c r="C922" s="12"/>
    </row>
    <row r="923" ht="15.75" customHeight="1">
      <c r="A923" s="12"/>
      <c r="B923" s="12"/>
      <c r="C923" s="12"/>
    </row>
    <row r="924" ht="15.75" customHeight="1">
      <c r="A924" s="12"/>
      <c r="B924" s="12"/>
      <c r="C924" s="12"/>
    </row>
    <row r="925" ht="15.75" customHeight="1">
      <c r="A925" s="12"/>
      <c r="B925" s="12"/>
      <c r="C925" s="12"/>
    </row>
    <row r="926" ht="15.75" customHeight="1">
      <c r="A926" s="12"/>
      <c r="B926" s="12"/>
      <c r="C926" s="12"/>
    </row>
    <row r="927" ht="15.75" customHeight="1">
      <c r="A927" s="12"/>
      <c r="B927" s="12"/>
      <c r="C927" s="12"/>
    </row>
    <row r="928" ht="15.75" customHeight="1">
      <c r="A928" s="12"/>
      <c r="B928" s="12"/>
      <c r="C928" s="12"/>
    </row>
    <row r="929" ht="15.75" customHeight="1">
      <c r="A929" s="12"/>
      <c r="B929" s="12"/>
      <c r="C929" s="12"/>
    </row>
    <row r="930" ht="15.75" customHeight="1">
      <c r="A930" s="12"/>
      <c r="B930" s="12"/>
      <c r="C930" s="12"/>
    </row>
    <row r="931" ht="15.75" customHeight="1">
      <c r="A931" s="12"/>
      <c r="B931" s="12"/>
      <c r="C931" s="12"/>
    </row>
    <row r="932" ht="15.75" customHeight="1">
      <c r="A932" s="12"/>
      <c r="B932" s="12"/>
      <c r="C932" s="12"/>
    </row>
    <row r="933" ht="15.75" customHeight="1">
      <c r="A933" s="12"/>
      <c r="B933" s="12"/>
      <c r="C933" s="12"/>
    </row>
    <row r="934" ht="15.75" customHeight="1">
      <c r="A934" s="12"/>
      <c r="B934" s="12"/>
      <c r="C934" s="12"/>
    </row>
    <row r="935" ht="15.75" customHeight="1">
      <c r="A935" s="12"/>
      <c r="B935" s="12"/>
      <c r="C935" s="12"/>
    </row>
    <row r="936" ht="15.75" customHeight="1">
      <c r="A936" s="12"/>
      <c r="B936" s="12"/>
      <c r="C936" s="12"/>
    </row>
    <row r="937" ht="15.75" customHeight="1">
      <c r="A937" s="12"/>
      <c r="B937" s="12"/>
      <c r="C937" s="12"/>
    </row>
    <row r="938" ht="15.75" customHeight="1">
      <c r="A938" s="12"/>
      <c r="B938" s="12"/>
      <c r="C938" s="12"/>
    </row>
    <row r="939" ht="15.75" customHeight="1">
      <c r="A939" s="12"/>
      <c r="B939" s="12"/>
      <c r="C939" s="12"/>
    </row>
    <row r="940" ht="15.75" customHeight="1">
      <c r="A940" s="12"/>
      <c r="B940" s="12"/>
      <c r="C940" s="12"/>
    </row>
    <row r="941" ht="15.75" customHeight="1">
      <c r="A941" s="12"/>
      <c r="B941" s="12"/>
      <c r="C941" s="12"/>
    </row>
    <row r="942" ht="15.75" customHeight="1">
      <c r="A942" s="12"/>
      <c r="B942" s="12"/>
      <c r="C942" s="12"/>
    </row>
    <row r="943" ht="15.75" customHeight="1">
      <c r="A943" s="12"/>
      <c r="B943" s="12"/>
      <c r="C943" s="12"/>
    </row>
    <row r="944" ht="15.75" customHeight="1">
      <c r="A944" s="12"/>
      <c r="B944" s="12"/>
      <c r="C944" s="12"/>
    </row>
    <row r="945" ht="15.75" customHeight="1">
      <c r="A945" s="12"/>
      <c r="B945" s="12"/>
      <c r="C945" s="12"/>
    </row>
    <row r="946" ht="15.75" customHeight="1">
      <c r="A946" s="12"/>
      <c r="B946" s="12"/>
      <c r="C946" s="12"/>
    </row>
    <row r="947" ht="15.75" customHeight="1">
      <c r="A947" s="12"/>
      <c r="B947" s="12"/>
      <c r="C947" s="12"/>
    </row>
    <row r="948" ht="15.75" customHeight="1">
      <c r="A948" s="12"/>
      <c r="B948" s="12"/>
      <c r="C948" s="12"/>
    </row>
    <row r="949" ht="15.75" customHeight="1">
      <c r="A949" s="12"/>
      <c r="B949" s="12"/>
      <c r="C949" s="12"/>
    </row>
    <row r="950" ht="15.75" customHeight="1">
      <c r="A950" s="12"/>
      <c r="B950" s="12"/>
      <c r="C950" s="12"/>
    </row>
    <row r="951" ht="15.75" customHeight="1">
      <c r="A951" s="12"/>
      <c r="B951" s="12"/>
      <c r="C951" s="12"/>
    </row>
    <row r="952" ht="15.75" customHeight="1">
      <c r="A952" s="12"/>
      <c r="B952" s="12"/>
      <c r="C952" s="12"/>
    </row>
    <row r="953" ht="15.75" customHeight="1">
      <c r="A953" s="12"/>
      <c r="B953" s="12"/>
      <c r="C953" s="12"/>
    </row>
    <row r="954" ht="15.75" customHeight="1">
      <c r="A954" s="12"/>
      <c r="B954" s="12"/>
      <c r="C954" s="12"/>
    </row>
    <row r="955" ht="15.75" customHeight="1">
      <c r="A955" s="12"/>
      <c r="B955" s="12"/>
      <c r="C955" s="12"/>
    </row>
    <row r="956" ht="15.75" customHeight="1">
      <c r="A956" s="12"/>
      <c r="B956" s="12"/>
      <c r="C956" s="12"/>
    </row>
    <row r="957" ht="15.75" customHeight="1">
      <c r="A957" s="12"/>
      <c r="B957" s="12"/>
      <c r="C957" s="12"/>
    </row>
    <row r="958" ht="15.75" customHeight="1">
      <c r="A958" s="12"/>
      <c r="B958" s="12"/>
      <c r="C958" s="12"/>
    </row>
    <row r="959" ht="15.75" customHeight="1">
      <c r="A959" s="12"/>
      <c r="B959" s="12"/>
      <c r="C959" s="12"/>
    </row>
    <row r="960" ht="15.75" customHeight="1">
      <c r="A960" s="12"/>
      <c r="B960" s="12"/>
      <c r="C960" s="12"/>
    </row>
    <row r="961" ht="15.75" customHeight="1">
      <c r="A961" s="12"/>
      <c r="B961" s="12"/>
      <c r="C961" s="12"/>
    </row>
    <row r="962" ht="15.75" customHeight="1">
      <c r="A962" s="12"/>
      <c r="B962" s="12"/>
      <c r="C962" s="12"/>
    </row>
    <row r="963" ht="15.75" customHeight="1">
      <c r="A963" s="12"/>
      <c r="B963" s="12"/>
      <c r="C963" s="12"/>
    </row>
    <row r="964" ht="15.75" customHeight="1">
      <c r="A964" s="12"/>
      <c r="B964" s="12"/>
      <c r="C964" s="12"/>
    </row>
    <row r="965" ht="15.75" customHeight="1">
      <c r="A965" s="12"/>
      <c r="B965" s="12"/>
      <c r="C965" s="12"/>
    </row>
    <row r="966" ht="15.75" customHeight="1">
      <c r="A966" s="12"/>
      <c r="B966" s="12"/>
      <c r="C966" s="12"/>
    </row>
    <row r="967" ht="15.75" customHeight="1">
      <c r="A967" s="12"/>
      <c r="B967" s="12"/>
      <c r="C967" s="12"/>
    </row>
    <row r="968" ht="15.75" customHeight="1">
      <c r="A968" s="12"/>
      <c r="B968" s="12"/>
      <c r="C968" s="12"/>
    </row>
    <row r="969" ht="15.75" customHeight="1">
      <c r="A969" s="12"/>
      <c r="B969" s="12"/>
      <c r="C969" s="12"/>
    </row>
    <row r="970" ht="15.75" customHeight="1">
      <c r="A970" s="12"/>
      <c r="B970" s="12"/>
      <c r="C970" s="12"/>
    </row>
    <row r="971" ht="15.75" customHeight="1">
      <c r="A971" s="12"/>
      <c r="B971" s="12"/>
      <c r="C971" s="12"/>
    </row>
    <row r="972" ht="15.75" customHeight="1">
      <c r="A972" s="12"/>
      <c r="B972" s="12"/>
      <c r="C972" s="12"/>
    </row>
    <row r="973" ht="15.75" customHeight="1">
      <c r="A973" s="12"/>
      <c r="B973" s="12"/>
      <c r="C973" s="12"/>
    </row>
    <row r="974" ht="15.75" customHeight="1">
      <c r="A974" s="12"/>
      <c r="B974" s="12"/>
      <c r="C974" s="12"/>
    </row>
    <row r="975" ht="15.75" customHeight="1">
      <c r="A975" s="12"/>
      <c r="B975" s="12"/>
      <c r="C975" s="12"/>
    </row>
    <row r="976" ht="15.75" customHeight="1">
      <c r="A976" s="12"/>
      <c r="B976" s="12"/>
      <c r="C976" s="12"/>
    </row>
    <row r="977" ht="15.75" customHeight="1">
      <c r="A977" s="12"/>
      <c r="B977" s="12"/>
      <c r="C977" s="12"/>
    </row>
    <row r="978" ht="15.75" customHeight="1">
      <c r="A978" s="12"/>
      <c r="B978" s="12"/>
      <c r="C978" s="12"/>
    </row>
    <row r="979" ht="15.75" customHeight="1">
      <c r="A979" s="12"/>
      <c r="B979" s="12"/>
      <c r="C979" s="12"/>
    </row>
    <row r="980" ht="15.75" customHeight="1">
      <c r="A980" s="12"/>
      <c r="B980" s="12"/>
      <c r="C980" s="12"/>
    </row>
    <row r="981" ht="15.75" customHeight="1">
      <c r="A981" s="12"/>
      <c r="B981" s="12"/>
      <c r="C981" s="12"/>
    </row>
    <row r="982" ht="15.75" customHeight="1">
      <c r="A982" s="12"/>
      <c r="B982" s="12"/>
      <c r="C982" s="12"/>
    </row>
    <row r="983" ht="15.75" customHeight="1">
      <c r="A983" s="12"/>
      <c r="B983" s="12"/>
      <c r="C983" s="12"/>
    </row>
    <row r="984" ht="15.75" customHeight="1">
      <c r="A984" s="12"/>
      <c r="B984" s="12"/>
      <c r="C984" s="12"/>
    </row>
    <row r="985" ht="15.75" customHeight="1">
      <c r="A985" s="12"/>
      <c r="B985" s="12"/>
      <c r="C985" s="12"/>
    </row>
    <row r="986" ht="15.75" customHeight="1">
      <c r="A986" s="12"/>
      <c r="B986" s="12"/>
      <c r="C986" s="12"/>
    </row>
    <row r="987" ht="15.75" customHeight="1">
      <c r="A987" s="12"/>
      <c r="B987" s="12"/>
      <c r="C987" s="12"/>
    </row>
    <row r="988" ht="15.75" customHeight="1">
      <c r="A988" s="12"/>
      <c r="B988" s="12"/>
      <c r="C988" s="12"/>
    </row>
    <row r="989" ht="15.75" customHeight="1">
      <c r="A989" s="12"/>
      <c r="B989" s="12"/>
      <c r="C989" s="12"/>
    </row>
    <row r="990" ht="15.75" customHeight="1">
      <c r="A990" s="12"/>
      <c r="B990" s="12"/>
      <c r="C990" s="12"/>
    </row>
    <row r="991" ht="15.75" customHeight="1">
      <c r="A991" s="12"/>
      <c r="B991" s="12"/>
      <c r="C991" s="12"/>
    </row>
    <row r="992" ht="15.75" customHeight="1">
      <c r="A992" s="12"/>
      <c r="B992" s="12"/>
      <c r="C992" s="12"/>
    </row>
    <row r="993" ht="15.75" customHeight="1">
      <c r="A993" s="12"/>
      <c r="B993" s="12"/>
      <c r="C993" s="12"/>
    </row>
    <row r="994" ht="15.75" customHeight="1">
      <c r="A994" s="12"/>
      <c r="B994" s="12"/>
      <c r="C994" s="12"/>
    </row>
    <row r="995" ht="15.75" customHeight="1">
      <c r="A995" s="12"/>
      <c r="B995" s="12"/>
      <c r="C995" s="12"/>
    </row>
    <row r="996" ht="15.75" customHeight="1">
      <c r="A996" s="12"/>
      <c r="B996" s="12"/>
      <c r="C996" s="12"/>
    </row>
    <row r="997" ht="15.75" customHeight="1">
      <c r="A997" s="12"/>
      <c r="B997" s="12"/>
      <c r="C997" s="12"/>
    </row>
    <row r="998" ht="15.75" customHeight="1">
      <c r="A998" s="12"/>
      <c r="B998" s="12"/>
      <c r="C998" s="12"/>
    </row>
    <row r="999" ht="15.75" customHeight="1">
      <c r="A999" s="12"/>
      <c r="B999" s="12"/>
      <c r="C999" s="12"/>
    </row>
    <row r="1000" ht="15.75" customHeight="1">
      <c r="A1000" s="12"/>
      <c r="B1000" s="12"/>
      <c r="C1000" s="12"/>
    </row>
  </sheetData>
  <printOptions/>
  <pageMargins bottom="1.0" footer="0.0" header="0.0" left="0.75" right="0.75" top="1.0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0.0"/>
    <col customWidth="1" min="2" max="2" width="24.0"/>
    <col customWidth="1" min="3" max="4" width="10.0"/>
    <col customWidth="1" min="5" max="26" width="8.71"/>
  </cols>
  <sheetData>
    <row r="1" ht="15.0" customHeight="1">
      <c r="A1" s="2" t="s">
        <v>27</v>
      </c>
      <c r="B1" s="2" t="s">
        <v>1</v>
      </c>
      <c r="C1" s="2" t="s">
        <v>133</v>
      </c>
      <c r="D1" s="2" t="s">
        <v>134</v>
      </c>
    </row>
    <row r="2" ht="15.0" customHeight="1">
      <c r="A2" s="3">
        <v>1.0</v>
      </c>
      <c r="B2" s="3" t="s">
        <v>6</v>
      </c>
      <c r="C2" s="3">
        <v>10.0</v>
      </c>
      <c r="D2" s="3">
        <v>2.0</v>
      </c>
    </row>
    <row r="3" ht="15.0" customHeight="1">
      <c r="A3" s="3">
        <v>1.0</v>
      </c>
      <c r="B3" s="3" t="s">
        <v>10</v>
      </c>
      <c r="C3" s="8">
        <v>2.0</v>
      </c>
      <c r="D3" s="8">
        <v>2.0</v>
      </c>
    </row>
    <row r="4" ht="15.0" customHeight="1">
      <c r="A4" s="3">
        <v>1.0</v>
      </c>
      <c r="B4" s="3" t="s">
        <v>11</v>
      </c>
      <c r="C4" s="8">
        <v>0.0</v>
      </c>
      <c r="D4" s="8">
        <v>3.0</v>
      </c>
    </row>
    <row r="5" ht="15.0" customHeight="1">
      <c r="A5" s="3">
        <v>1.0</v>
      </c>
      <c r="B5" s="3" t="s">
        <v>12</v>
      </c>
      <c r="C5" s="8">
        <v>11.0</v>
      </c>
      <c r="D5" s="8">
        <v>6.0</v>
      </c>
    </row>
    <row r="6" ht="15.0" customHeight="1">
      <c r="A6" s="3">
        <v>1.0</v>
      </c>
      <c r="B6" s="3" t="s">
        <v>13</v>
      </c>
      <c r="C6" s="8">
        <v>2.0</v>
      </c>
      <c r="D6" s="8">
        <v>3.0</v>
      </c>
    </row>
    <row r="7" ht="15.0" customHeight="1">
      <c r="A7" s="3">
        <v>1.0</v>
      </c>
      <c r="B7" s="3" t="s">
        <v>15</v>
      </c>
      <c r="C7" s="8">
        <v>9.0</v>
      </c>
      <c r="D7" s="8">
        <v>1.0</v>
      </c>
    </row>
    <row r="8" ht="15.0" customHeight="1">
      <c r="A8" s="3">
        <v>1.0</v>
      </c>
      <c r="B8" s="3" t="s">
        <v>16</v>
      </c>
      <c r="C8" s="8">
        <v>4.0</v>
      </c>
      <c r="D8" s="8">
        <v>2.0</v>
      </c>
    </row>
    <row r="9" ht="15.0" customHeight="1">
      <c r="A9" s="3">
        <v>1.0</v>
      </c>
      <c r="B9" s="3" t="s">
        <v>18</v>
      </c>
      <c r="C9" s="8">
        <v>16.0</v>
      </c>
      <c r="D9" s="8">
        <v>3.0</v>
      </c>
    </row>
    <row r="10" ht="15.0" customHeight="1">
      <c r="A10" s="3">
        <v>1.0</v>
      </c>
      <c r="B10" s="3" t="s">
        <v>19</v>
      </c>
      <c r="C10" s="8">
        <v>5.0</v>
      </c>
      <c r="D10" s="8">
        <v>2.0</v>
      </c>
    </row>
    <row r="11" ht="15.0" customHeight="1">
      <c r="A11" s="3">
        <v>1.0</v>
      </c>
      <c r="B11" s="3" t="s">
        <v>21</v>
      </c>
      <c r="C11" s="8">
        <v>6.0</v>
      </c>
      <c r="D11" s="8">
        <v>1.0</v>
      </c>
    </row>
    <row r="12" ht="15.0" customHeight="1">
      <c r="A12" s="3">
        <v>1.0</v>
      </c>
      <c r="B12" s="3" t="s">
        <v>22</v>
      </c>
      <c r="C12" s="8">
        <v>0.0</v>
      </c>
      <c r="D12" s="8">
        <v>0.0</v>
      </c>
    </row>
    <row r="13" ht="15.0" customHeight="1">
      <c r="A13" s="3">
        <v>1.0</v>
      </c>
      <c r="B13" s="3" t="s">
        <v>23</v>
      </c>
      <c r="C13" s="8">
        <v>4.0</v>
      </c>
      <c r="D13" s="8">
        <v>1.0</v>
      </c>
    </row>
    <row r="14" ht="15.0" customHeight="1">
      <c r="A14" s="3">
        <v>1.0</v>
      </c>
      <c r="B14" s="3" t="s">
        <v>25</v>
      </c>
      <c r="C14" s="8">
        <v>5.0</v>
      </c>
      <c r="D14" s="8">
        <v>4.0</v>
      </c>
    </row>
    <row r="15" ht="15.0" customHeight="1">
      <c r="A15" s="3">
        <v>1.0</v>
      </c>
      <c r="B15" s="3" t="s">
        <v>26</v>
      </c>
      <c r="C15" s="8">
        <v>10.0</v>
      </c>
      <c r="D15" s="8">
        <v>1.0</v>
      </c>
    </row>
    <row r="16" ht="15.0" customHeight="1">
      <c r="A16" s="3">
        <v>1.0</v>
      </c>
      <c r="B16" s="3" t="s">
        <v>28</v>
      </c>
      <c r="C16" s="8">
        <v>2.0</v>
      </c>
      <c r="D16" s="8">
        <v>0.0</v>
      </c>
    </row>
    <row r="17" ht="15.0" customHeight="1">
      <c r="A17" s="3">
        <v>1.0</v>
      </c>
      <c r="B17" s="3" t="s">
        <v>31</v>
      </c>
      <c r="C17" s="8">
        <v>16.0</v>
      </c>
      <c r="D17" s="8">
        <v>1.0</v>
      </c>
    </row>
    <row r="18" ht="15.0" customHeight="1">
      <c r="A18" s="3">
        <v>1.0</v>
      </c>
      <c r="B18" s="3" t="s">
        <v>33</v>
      </c>
      <c r="C18" s="8">
        <v>8.0</v>
      </c>
      <c r="D18" s="8">
        <v>4.0</v>
      </c>
    </row>
    <row r="19" ht="15.0" customHeight="1">
      <c r="A19" s="3">
        <v>1.0</v>
      </c>
      <c r="B19" s="3" t="s">
        <v>38</v>
      </c>
      <c r="C19" s="8">
        <v>0.0</v>
      </c>
      <c r="D19" s="8">
        <v>1.0</v>
      </c>
    </row>
    <row r="20" ht="15.0" customHeight="1">
      <c r="A20" s="3">
        <v>1.0</v>
      </c>
      <c r="B20" s="3" t="s">
        <v>39</v>
      </c>
      <c r="C20" s="8">
        <v>5.0</v>
      </c>
      <c r="D20" s="8">
        <v>4.0</v>
      </c>
    </row>
    <row r="21" ht="15.0" customHeight="1">
      <c r="A21" s="3">
        <v>1.0</v>
      </c>
      <c r="B21" s="3" t="s">
        <v>40</v>
      </c>
      <c r="C21" s="8">
        <v>2.0</v>
      </c>
      <c r="D21" s="8">
        <v>1.0</v>
      </c>
    </row>
    <row r="22" ht="15.0" customHeight="1">
      <c r="A22" s="3">
        <v>1.0</v>
      </c>
      <c r="B22" s="3" t="s">
        <v>43</v>
      </c>
      <c r="C22" s="8">
        <v>4.0</v>
      </c>
      <c r="D22" s="8">
        <v>1.0</v>
      </c>
    </row>
    <row r="23" ht="15.0" customHeight="1">
      <c r="A23" s="3">
        <v>1.0</v>
      </c>
      <c r="B23" s="3" t="s">
        <v>45</v>
      </c>
      <c r="C23" s="3"/>
      <c r="D23" s="3"/>
    </row>
    <row r="24" ht="15.0" customHeight="1">
      <c r="A24" s="3">
        <v>1.0</v>
      </c>
      <c r="B24" s="3" t="s">
        <v>48</v>
      </c>
      <c r="C24" s="3"/>
      <c r="D24" s="3"/>
    </row>
    <row r="25" ht="15.0" customHeight="1">
      <c r="A25" s="3">
        <v>1.0</v>
      </c>
      <c r="B25" s="3" t="s">
        <v>51</v>
      </c>
      <c r="C25" s="3"/>
      <c r="D25" s="3"/>
    </row>
    <row r="26" ht="15.0" customHeight="1">
      <c r="A26" s="3">
        <v>1.0</v>
      </c>
      <c r="B26" s="3" t="s">
        <v>52</v>
      </c>
      <c r="C26" s="3"/>
      <c r="D26" s="3"/>
    </row>
    <row r="27" ht="15.0" customHeight="1">
      <c r="A27" s="3">
        <v>1.0</v>
      </c>
      <c r="B27" s="3" t="s">
        <v>53</v>
      </c>
      <c r="C27" s="3"/>
      <c r="D27" s="3"/>
    </row>
    <row r="28" ht="15.0" customHeight="1">
      <c r="A28" s="3">
        <v>1.0</v>
      </c>
      <c r="B28" s="3" t="s">
        <v>54</v>
      </c>
      <c r="C28" s="3"/>
      <c r="D28" s="3"/>
    </row>
    <row r="29" ht="15.0" customHeight="1">
      <c r="A29" s="3">
        <v>1.0</v>
      </c>
      <c r="B29" s="3" t="s">
        <v>55</v>
      </c>
      <c r="C29" s="3"/>
      <c r="D29" s="3"/>
    </row>
    <row r="30" ht="15.0" customHeight="1">
      <c r="A30" s="3">
        <v>1.0</v>
      </c>
      <c r="B30" s="3" t="s">
        <v>56</v>
      </c>
      <c r="C30" s="3"/>
      <c r="D30" s="3"/>
    </row>
    <row r="31" ht="15.0" customHeight="1">
      <c r="A31" s="3">
        <v>1.0</v>
      </c>
      <c r="B31" s="3" t="s">
        <v>57</v>
      </c>
      <c r="C31" s="3"/>
      <c r="D31" s="3"/>
    </row>
    <row r="32" ht="15.0" customHeight="1">
      <c r="A32" s="3">
        <v>1.0</v>
      </c>
      <c r="B32" s="3" t="s">
        <v>59</v>
      </c>
      <c r="C32" s="3"/>
      <c r="D32" s="3"/>
    </row>
    <row r="33" ht="15.0" customHeight="1">
      <c r="A33" s="3">
        <v>1.0</v>
      </c>
      <c r="B33" s="3" t="s">
        <v>60</v>
      </c>
      <c r="C33" s="3"/>
      <c r="D33" s="3"/>
    </row>
    <row r="34" ht="15.0" customHeight="1">
      <c r="A34" s="3">
        <v>1.0</v>
      </c>
      <c r="B34" s="3" t="s">
        <v>61</v>
      </c>
      <c r="C34" s="3"/>
      <c r="D34" s="3"/>
    </row>
    <row r="35" ht="15.0" customHeight="1">
      <c r="A35" s="3">
        <v>1.0</v>
      </c>
      <c r="B35" s="3" t="s">
        <v>63</v>
      </c>
      <c r="C35" s="3"/>
      <c r="D35" s="3"/>
    </row>
    <row r="36" ht="15.0" customHeight="1">
      <c r="A36" s="3">
        <v>1.0</v>
      </c>
      <c r="B36" s="3" t="s">
        <v>65</v>
      </c>
      <c r="C36" s="3"/>
      <c r="D36" s="3"/>
    </row>
    <row r="37" ht="15.0" customHeight="1">
      <c r="A37" s="3">
        <v>1.0</v>
      </c>
      <c r="B37" s="3" t="s">
        <v>68</v>
      </c>
      <c r="C37" s="3"/>
      <c r="D37" s="3"/>
    </row>
    <row r="38" ht="15.0" customHeight="1">
      <c r="A38" s="3">
        <v>1.0</v>
      </c>
      <c r="B38" s="3" t="s">
        <v>72</v>
      </c>
      <c r="C38" s="3"/>
      <c r="D38" s="3"/>
    </row>
    <row r="39" ht="15.0" customHeight="1">
      <c r="A39" s="3">
        <v>1.0</v>
      </c>
      <c r="B39" s="3" t="s">
        <v>76</v>
      </c>
      <c r="C39" s="3"/>
      <c r="D39" s="3"/>
    </row>
    <row r="40" ht="15.0" customHeight="1">
      <c r="A40" s="3">
        <v>1.0</v>
      </c>
      <c r="B40" s="3" t="s">
        <v>78</v>
      </c>
      <c r="C40" s="3"/>
      <c r="D40" s="3"/>
    </row>
    <row r="41" ht="15.0" customHeight="1">
      <c r="A41" s="3">
        <v>1.0</v>
      </c>
      <c r="B41" s="3" t="s">
        <v>80</v>
      </c>
      <c r="C41" s="3"/>
      <c r="D41" s="3"/>
    </row>
    <row r="42" ht="15.0" customHeight="1">
      <c r="A42" s="3">
        <v>1.0</v>
      </c>
      <c r="B42" s="3" t="s">
        <v>81</v>
      </c>
      <c r="C42" s="3"/>
      <c r="D42" s="3"/>
    </row>
    <row r="43" ht="15.0" customHeight="1">
      <c r="A43" s="3">
        <v>1.0</v>
      </c>
      <c r="B43" s="3" t="s">
        <v>82</v>
      </c>
      <c r="C43" s="3"/>
      <c r="D43" s="3"/>
    </row>
    <row r="44" ht="15.0" customHeight="1">
      <c r="A44" s="3">
        <v>1.0</v>
      </c>
      <c r="B44" s="3" t="s">
        <v>84</v>
      </c>
      <c r="C44" s="3"/>
      <c r="D44" s="3"/>
    </row>
    <row r="45" ht="15.0" customHeight="1">
      <c r="A45" s="3">
        <v>1.0</v>
      </c>
      <c r="B45" s="3" t="s">
        <v>85</v>
      </c>
      <c r="C45" s="3"/>
      <c r="D45" s="3"/>
    </row>
    <row r="46" ht="15.0" customHeight="1">
      <c r="A46" s="3">
        <v>1.0</v>
      </c>
      <c r="B46" s="3" t="s">
        <v>69</v>
      </c>
      <c r="C46" s="3"/>
      <c r="D46" s="3"/>
    </row>
    <row r="47" ht="15.0" customHeight="1">
      <c r="A47" s="3">
        <v>1.0</v>
      </c>
      <c r="B47" s="3" t="s">
        <v>87</v>
      </c>
      <c r="C47" s="3"/>
      <c r="D47" s="3"/>
    </row>
    <row r="48" ht="15.0" customHeight="1">
      <c r="A48" s="3">
        <v>1.0</v>
      </c>
      <c r="B48" s="3" t="s">
        <v>89</v>
      </c>
      <c r="C48" s="3"/>
      <c r="D48" s="3"/>
    </row>
    <row r="49" ht="15.0" customHeight="1">
      <c r="A49" s="3">
        <v>1.0</v>
      </c>
      <c r="B49" s="3" t="s">
        <v>92</v>
      </c>
      <c r="C49" s="3"/>
      <c r="D49" s="3"/>
    </row>
    <row r="50" ht="15.0" customHeight="1">
      <c r="A50" s="3">
        <v>1.0</v>
      </c>
      <c r="B50" s="3" t="s">
        <v>97</v>
      </c>
      <c r="C50" s="3"/>
      <c r="D50" s="3"/>
    </row>
    <row r="51" ht="15.0" customHeight="1">
      <c r="A51" s="3">
        <v>1.0</v>
      </c>
      <c r="B51" s="3" t="s">
        <v>100</v>
      </c>
      <c r="C51" s="3"/>
      <c r="D51" s="3"/>
    </row>
    <row r="52" ht="15.0" customHeight="1">
      <c r="A52" s="3">
        <v>1.0</v>
      </c>
      <c r="B52" s="3" t="s">
        <v>103</v>
      </c>
      <c r="C52" s="3"/>
      <c r="D52" s="3"/>
    </row>
    <row r="53" ht="15.0" customHeight="1">
      <c r="A53" s="3">
        <v>1.0</v>
      </c>
      <c r="B53" s="3" t="s">
        <v>104</v>
      </c>
      <c r="C53" s="3"/>
      <c r="D53" s="3"/>
    </row>
    <row r="54" ht="15.0" customHeight="1">
      <c r="A54" s="3">
        <v>1.0</v>
      </c>
      <c r="B54" s="3" t="s">
        <v>105</v>
      </c>
      <c r="C54" s="3"/>
      <c r="D54" s="3"/>
    </row>
    <row r="55" ht="15.0" customHeight="1">
      <c r="A55" s="3">
        <v>1.0</v>
      </c>
      <c r="B55" s="3" t="s">
        <v>106</v>
      </c>
      <c r="C55" s="3"/>
      <c r="D55" s="3"/>
    </row>
    <row r="56" ht="15.0" customHeight="1">
      <c r="A56" s="3">
        <v>1.0</v>
      </c>
      <c r="B56" s="3" t="s">
        <v>107</v>
      </c>
      <c r="C56" s="3"/>
      <c r="D56" s="3"/>
    </row>
    <row r="57" ht="15.0" customHeight="1">
      <c r="A57" s="3">
        <v>1.0</v>
      </c>
      <c r="B57" s="3" t="s">
        <v>108</v>
      </c>
      <c r="C57" s="3"/>
      <c r="D57" s="3"/>
    </row>
    <row r="58" ht="15.0" customHeight="1">
      <c r="A58" s="3">
        <v>1.0</v>
      </c>
      <c r="B58" s="3" t="s">
        <v>110</v>
      </c>
      <c r="C58" s="3"/>
      <c r="D58" s="3"/>
    </row>
    <row r="59" ht="15.0" customHeight="1">
      <c r="A59" s="3">
        <v>1.0</v>
      </c>
      <c r="B59" s="3" t="s">
        <v>114</v>
      </c>
      <c r="C59" s="8">
        <v>4.0</v>
      </c>
      <c r="D59" s="8">
        <v>1.0</v>
      </c>
    </row>
    <row r="60" ht="15.0" customHeight="1">
      <c r="A60" s="3">
        <v>1.0</v>
      </c>
      <c r="B60" s="3" t="s">
        <v>116</v>
      </c>
      <c r="C60" s="8">
        <v>0.0</v>
      </c>
      <c r="D60" s="8">
        <v>0.0</v>
      </c>
    </row>
    <row r="61" ht="15.0" customHeight="1">
      <c r="A61" s="3">
        <v>1.0</v>
      </c>
      <c r="B61" s="3" t="s">
        <v>117</v>
      </c>
      <c r="C61" s="8">
        <v>0.0</v>
      </c>
      <c r="D61" s="8">
        <v>0.0</v>
      </c>
    </row>
    <row r="62" ht="15.0" customHeight="1">
      <c r="A62" s="3">
        <v>1.0</v>
      </c>
      <c r="B62" s="3" t="s">
        <v>118</v>
      </c>
      <c r="C62" s="8">
        <v>8.0</v>
      </c>
      <c r="D62" s="8">
        <v>2.0</v>
      </c>
    </row>
    <row r="63" ht="15.0" customHeight="1">
      <c r="A63" s="3">
        <v>1.0</v>
      </c>
      <c r="B63" s="3" t="s">
        <v>120</v>
      </c>
      <c r="C63" s="8">
        <v>2.0</v>
      </c>
      <c r="D63" s="8">
        <v>2.0</v>
      </c>
    </row>
    <row r="64" ht="15.0" customHeight="1">
      <c r="A64" s="3">
        <v>1.0</v>
      </c>
      <c r="B64" s="3" t="s">
        <v>121</v>
      </c>
      <c r="C64" s="8">
        <v>24.0</v>
      </c>
      <c r="D64" s="8">
        <v>2.0</v>
      </c>
    </row>
    <row r="65" ht="15.0" customHeight="1">
      <c r="A65" s="3">
        <v>1.0</v>
      </c>
      <c r="B65" s="3" t="s">
        <v>122</v>
      </c>
      <c r="C65" s="8">
        <v>10.0</v>
      </c>
      <c r="D65" s="8">
        <v>2.0</v>
      </c>
    </row>
    <row r="66" ht="15.0" customHeight="1">
      <c r="A66" s="3">
        <v>1.0</v>
      </c>
      <c r="B66" s="3" t="s">
        <v>123</v>
      </c>
      <c r="C66" s="8">
        <v>3.0</v>
      </c>
      <c r="D66" s="8">
        <v>3.0</v>
      </c>
    </row>
    <row r="67" ht="15.0" customHeight="1">
      <c r="A67" s="3">
        <v>1.0</v>
      </c>
      <c r="B67" s="3" t="s">
        <v>124</v>
      </c>
      <c r="C67" s="8">
        <v>7.0</v>
      </c>
      <c r="D67" s="8">
        <v>3.0</v>
      </c>
    </row>
    <row r="68" ht="15.0" customHeight="1">
      <c r="A68" s="3">
        <v>1.0</v>
      </c>
      <c r="B68" s="3" t="s">
        <v>125</v>
      </c>
      <c r="C68" s="8">
        <v>0.0</v>
      </c>
      <c r="D68" s="8">
        <v>0.0</v>
      </c>
    </row>
    <row r="69" ht="15.0" customHeight="1">
      <c r="A69" s="3">
        <v>1.0</v>
      </c>
      <c r="B69" s="3" t="s">
        <v>126</v>
      </c>
      <c r="C69" s="8">
        <v>6.0</v>
      </c>
      <c r="D69" s="8">
        <v>2.0</v>
      </c>
    </row>
    <row r="70" ht="15.75" customHeight="1">
      <c r="A70" s="12"/>
      <c r="B70" s="12"/>
      <c r="C70" s="12"/>
      <c r="D70" s="12"/>
    </row>
    <row r="71" ht="15.75" customHeight="1">
      <c r="A71" s="12"/>
      <c r="B71" s="12"/>
      <c r="C71" s="12"/>
      <c r="D71" s="12"/>
    </row>
    <row r="72" ht="15.75" customHeight="1">
      <c r="A72" s="12"/>
      <c r="B72" s="12"/>
      <c r="C72" s="12"/>
      <c r="D72" s="12"/>
    </row>
    <row r="73" ht="15.75" customHeight="1">
      <c r="A73" s="12"/>
      <c r="B73" s="12"/>
      <c r="C73" s="12"/>
      <c r="D73" s="12"/>
    </row>
    <row r="74" ht="15.75" customHeight="1">
      <c r="A74" s="12"/>
      <c r="B74" s="12"/>
      <c r="C74" s="12"/>
      <c r="D74" s="12"/>
    </row>
    <row r="75" ht="15.75" customHeight="1">
      <c r="A75" s="12"/>
      <c r="B75" s="12"/>
      <c r="C75" s="12"/>
      <c r="D75" s="12"/>
    </row>
    <row r="76" ht="15.75" customHeight="1">
      <c r="A76" s="12"/>
      <c r="B76" s="12"/>
      <c r="C76" s="12"/>
      <c r="D76" s="12"/>
    </row>
    <row r="77" ht="15.75" customHeight="1">
      <c r="A77" s="12"/>
      <c r="B77" s="12"/>
      <c r="C77" s="12"/>
      <c r="D77" s="12"/>
    </row>
    <row r="78" ht="15.75" customHeight="1">
      <c r="A78" s="12"/>
      <c r="B78" s="12"/>
      <c r="C78" s="12"/>
      <c r="D78" s="12"/>
    </row>
    <row r="79" ht="15.75" customHeight="1">
      <c r="A79" s="12"/>
      <c r="B79" s="12"/>
      <c r="C79" s="12"/>
      <c r="D79" s="12"/>
    </row>
    <row r="80" ht="15.75" customHeight="1">
      <c r="A80" s="12"/>
      <c r="B80" s="12"/>
      <c r="C80" s="12"/>
      <c r="D80" s="12"/>
    </row>
    <row r="81" ht="15.75" customHeight="1">
      <c r="A81" s="12"/>
      <c r="B81" s="12"/>
      <c r="C81" s="12"/>
      <c r="D81" s="12"/>
    </row>
    <row r="82" ht="15.75" customHeight="1">
      <c r="A82" s="12"/>
      <c r="B82" s="12"/>
      <c r="C82" s="12"/>
      <c r="D82" s="12"/>
    </row>
    <row r="83" ht="15.75" customHeight="1">
      <c r="A83" s="12"/>
      <c r="B83" s="12"/>
      <c r="C83" s="12"/>
      <c r="D83" s="12"/>
    </row>
    <row r="84" ht="15.75" customHeight="1">
      <c r="A84" s="12"/>
      <c r="B84" s="12"/>
      <c r="C84" s="12"/>
      <c r="D84" s="12"/>
    </row>
    <row r="85" ht="15.75" customHeight="1">
      <c r="A85" s="12"/>
      <c r="B85" s="12"/>
      <c r="C85" s="12"/>
      <c r="D85" s="12"/>
    </row>
    <row r="86" ht="15.75" customHeight="1">
      <c r="A86" s="12"/>
      <c r="B86" s="12"/>
      <c r="C86" s="12"/>
      <c r="D86" s="12"/>
    </row>
    <row r="87" ht="15.75" customHeight="1">
      <c r="A87" s="12"/>
      <c r="B87" s="12"/>
      <c r="C87" s="12"/>
      <c r="D87" s="12"/>
    </row>
    <row r="88" ht="15.75" customHeight="1">
      <c r="A88" s="12"/>
      <c r="B88" s="12"/>
      <c r="C88" s="12"/>
      <c r="D88" s="12"/>
    </row>
    <row r="89" ht="15.75" customHeight="1">
      <c r="A89" s="12"/>
      <c r="B89" s="12"/>
      <c r="C89" s="12"/>
      <c r="D89" s="12"/>
    </row>
    <row r="90" ht="15.75" customHeight="1">
      <c r="A90" s="12"/>
      <c r="B90" s="12"/>
      <c r="C90" s="12"/>
      <c r="D90" s="12"/>
    </row>
    <row r="91" ht="15.75" customHeight="1">
      <c r="A91" s="12"/>
      <c r="B91" s="12"/>
      <c r="C91" s="12"/>
      <c r="D91" s="12"/>
    </row>
    <row r="92" ht="15.75" customHeight="1">
      <c r="A92" s="12"/>
      <c r="B92" s="12"/>
      <c r="C92" s="12"/>
      <c r="D92" s="12"/>
    </row>
    <row r="93" ht="15.75" customHeight="1">
      <c r="A93" s="12"/>
      <c r="B93" s="12"/>
      <c r="C93" s="12"/>
      <c r="D93" s="12"/>
    </row>
    <row r="94" ht="15.75" customHeight="1">
      <c r="A94" s="12"/>
      <c r="B94" s="12"/>
      <c r="C94" s="12"/>
      <c r="D94" s="12"/>
    </row>
    <row r="95" ht="15.75" customHeight="1">
      <c r="A95" s="12"/>
      <c r="B95" s="12"/>
      <c r="C95" s="12"/>
      <c r="D95" s="12"/>
    </row>
    <row r="96" ht="15.75" customHeight="1">
      <c r="A96" s="12"/>
      <c r="B96" s="12"/>
      <c r="C96" s="12"/>
      <c r="D96" s="12"/>
    </row>
    <row r="97" ht="15.75" customHeight="1">
      <c r="A97" s="12"/>
      <c r="B97" s="12"/>
      <c r="C97" s="12"/>
      <c r="D97" s="12"/>
    </row>
    <row r="98" ht="15.75" customHeight="1">
      <c r="A98" s="12"/>
      <c r="B98" s="12"/>
      <c r="C98" s="12"/>
      <c r="D98" s="12"/>
    </row>
    <row r="99" ht="15.75" customHeight="1">
      <c r="A99" s="12"/>
      <c r="B99" s="12"/>
      <c r="C99" s="12"/>
      <c r="D99" s="12"/>
    </row>
    <row r="100" ht="15.75" customHeight="1">
      <c r="A100" s="12"/>
      <c r="B100" s="12"/>
      <c r="C100" s="12"/>
      <c r="D100" s="12"/>
    </row>
    <row r="101" ht="15.75" customHeight="1">
      <c r="A101" s="12"/>
      <c r="B101" s="12"/>
      <c r="C101" s="12"/>
      <c r="D101" s="12"/>
    </row>
    <row r="102" ht="15.75" customHeight="1">
      <c r="A102" s="12"/>
      <c r="B102" s="12"/>
      <c r="C102" s="12"/>
      <c r="D102" s="12"/>
    </row>
    <row r="103" ht="15.75" customHeight="1">
      <c r="A103" s="12"/>
      <c r="B103" s="12"/>
      <c r="C103" s="12"/>
      <c r="D103" s="12"/>
    </row>
    <row r="104" ht="15.75" customHeight="1">
      <c r="A104" s="12"/>
      <c r="B104" s="12"/>
      <c r="C104" s="12"/>
      <c r="D104" s="12"/>
    </row>
    <row r="105" ht="15.75" customHeight="1">
      <c r="A105" s="12"/>
      <c r="B105" s="12"/>
      <c r="C105" s="12"/>
      <c r="D105" s="12"/>
    </row>
    <row r="106" ht="15.75" customHeight="1">
      <c r="A106" s="12"/>
      <c r="B106" s="12"/>
      <c r="C106" s="12"/>
      <c r="D106" s="12"/>
    </row>
    <row r="107" ht="15.75" customHeight="1">
      <c r="A107" s="12"/>
      <c r="B107" s="12"/>
      <c r="C107" s="12"/>
      <c r="D107" s="12"/>
    </row>
    <row r="108" ht="15.75" customHeight="1">
      <c r="A108" s="12"/>
      <c r="B108" s="12"/>
      <c r="C108" s="12"/>
      <c r="D108" s="12"/>
    </row>
    <row r="109" ht="15.75" customHeight="1">
      <c r="A109" s="12"/>
      <c r="B109" s="12"/>
      <c r="C109" s="12"/>
      <c r="D109" s="12"/>
    </row>
    <row r="110" ht="15.75" customHeight="1">
      <c r="A110" s="12"/>
      <c r="B110" s="12"/>
      <c r="C110" s="12"/>
      <c r="D110" s="12"/>
    </row>
    <row r="111" ht="15.75" customHeight="1">
      <c r="A111" s="12"/>
      <c r="B111" s="12"/>
      <c r="C111" s="12"/>
      <c r="D111" s="12"/>
    </row>
    <row r="112" ht="15.75" customHeight="1">
      <c r="A112" s="12"/>
      <c r="B112" s="12"/>
      <c r="C112" s="12"/>
      <c r="D112" s="12"/>
    </row>
    <row r="113" ht="15.75" customHeight="1">
      <c r="A113" s="12"/>
      <c r="B113" s="12"/>
      <c r="C113" s="12"/>
      <c r="D113" s="12"/>
    </row>
    <row r="114" ht="15.75" customHeight="1">
      <c r="A114" s="12"/>
      <c r="B114" s="12"/>
      <c r="C114" s="12"/>
      <c r="D114" s="12"/>
    </row>
    <row r="115" ht="15.75" customHeight="1">
      <c r="A115" s="12"/>
      <c r="B115" s="12"/>
      <c r="C115" s="12"/>
      <c r="D115" s="12"/>
    </row>
    <row r="116" ht="15.75" customHeight="1">
      <c r="A116" s="12"/>
      <c r="B116" s="12"/>
      <c r="C116" s="12"/>
      <c r="D116" s="12"/>
    </row>
    <row r="117" ht="15.75" customHeight="1">
      <c r="A117" s="12"/>
      <c r="B117" s="12"/>
      <c r="C117" s="12"/>
      <c r="D117" s="12"/>
    </row>
    <row r="118" ht="15.75" customHeight="1">
      <c r="A118" s="12"/>
      <c r="B118" s="12"/>
      <c r="C118" s="12"/>
      <c r="D118" s="12"/>
    </row>
    <row r="119" ht="15.75" customHeight="1">
      <c r="A119" s="12"/>
      <c r="B119" s="12"/>
      <c r="C119" s="12"/>
      <c r="D119" s="12"/>
    </row>
    <row r="120" ht="15.75" customHeight="1">
      <c r="A120" s="12"/>
      <c r="B120" s="12"/>
      <c r="C120" s="12"/>
      <c r="D120" s="12"/>
    </row>
    <row r="121" ht="15.75" customHeight="1">
      <c r="A121" s="12"/>
      <c r="B121" s="12"/>
      <c r="C121" s="12"/>
      <c r="D121" s="12"/>
    </row>
    <row r="122" ht="15.75" customHeight="1">
      <c r="A122" s="12"/>
      <c r="B122" s="12"/>
      <c r="C122" s="12"/>
      <c r="D122" s="12"/>
    </row>
    <row r="123" ht="15.75" customHeight="1">
      <c r="A123" s="12"/>
      <c r="B123" s="12"/>
      <c r="C123" s="12"/>
      <c r="D123" s="12"/>
    </row>
    <row r="124" ht="15.75" customHeight="1">
      <c r="A124" s="12"/>
      <c r="B124" s="12"/>
      <c r="C124" s="12"/>
      <c r="D124" s="12"/>
    </row>
    <row r="125" ht="15.75" customHeight="1">
      <c r="A125" s="12"/>
      <c r="B125" s="12"/>
      <c r="C125" s="12"/>
      <c r="D125" s="12"/>
    </row>
    <row r="126" ht="15.75" customHeight="1">
      <c r="A126" s="12"/>
      <c r="B126" s="12"/>
      <c r="C126" s="12"/>
      <c r="D126" s="12"/>
    </row>
    <row r="127" ht="15.75" customHeight="1">
      <c r="A127" s="12"/>
      <c r="B127" s="12"/>
      <c r="C127" s="12"/>
      <c r="D127" s="12"/>
    </row>
    <row r="128" ht="15.75" customHeight="1">
      <c r="A128" s="12"/>
      <c r="B128" s="12"/>
      <c r="C128" s="12"/>
      <c r="D128" s="12"/>
    </row>
    <row r="129" ht="15.75" customHeight="1">
      <c r="A129" s="12"/>
      <c r="B129" s="12"/>
      <c r="C129" s="12"/>
      <c r="D129" s="12"/>
    </row>
    <row r="130" ht="15.75" customHeight="1">
      <c r="A130" s="12"/>
      <c r="B130" s="12"/>
      <c r="C130" s="12"/>
      <c r="D130" s="12"/>
    </row>
    <row r="131" ht="15.75" customHeight="1">
      <c r="A131" s="12"/>
      <c r="B131" s="12"/>
      <c r="C131" s="12"/>
      <c r="D131" s="12"/>
    </row>
    <row r="132" ht="15.75" customHeight="1">
      <c r="A132" s="12"/>
      <c r="B132" s="12"/>
      <c r="C132" s="12"/>
      <c r="D132" s="12"/>
    </row>
    <row r="133" ht="15.75" customHeight="1">
      <c r="A133" s="12"/>
      <c r="B133" s="12"/>
      <c r="C133" s="12"/>
      <c r="D133" s="12"/>
    </row>
    <row r="134" ht="15.75" customHeight="1">
      <c r="A134" s="12"/>
      <c r="B134" s="12"/>
      <c r="C134" s="12"/>
      <c r="D134" s="12"/>
    </row>
    <row r="135" ht="15.75" customHeight="1">
      <c r="A135" s="12"/>
      <c r="B135" s="12"/>
      <c r="C135" s="12"/>
      <c r="D135" s="12"/>
    </row>
    <row r="136" ht="15.75" customHeight="1">
      <c r="A136" s="12"/>
      <c r="B136" s="12"/>
      <c r="C136" s="12"/>
      <c r="D136" s="12"/>
    </row>
    <row r="137" ht="15.75" customHeight="1">
      <c r="A137" s="12"/>
      <c r="B137" s="12"/>
      <c r="C137" s="12"/>
      <c r="D137" s="12"/>
    </row>
    <row r="138" ht="15.75" customHeight="1">
      <c r="A138" s="12"/>
      <c r="B138" s="12"/>
      <c r="C138" s="12"/>
      <c r="D138" s="12"/>
    </row>
    <row r="139" ht="15.75" customHeight="1">
      <c r="A139" s="12"/>
      <c r="B139" s="12"/>
      <c r="C139" s="12"/>
      <c r="D139" s="12"/>
    </row>
    <row r="140" ht="15.75" customHeight="1">
      <c r="A140" s="12"/>
      <c r="B140" s="12"/>
      <c r="C140" s="12"/>
      <c r="D140" s="12"/>
    </row>
    <row r="141" ht="15.75" customHeight="1">
      <c r="A141" s="12"/>
      <c r="B141" s="12"/>
      <c r="C141" s="12"/>
      <c r="D141" s="12"/>
    </row>
    <row r="142" ht="15.75" customHeight="1">
      <c r="A142" s="12"/>
      <c r="B142" s="12"/>
      <c r="C142" s="12"/>
      <c r="D142" s="12"/>
    </row>
    <row r="143" ht="15.75" customHeight="1">
      <c r="A143" s="12"/>
      <c r="B143" s="12"/>
      <c r="C143" s="12"/>
      <c r="D143" s="12"/>
    </row>
    <row r="144" ht="15.75" customHeight="1">
      <c r="A144" s="12"/>
      <c r="B144" s="12"/>
      <c r="C144" s="12"/>
      <c r="D144" s="12"/>
    </row>
    <row r="145" ht="15.75" customHeight="1">
      <c r="A145" s="12"/>
      <c r="B145" s="12"/>
      <c r="C145" s="12"/>
      <c r="D145" s="12"/>
    </row>
    <row r="146" ht="15.75" customHeight="1">
      <c r="A146" s="12"/>
      <c r="B146" s="12"/>
      <c r="C146" s="12"/>
      <c r="D146" s="12"/>
    </row>
    <row r="147" ht="15.75" customHeight="1">
      <c r="A147" s="12"/>
      <c r="B147" s="12"/>
      <c r="C147" s="12"/>
      <c r="D147" s="12"/>
    </row>
    <row r="148" ht="15.75" customHeight="1">
      <c r="A148" s="12"/>
      <c r="B148" s="12"/>
      <c r="C148" s="12"/>
      <c r="D148" s="12"/>
    </row>
    <row r="149" ht="15.75" customHeight="1">
      <c r="A149" s="12"/>
      <c r="B149" s="12"/>
      <c r="C149" s="12"/>
      <c r="D149" s="12"/>
    </row>
    <row r="150" ht="15.75" customHeight="1">
      <c r="A150" s="12"/>
      <c r="B150" s="12"/>
      <c r="C150" s="12"/>
      <c r="D150" s="12"/>
    </row>
    <row r="151" ht="15.75" customHeight="1">
      <c r="A151" s="12"/>
      <c r="B151" s="12"/>
      <c r="C151" s="12"/>
      <c r="D151" s="12"/>
    </row>
    <row r="152" ht="15.75" customHeight="1">
      <c r="A152" s="12"/>
      <c r="B152" s="12"/>
      <c r="C152" s="12"/>
      <c r="D152" s="12"/>
    </row>
    <row r="153" ht="15.75" customHeight="1">
      <c r="A153" s="12"/>
      <c r="B153" s="12"/>
      <c r="C153" s="12"/>
      <c r="D153" s="12"/>
    </row>
    <row r="154" ht="15.75" customHeight="1">
      <c r="A154" s="12"/>
      <c r="B154" s="12"/>
      <c r="C154" s="12"/>
      <c r="D154" s="12"/>
    </row>
    <row r="155" ht="15.75" customHeight="1">
      <c r="A155" s="12"/>
      <c r="B155" s="12"/>
      <c r="C155" s="12"/>
      <c r="D155" s="12"/>
    </row>
    <row r="156" ht="15.75" customHeight="1">
      <c r="A156" s="12"/>
      <c r="B156" s="12"/>
      <c r="C156" s="12"/>
      <c r="D156" s="12"/>
    </row>
    <row r="157" ht="15.75" customHeight="1">
      <c r="A157" s="12"/>
      <c r="B157" s="12"/>
      <c r="C157" s="12"/>
      <c r="D157" s="12"/>
    </row>
    <row r="158" ht="15.75" customHeight="1">
      <c r="A158" s="12"/>
      <c r="B158" s="12"/>
      <c r="C158" s="12"/>
      <c r="D158" s="12"/>
    </row>
    <row r="159" ht="15.75" customHeight="1">
      <c r="A159" s="12"/>
      <c r="B159" s="12"/>
      <c r="C159" s="12"/>
      <c r="D159" s="12"/>
    </row>
    <row r="160" ht="15.75" customHeight="1">
      <c r="A160" s="12"/>
      <c r="B160" s="12"/>
      <c r="C160" s="12"/>
      <c r="D160" s="12"/>
    </row>
    <row r="161" ht="15.75" customHeight="1">
      <c r="A161" s="12"/>
      <c r="B161" s="12"/>
      <c r="C161" s="12"/>
      <c r="D161" s="12"/>
    </row>
    <row r="162" ht="15.75" customHeight="1">
      <c r="A162" s="12"/>
      <c r="B162" s="12"/>
      <c r="C162" s="12"/>
      <c r="D162" s="12"/>
    </row>
    <row r="163" ht="15.75" customHeight="1">
      <c r="A163" s="12"/>
      <c r="B163" s="12"/>
      <c r="C163" s="12"/>
      <c r="D163" s="12"/>
    </row>
    <row r="164" ht="15.75" customHeight="1">
      <c r="A164" s="12"/>
      <c r="B164" s="12"/>
      <c r="C164" s="12"/>
      <c r="D164" s="12"/>
    </row>
    <row r="165" ht="15.75" customHeight="1">
      <c r="A165" s="12"/>
      <c r="B165" s="12"/>
      <c r="C165" s="12"/>
      <c r="D165" s="12"/>
    </row>
    <row r="166" ht="15.75" customHeight="1">
      <c r="A166" s="12"/>
      <c r="B166" s="12"/>
      <c r="C166" s="12"/>
      <c r="D166" s="12"/>
    </row>
    <row r="167" ht="15.75" customHeight="1">
      <c r="A167" s="12"/>
      <c r="B167" s="12"/>
      <c r="C167" s="12"/>
      <c r="D167" s="12"/>
    </row>
    <row r="168" ht="15.75" customHeight="1">
      <c r="A168" s="12"/>
      <c r="B168" s="12"/>
      <c r="C168" s="12"/>
      <c r="D168" s="12"/>
    </row>
    <row r="169" ht="15.75" customHeight="1">
      <c r="A169" s="12"/>
      <c r="B169" s="12"/>
      <c r="C169" s="12"/>
      <c r="D169" s="12"/>
    </row>
    <row r="170" ht="15.75" customHeight="1">
      <c r="A170" s="12"/>
      <c r="B170" s="12"/>
      <c r="C170" s="12"/>
      <c r="D170" s="12"/>
    </row>
    <row r="171" ht="15.75" customHeight="1">
      <c r="A171" s="12"/>
      <c r="B171" s="12"/>
      <c r="C171" s="12"/>
      <c r="D171" s="12"/>
    </row>
    <row r="172" ht="15.75" customHeight="1">
      <c r="A172" s="12"/>
      <c r="B172" s="12"/>
      <c r="C172" s="12"/>
      <c r="D172" s="12"/>
    </row>
    <row r="173" ht="15.75" customHeight="1">
      <c r="A173" s="12"/>
      <c r="B173" s="12"/>
      <c r="C173" s="12"/>
      <c r="D173" s="12"/>
    </row>
    <row r="174" ht="15.75" customHeight="1">
      <c r="A174" s="12"/>
      <c r="B174" s="12"/>
      <c r="C174" s="12"/>
      <c r="D174" s="12"/>
    </row>
    <row r="175" ht="15.75" customHeight="1">
      <c r="A175" s="12"/>
      <c r="B175" s="12"/>
      <c r="C175" s="12"/>
      <c r="D175" s="12"/>
    </row>
    <row r="176" ht="15.75" customHeight="1">
      <c r="A176" s="12"/>
      <c r="B176" s="12"/>
      <c r="C176" s="12"/>
      <c r="D176" s="12"/>
    </row>
    <row r="177" ht="15.75" customHeight="1">
      <c r="A177" s="12"/>
      <c r="B177" s="12"/>
      <c r="C177" s="12"/>
      <c r="D177" s="12"/>
    </row>
    <row r="178" ht="15.75" customHeight="1">
      <c r="A178" s="12"/>
      <c r="B178" s="12"/>
      <c r="C178" s="12"/>
      <c r="D178" s="12"/>
    </row>
    <row r="179" ht="15.75" customHeight="1">
      <c r="A179" s="12"/>
      <c r="B179" s="12"/>
      <c r="C179" s="12"/>
      <c r="D179" s="12"/>
    </row>
    <row r="180" ht="15.75" customHeight="1">
      <c r="A180" s="12"/>
      <c r="B180" s="12"/>
      <c r="C180" s="12"/>
      <c r="D180" s="12"/>
    </row>
    <row r="181" ht="15.75" customHeight="1">
      <c r="A181" s="12"/>
      <c r="B181" s="12"/>
      <c r="C181" s="12"/>
      <c r="D181" s="12"/>
    </row>
    <row r="182" ht="15.75" customHeight="1">
      <c r="A182" s="12"/>
      <c r="B182" s="12"/>
      <c r="C182" s="12"/>
      <c r="D182" s="12"/>
    </row>
    <row r="183" ht="15.75" customHeight="1">
      <c r="A183" s="12"/>
      <c r="B183" s="12"/>
      <c r="C183" s="12"/>
      <c r="D183" s="12"/>
    </row>
    <row r="184" ht="15.75" customHeight="1">
      <c r="A184" s="12"/>
      <c r="B184" s="12"/>
      <c r="C184" s="12"/>
      <c r="D184" s="12"/>
    </row>
    <row r="185" ht="15.75" customHeight="1">
      <c r="A185" s="12"/>
      <c r="B185" s="12"/>
      <c r="C185" s="12"/>
      <c r="D185" s="12"/>
    </row>
    <row r="186" ht="15.75" customHeight="1">
      <c r="A186" s="12"/>
      <c r="B186" s="12"/>
      <c r="C186" s="12"/>
      <c r="D186" s="12"/>
    </row>
    <row r="187" ht="15.75" customHeight="1">
      <c r="A187" s="12"/>
      <c r="B187" s="12"/>
      <c r="C187" s="12"/>
      <c r="D187" s="12"/>
    </row>
    <row r="188" ht="15.75" customHeight="1">
      <c r="A188" s="12"/>
      <c r="B188" s="12"/>
      <c r="C188" s="12"/>
      <c r="D188" s="12"/>
    </row>
    <row r="189" ht="15.75" customHeight="1">
      <c r="A189" s="12"/>
      <c r="B189" s="12"/>
      <c r="C189" s="12"/>
      <c r="D189" s="12"/>
    </row>
    <row r="190" ht="15.75" customHeight="1">
      <c r="A190" s="12"/>
      <c r="B190" s="12"/>
      <c r="C190" s="12"/>
      <c r="D190" s="12"/>
    </row>
    <row r="191" ht="15.75" customHeight="1">
      <c r="A191" s="12"/>
      <c r="B191" s="12"/>
      <c r="C191" s="12"/>
      <c r="D191" s="12"/>
    </row>
    <row r="192" ht="15.75" customHeight="1">
      <c r="A192" s="12"/>
      <c r="B192" s="12"/>
      <c r="C192" s="12"/>
      <c r="D192" s="12"/>
    </row>
    <row r="193" ht="15.75" customHeight="1">
      <c r="A193" s="12"/>
      <c r="B193" s="12"/>
      <c r="C193" s="12"/>
      <c r="D193" s="12"/>
    </row>
    <row r="194" ht="15.75" customHeight="1">
      <c r="A194" s="12"/>
      <c r="B194" s="12"/>
      <c r="C194" s="12"/>
      <c r="D194" s="12"/>
    </row>
    <row r="195" ht="15.75" customHeight="1">
      <c r="A195" s="12"/>
      <c r="B195" s="12"/>
      <c r="C195" s="12"/>
      <c r="D195" s="12"/>
    </row>
    <row r="196" ht="15.75" customHeight="1">
      <c r="A196" s="12"/>
      <c r="B196" s="12"/>
      <c r="C196" s="12"/>
      <c r="D196" s="12"/>
    </row>
    <row r="197" ht="15.75" customHeight="1">
      <c r="A197" s="12"/>
      <c r="B197" s="12"/>
      <c r="C197" s="12"/>
      <c r="D197" s="12"/>
    </row>
    <row r="198" ht="15.75" customHeight="1">
      <c r="A198" s="12"/>
      <c r="B198" s="12"/>
      <c r="C198" s="12"/>
      <c r="D198" s="12"/>
    </row>
    <row r="199" ht="15.75" customHeight="1">
      <c r="A199" s="12"/>
      <c r="B199" s="12"/>
      <c r="C199" s="12"/>
      <c r="D199" s="12"/>
    </row>
    <row r="200" ht="15.75" customHeight="1">
      <c r="A200" s="12"/>
      <c r="B200" s="12"/>
      <c r="C200" s="12"/>
      <c r="D200" s="12"/>
    </row>
    <row r="201" ht="15.75" customHeight="1">
      <c r="A201" s="12"/>
      <c r="B201" s="12"/>
      <c r="C201" s="12"/>
      <c r="D201" s="12"/>
    </row>
    <row r="202" ht="15.75" customHeight="1">
      <c r="A202" s="12"/>
      <c r="B202" s="12"/>
      <c r="C202" s="12"/>
      <c r="D202" s="12"/>
    </row>
    <row r="203" ht="15.75" customHeight="1">
      <c r="A203" s="12"/>
      <c r="B203" s="12"/>
      <c r="C203" s="12"/>
      <c r="D203" s="12"/>
    </row>
    <row r="204" ht="15.75" customHeight="1">
      <c r="A204" s="12"/>
      <c r="B204" s="12"/>
      <c r="C204" s="12"/>
      <c r="D204" s="12"/>
    </row>
    <row r="205" ht="15.75" customHeight="1">
      <c r="A205" s="12"/>
      <c r="B205" s="12"/>
      <c r="C205" s="12"/>
      <c r="D205" s="12"/>
    </row>
    <row r="206" ht="15.75" customHeight="1">
      <c r="A206" s="12"/>
      <c r="B206" s="12"/>
      <c r="C206" s="12"/>
      <c r="D206" s="12"/>
    </row>
    <row r="207" ht="15.75" customHeight="1">
      <c r="A207" s="12"/>
      <c r="B207" s="12"/>
      <c r="C207" s="12"/>
      <c r="D207" s="12"/>
    </row>
    <row r="208" ht="15.75" customHeight="1">
      <c r="A208" s="12"/>
      <c r="B208" s="12"/>
      <c r="C208" s="12"/>
      <c r="D208" s="12"/>
    </row>
    <row r="209" ht="15.75" customHeight="1">
      <c r="A209" s="12"/>
      <c r="B209" s="12"/>
      <c r="C209" s="12"/>
      <c r="D209" s="12"/>
    </row>
    <row r="210" ht="15.75" customHeight="1">
      <c r="A210" s="12"/>
      <c r="B210" s="12"/>
      <c r="C210" s="12"/>
      <c r="D210" s="12"/>
    </row>
    <row r="211" ht="15.75" customHeight="1">
      <c r="A211" s="12"/>
      <c r="B211" s="12"/>
      <c r="C211" s="12"/>
      <c r="D211" s="12"/>
    </row>
    <row r="212" ht="15.75" customHeight="1">
      <c r="A212" s="12"/>
      <c r="B212" s="12"/>
      <c r="C212" s="12"/>
      <c r="D212" s="12"/>
    </row>
    <row r="213" ht="15.75" customHeight="1">
      <c r="A213" s="12"/>
      <c r="B213" s="12"/>
      <c r="C213" s="12"/>
      <c r="D213" s="12"/>
    </row>
    <row r="214" ht="15.75" customHeight="1">
      <c r="A214" s="12"/>
      <c r="B214" s="12"/>
      <c r="C214" s="12"/>
      <c r="D214" s="12"/>
    </row>
    <row r="215" ht="15.75" customHeight="1">
      <c r="A215" s="12"/>
      <c r="B215" s="12"/>
      <c r="C215" s="12"/>
      <c r="D215" s="12"/>
    </row>
    <row r="216" ht="15.75" customHeight="1">
      <c r="A216" s="12"/>
      <c r="B216" s="12"/>
      <c r="C216" s="12"/>
      <c r="D216" s="12"/>
    </row>
    <row r="217" ht="15.75" customHeight="1">
      <c r="A217" s="12"/>
      <c r="B217" s="12"/>
      <c r="C217" s="12"/>
      <c r="D217" s="12"/>
    </row>
    <row r="218" ht="15.75" customHeight="1">
      <c r="A218" s="12"/>
      <c r="B218" s="12"/>
      <c r="C218" s="12"/>
      <c r="D218" s="12"/>
    </row>
    <row r="219" ht="15.75" customHeight="1">
      <c r="A219" s="12"/>
      <c r="B219" s="12"/>
      <c r="C219" s="12"/>
      <c r="D219" s="12"/>
    </row>
    <row r="220" ht="15.75" customHeight="1">
      <c r="A220" s="12"/>
      <c r="B220" s="12"/>
      <c r="C220" s="12"/>
      <c r="D220" s="12"/>
    </row>
    <row r="221" ht="15.75" customHeight="1">
      <c r="A221" s="12"/>
      <c r="B221" s="12"/>
      <c r="C221" s="12"/>
      <c r="D221" s="12"/>
    </row>
    <row r="222" ht="15.75" customHeight="1">
      <c r="A222" s="12"/>
      <c r="B222" s="12"/>
      <c r="C222" s="12"/>
      <c r="D222" s="12"/>
    </row>
    <row r="223" ht="15.75" customHeight="1">
      <c r="A223" s="12"/>
      <c r="B223" s="12"/>
      <c r="C223" s="12"/>
      <c r="D223" s="12"/>
    </row>
    <row r="224" ht="15.75" customHeight="1">
      <c r="A224" s="12"/>
      <c r="B224" s="12"/>
      <c r="C224" s="12"/>
      <c r="D224" s="12"/>
    </row>
    <row r="225" ht="15.75" customHeight="1">
      <c r="A225" s="12"/>
      <c r="B225" s="12"/>
      <c r="C225" s="12"/>
      <c r="D225" s="12"/>
    </row>
    <row r="226" ht="15.75" customHeight="1">
      <c r="A226" s="12"/>
      <c r="B226" s="12"/>
      <c r="C226" s="12"/>
      <c r="D226" s="12"/>
    </row>
    <row r="227" ht="15.75" customHeight="1">
      <c r="A227" s="12"/>
      <c r="B227" s="12"/>
      <c r="C227" s="12"/>
      <c r="D227" s="12"/>
    </row>
    <row r="228" ht="15.75" customHeight="1">
      <c r="A228" s="12"/>
      <c r="B228" s="12"/>
      <c r="C228" s="12"/>
      <c r="D228" s="12"/>
    </row>
    <row r="229" ht="15.75" customHeight="1">
      <c r="A229" s="12"/>
      <c r="B229" s="12"/>
      <c r="C229" s="12"/>
      <c r="D229" s="12"/>
    </row>
    <row r="230" ht="15.75" customHeight="1">
      <c r="A230" s="12"/>
      <c r="B230" s="12"/>
      <c r="C230" s="12"/>
      <c r="D230" s="12"/>
    </row>
    <row r="231" ht="15.75" customHeight="1">
      <c r="A231" s="12"/>
      <c r="B231" s="12"/>
      <c r="C231" s="12"/>
      <c r="D231" s="12"/>
    </row>
    <row r="232" ht="15.75" customHeight="1">
      <c r="A232" s="12"/>
      <c r="B232" s="12"/>
      <c r="C232" s="12"/>
      <c r="D232" s="12"/>
    </row>
    <row r="233" ht="15.75" customHeight="1">
      <c r="A233" s="12"/>
      <c r="B233" s="12"/>
      <c r="C233" s="12"/>
      <c r="D233" s="12"/>
    </row>
    <row r="234" ht="15.75" customHeight="1">
      <c r="A234" s="12"/>
      <c r="B234" s="12"/>
      <c r="C234" s="12"/>
      <c r="D234" s="12"/>
    </row>
    <row r="235" ht="15.75" customHeight="1">
      <c r="A235" s="12"/>
      <c r="B235" s="12"/>
      <c r="C235" s="12"/>
      <c r="D235" s="12"/>
    </row>
    <row r="236" ht="15.75" customHeight="1">
      <c r="A236" s="12"/>
      <c r="B236" s="12"/>
      <c r="C236" s="12"/>
      <c r="D236" s="12"/>
    </row>
    <row r="237" ht="15.75" customHeight="1">
      <c r="A237" s="12"/>
      <c r="B237" s="12"/>
      <c r="C237" s="12"/>
      <c r="D237" s="12"/>
    </row>
    <row r="238" ht="15.75" customHeight="1">
      <c r="A238" s="12"/>
      <c r="B238" s="12"/>
      <c r="C238" s="12"/>
      <c r="D238" s="12"/>
    </row>
    <row r="239" ht="15.75" customHeight="1">
      <c r="A239" s="12"/>
      <c r="B239" s="12"/>
      <c r="C239" s="12"/>
      <c r="D239" s="12"/>
    </row>
    <row r="240" ht="15.75" customHeight="1">
      <c r="A240" s="12"/>
      <c r="B240" s="12"/>
      <c r="C240" s="12"/>
      <c r="D240" s="12"/>
    </row>
    <row r="241" ht="15.75" customHeight="1">
      <c r="A241" s="12"/>
      <c r="B241" s="12"/>
      <c r="C241" s="12"/>
      <c r="D241" s="12"/>
    </row>
    <row r="242" ht="15.75" customHeight="1">
      <c r="A242" s="12"/>
      <c r="B242" s="12"/>
      <c r="C242" s="12"/>
      <c r="D242" s="12"/>
    </row>
    <row r="243" ht="15.75" customHeight="1">
      <c r="A243" s="12"/>
      <c r="B243" s="12"/>
      <c r="C243" s="12"/>
      <c r="D243" s="12"/>
    </row>
    <row r="244" ht="15.75" customHeight="1">
      <c r="A244" s="12"/>
      <c r="B244" s="12"/>
      <c r="C244" s="12"/>
      <c r="D244" s="12"/>
    </row>
    <row r="245" ht="15.75" customHeight="1">
      <c r="A245" s="12"/>
      <c r="B245" s="12"/>
      <c r="C245" s="12"/>
      <c r="D245" s="12"/>
    </row>
    <row r="246" ht="15.75" customHeight="1">
      <c r="A246" s="12"/>
      <c r="B246" s="12"/>
      <c r="C246" s="12"/>
      <c r="D246" s="12"/>
    </row>
    <row r="247" ht="15.75" customHeight="1">
      <c r="A247" s="12"/>
      <c r="B247" s="12"/>
      <c r="C247" s="12"/>
      <c r="D247" s="12"/>
    </row>
    <row r="248" ht="15.75" customHeight="1">
      <c r="A248" s="12"/>
      <c r="B248" s="12"/>
      <c r="C248" s="12"/>
      <c r="D248" s="12"/>
    </row>
    <row r="249" ht="15.75" customHeight="1">
      <c r="A249" s="12"/>
      <c r="B249" s="12"/>
      <c r="C249" s="12"/>
      <c r="D249" s="12"/>
    </row>
    <row r="250" ht="15.75" customHeight="1">
      <c r="A250" s="12"/>
      <c r="B250" s="12"/>
      <c r="C250" s="12"/>
      <c r="D250" s="12"/>
    </row>
    <row r="251" ht="15.75" customHeight="1">
      <c r="A251" s="12"/>
      <c r="B251" s="12"/>
      <c r="C251" s="12"/>
      <c r="D251" s="12"/>
    </row>
    <row r="252" ht="15.75" customHeight="1">
      <c r="A252" s="12"/>
      <c r="B252" s="12"/>
      <c r="C252" s="12"/>
      <c r="D252" s="12"/>
    </row>
    <row r="253" ht="15.75" customHeight="1">
      <c r="A253" s="12"/>
      <c r="B253" s="12"/>
      <c r="C253" s="12"/>
      <c r="D253" s="12"/>
    </row>
    <row r="254" ht="15.75" customHeight="1">
      <c r="A254" s="12"/>
      <c r="B254" s="12"/>
      <c r="C254" s="12"/>
      <c r="D254" s="12"/>
    </row>
    <row r="255" ht="15.75" customHeight="1">
      <c r="A255" s="12"/>
      <c r="B255" s="12"/>
      <c r="C255" s="12"/>
      <c r="D255" s="12"/>
    </row>
    <row r="256" ht="15.75" customHeight="1">
      <c r="A256" s="12"/>
      <c r="B256" s="12"/>
      <c r="C256" s="12"/>
      <c r="D256" s="12"/>
    </row>
    <row r="257" ht="15.75" customHeight="1">
      <c r="A257" s="12"/>
      <c r="B257" s="12"/>
      <c r="C257" s="12"/>
      <c r="D257" s="12"/>
    </row>
    <row r="258" ht="15.75" customHeight="1">
      <c r="A258" s="12"/>
      <c r="B258" s="12"/>
      <c r="C258" s="12"/>
      <c r="D258" s="12"/>
    </row>
    <row r="259" ht="15.75" customHeight="1">
      <c r="A259" s="12"/>
      <c r="B259" s="12"/>
      <c r="C259" s="12"/>
      <c r="D259" s="12"/>
    </row>
    <row r="260" ht="15.75" customHeight="1">
      <c r="A260" s="12"/>
      <c r="B260" s="12"/>
      <c r="C260" s="12"/>
      <c r="D260" s="12"/>
    </row>
    <row r="261" ht="15.75" customHeight="1">
      <c r="A261" s="12"/>
      <c r="B261" s="12"/>
      <c r="C261" s="12"/>
      <c r="D261" s="12"/>
    </row>
    <row r="262" ht="15.75" customHeight="1">
      <c r="A262" s="12"/>
      <c r="B262" s="12"/>
      <c r="C262" s="12"/>
      <c r="D262" s="12"/>
    </row>
    <row r="263" ht="15.75" customHeight="1">
      <c r="A263" s="12"/>
      <c r="B263" s="12"/>
      <c r="C263" s="12"/>
      <c r="D263" s="12"/>
    </row>
    <row r="264" ht="15.75" customHeight="1">
      <c r="A264" s="12"/>
      <c r="B264" s="12"/>
      <c r="C264" s="12"/>
      <c r="D264" s="12"/>
    </row>
    <row r="265" ht="15.75" customHeight="1">
      <c r="A265" s="12"/>
      <c r="B265" s="12"/>
      <c r="C265" s="12"/>
      <c r="D265" s="12"/>
    </row>
    <row r="266" ht="15.75" customHeight="1">
      <c r="A266" s="12"/>
      <c r="B266" s="12"/>
      <c r="C266" s="12"/>
      <c r="D266" s="12"/>
    </row>
    <row r="267" ht="15.75" customHeight="1">
      <c r="A267" s="12"/>
      <c r="B267" s="12"/>
      <c r="C267" s="12"/>
      <c r="D267" s="12"/>
    </row>
    <row r="268" ht="15.75" customHeight="1">
      <c r="A268" s="12"/>
      <c r="B268" s="12"/>
      <c r="C268" s="12"/>
      <c r="D268" s="12"/>
    </row>
    <row r="269" ht="15.75" customHeight="1">
      <c r="A269" s="12"/>
      <c r="B269" s="12"/>
      <c r="C269" s="12"/>
      <c r="D269" s="12"/>
    </row>
    <row r="270" ht="15.75" customHeight="1">
      <c r="A270" s="12"/>
      <c r="B270" s="12"/>
      <c r="C270" s="12"/>
      <c r="D270" s="12"/>
    </row>
    <row r="271" ht="15.75" customHeight="1">
      <c r="A271" s="12"/>
      <c r="B271" s="12"/>
      <c r="C271" s="12"/>
      <c r="D271" s="12"/>
    </row>
    <row r="272" ht="15.75" customHeight="1">
      <c r="A272" s="12"/>
      <c r="B272" s="12"/>
      <c r="C272" s="12"/>
      <c r="D272" s="12"/>
    </row>
    <row r="273" ht="15.75" customHeight="1">
      <c r="A273" s="12"/>
      <c r="B273" s="12"/>
      <c r="C273" s="12"/>
      <c r="D273" s="12"/>
    </row>
    <row r="274" ht="15.75" customHeight="1">
      <c r="A274" s="12"/>
      <c r="B274" s="12"/>
      <c r="C274" s="12"/>
      <c r="D274" s="12"/>
    </row>
    <row r="275" ht="15.75" customHeight="1">
      <c r="A275" s="12"/>
      <c r="B275" s="12"/>
      <c r="C275" s="12"/>
      <c r="D275" s="12"/>
    </row>
    <row r="276" ht="15.75" customHeight="1">
      <c r="A276" s="12"/>
      <c r="B276" s="12"/>
      <c r="C276" s="12"/>
      <c r="D276" s="12"/>
    </row>
    <row r="277" ht="15.75" customHeight="1">
      <c r="A277" s="12"/>
      <c r="B277" s="12"/>
      <c r="C277" s="12"/>
      <c r="D277" s="12"/>
    </row>
    <row r="278" ht="15.75" customHeight="1">
      <c r="A278" s="12"/>
      <c r="B278" s="12"/>
      <c r="C278" s="12"/>
      <c r="D278" s="12"/>
    </row>
    <row r="279" ht="15.75" customHeight="1">
      <c r="A279" s="12"/>
      <c r="B279" s="12"/>
      <c r="C279" s="12"/>
      <c r="D279" s="12"/>
    </row>
    <row r="280" ht="15.75" customHeight="1">
      <c r="A280" s="12"/>
      <c r="B280" s="12"/>
      <c r="C280" s="12"/>
      <c r="D280" s="12"/>
    </row>
    <row r="281" ht="15.75" customHeight="1">
      <c r="A281" s="12"/>
      <c r="B281" s="12"/>
      <c r="C281" s="12"/>
      <c r="D281" s="12"/>
    </row>
    <row r="282" ht="15.75" customHeight="1">
      <c r="A282" s="12"/>
      <c r="B282" s="12"/>
      <c r="C282" s="12"/>
      <c r="D282" s="12"/>
    </row>
    <row r="283" ht="15.75" customHeight="1">
      <c r="A283" s="12"/>
      <c r="B283" s="12"/>
      <c r="C283" s="12"/>
      <c r="D283" s="12"/>
    </row>
    <row r="284" ht="15.75" customHeight="1">
      <c r="A284" s="12"/>
      <c r="B284" s="12"/>
      <c r="C284" s="12"/>
      <c r="D284" s="12"/>
    </row>
    <row r="285" ht="15.75" customHeight="1">
      <c r="A285" s="12"/>
      <c r="B285" s="12"/>
      <c r="C285" s="12"/>
      <c r="D285" s="12"/>
    </row>
    <row r="286" ht="15.75" customHeight="1">
      <c r="A286" s="12"/>
      <c r="B286" s="12"/>
      <c r="C286" s="12"/>
      <c r="D286" s="12"/>
    </row>
    <row r="287" ht="15.75" customHeight="1">
      <c r="A287" s="12"/>
      <c r="B287" s="12"/>
      <c r="C287" s="12"/>
      <c r="D287" s="12"/>
    </row>
    <row r="288" ht="15.75" customHeight="1">
      <c r="A288" s="12"/>
      <c r="B288" s="12"/>
      <c r="C288" s="12"/>
      <c r="D288" s="12"/>
    </row>
    <row r="289" ht="15.75" customHeight="1">
      <c r="A289" s="12"/>
      <c r="B289" s="12"/>
      <c r="C289" s="12"/>
      <c r="D289" s="12"/>
    </row>
    <row r="290" ht="15.75" customHeight="1">
      <c r="A290" s="12"/>
      <c r="B290" s="12"/>
      <c r="C290" s="12"/>
      <c r="D290" s="12"/>
    </row>
    <row r="291" ht="15.75" customHeight="1">
      <c r="A291" s="12"/>
      <c r="B291" s="12"/>
      <c r="C291" s="12"/>
      <c r="D291" s="12"/>
    </row>
    <row r="292" ht="15.75" customHeight="1">
      <c r="A292" s="12"/>
      <c r="B292" s="12"/>
      <c r="C292" s="12"/>
      <c r="D292" s="12"/>
    </row>
    <row r="293" ht="15.75" customHeight="1">
      <c r="A293" s="12"/>
      <c r="B293" s="12"/>
      <c r="C293" s="12"/>
      <c r="D293" s="12"/>
    </row>
    <row r="294" ht="15.75" customHeight="1">
      <c r="A294" s="12"/>
      <c r="B294" s="12"/>
      <c r="C294" s="12"/>
      <c r="D294" s="12"/>
    </row>
    <row r="295" ht="15.75" customHeight="1">
      <c r="A295" s="12"/>
      <c r="B295" s="12"/>
      <c r="C295" s="12"/>
      <c r="D295" s="12"/>
    </row>
    <row r="296" ht="15.75" customHeight="1">
      <c r="A296" s="12"/>
      <c r="B296" s="12"/>
      <c r="C296" s="12"/>
      <c r="D296" s="12"/>
    </row>
    <row r="297" ht="15.75" customHeight="1">
      <c r="A297" s="12"/>
      <c r="B297" s="12"/>
      <c r="C297" s="12"/>
      <c r="D297" s="12"/>
    </row>
    <row r="298" ht="15.75" customHeight="1">
      <c r="A298" s="12"/>
      <c r="B298" s="12"/>
      <c r="C298" s="12"/>
      <c r="D298" s="12"/>
    </row>
    <row r="299" ht="15.75" customHeight="1">
      <c r="A299" s="12"/>
      <c r="B299" s="12"/>
      <c r="C299" s="12"/>
      <c r="D299" s="12"/>
    </row>
    <row r="300" ht="15.75" customHeight="1">
      <c r="A300" s="12"/>
      <c r="B300" s="12"/>
      <c r="C300" s="12"/>
      <c r="D300" s="12"/>
    </row>
    <row r="301" ht="15.75" customHeight="1">
      <c r="A301" s="12"/>
      <c r="B301" s="12"/>
      <c r="C301" s="12"/>
      <c r="D301" s="12"/>
    </row>
    <row r="302" ht="15.75" customHeight="1">
      <c r="A302" s="12"/>
      <c r="B302" s="12"/>
      <c r="C302" s="12"/>
      <c r="D302" s="12"/>
    </row>
    <row r="303" ht="15.75" customHeight="1">
      <c r="A303" s="12"/>
      <c r="B303" s="12"/>
      <c r="C303" s="12"/>
      <c r="D303" s="12"/>
    </row>
    <row r="304" ht="15.75" customHeight="1">
      <c r="A304" s="12"/>
      <c r="B304" s="12"/>
      <c r="C304" s="12"/>
      <c r="D304" s="12"/>
    </row>
    <row r="305" ht="15.75" customHeight="1">
      <c r="A305" s="12"/>
      <c r="B305" s="12"/>
      <c r="C305" s="12"/>
      <c r="D305" s="12"/>
    </row>
    <row r="306" ht="15.75" customHeight="1">
      <c r="A306" s="12"/>
      <c r="B306" s="12"/>
      <c r="C306" s="12"/>
      <c r="D306" s="12"/>
    </row>
    <row r="307" ht="15.75" customHeight="1">
      <c r="A307" s="12"/>
      <c r="B307" s="12"/>
      <c r="C307" s="12"/>
      <c r="D307" s="12"/>
    </row>
    <row r="308" ht="15.75" customHeight="1">
      <c r="A308" s="12"/>
      <c r="B308" s="12"/>
      <c r="C308" s="12"/>
      <c r="D308" s="12"/>
    </row>
    <row r="309" ht="15.75" customHeight="1">
      <c r="A309" s="12"/>
      <c r="B309" s="12"/>
      <c r="C309" s="12"/>
      <c r="D309" s="12"/>
    </row>
    <row r="310" ht="15.75" customHeight="1">
      <c r="A310" s="12"/>
      <c r="B310" s="12"/>
      <c r="C310" s="12"/>
      <c r="D310" s="12"/>
    </row>
    <row r="311" ht="15.75" customHeight="1">
      <c r="A311" s="12"/>
      <c r="B311" s="12"/>
      <c r="C311" s="12"/>
      <c r="D311" s="12"/>
    </row>
    <row r="312" ht="15.75" customHeight="1">
      <c r="A312" s="12"/>
      <c r="B312" s="12"/>
      <c r="C312" s="12"/>
      <c r="D312" s="12"/>
    </row>
    <row r="313" ht="15.75" customHeight="1">
      <c r="A313" s="12"/>
      <c r="B313" s="12"/>
      <c r="C313" s="12"/>
      <c r="D313" s="12"/>
    </row>
    <row r="314" ht="15.75" customHeight="1">
      <c r="A314" s="12"/>
      <c r="B314" s="12"/>
      <c r="C314" s="12"/>
      <c r="D314" s="12"/>
    </row>
    <row r="315" ht="15.75" customHeight="1">
      <c r="A315" s="12"/>
      <c r="B315" s="12"/>
      <c r="C315" s="12"/>
      <c r="D315" s="12"/>
    </row>
    <row r="316" ht="15.75" customHeight="1">
      <c r="A316" s="12"/>
      <c r="B316" s="12"/>
      <c r="C316" s="12"/>
      <c r="D316" s="12"/>
    </row>
    <row r="317" ht="15.75" customHeight="1">
      <c r="A317" s="12"/>
      <c r="B317" s="12"/>
      <c r="C317" s="12"/>
      <c r="D317" s="12"/>
    </row>
    <row r="318" ht="15.75" customHeight="1">
      <c r="A318" s="12"/>
      <c r="B318" s="12"/>
      <c r="C318" s="12"/>
      <c r="D318" s="12"/>
    </row>
    <row r="319" ht="15.75" customHeight="1">
      <c r="A319" s="12"/>
      <c r="B319" s="12"/>
      <c r="C319" s="12"/>
      <c r="D319" s="12"/>
    </row>
    <row r="320" ht="15.75" customHeight="1">
      <c r="A320" s="12"/>
      <c r="B320" s="12"/>
      <c r="C320" s="12"/>
      <c r="D320" s="12"/>
    </row>
    <row r="321" ht="15.75" customHeight="1">
      <c r="A321" s="12"/>
      <c r="B321" s="12"/>
      <c r="C321" s="12"/>
      <c r="D321" s="12"/>
    </row>
    <row r="322" ht="15.75" customHeight="1">
      <c r="A322" s="12"/>
      <c r="B322" s="12"/>
      <c r="C322" s="12"/>
      <c r="D322" s="12"/>
    </row>
    <row r="323" ht="15.75" customHeight="1">
      <c r="A323" s="12"/>
      <c r="B323" s="12"/>
      <c r="C323" s="12"/>
      <c r="D323" s="12"/>
    </row>
    <row r="324" ht="15.75" customHeight="1">
      <c r="A324" s="12"/>
      <c r="B324" s="12"/>
      <c r="C324" s="12"/>
      <c r="D324" s="12"/>
    </row>
    <row r="325" ht="15.75" customHeight="1">
      <c r="A325" s="12"/>
      <c r="B325" s="12"/>
      <c r="C325" s="12"/>
      <c r="D325" s="12"/>
    </row>
    <row r="326" ht="15.75" customHeight="1">
      <c r="A326" s="12"/>
      <c r="B326" s="12"/>
      <c r="C326" s="12"/>
      <c r="D326" s="12"/>
    </row>
    <row r="327" ht="15.75" customHeight="1">
      <c r="A327" s="12"/>
      <c r="B327" s="12"/>
      <c r="C327" s="12"/>
      <c r="D327" s="12"/>
    </row>
    <row r="328" ht="15.75" customHeight="1">
      <c r="A328" s="12"/>
      <c r="B328" s="12"/>
      <c r="C328" s="12"/>
      <c r="D328" s="12"/>
    </row>
    <row r="329" ht="15.75" customHeight="1">
      <c r="A329" s="12"/>
      <c r="B329" s="12"/>
      <c r="C329" s="12"/>
      <c r="D329" s="12"/>
    </row>
    <row r="330" ht="15.75" customHeight="1">
      <c r="A330" s="12"/>
      <c r="B330" s="12"/>
      <c r="C330" s="12"/>
      <c r="D330" s="12"/>
    </row>
    <row r="331" ht="15.75" customHeight="1">
      <c r="A331" s="12"/>
      <c r="B331" s="12"/>
      <c r="C331" s="12"/>
      <c r="D331" s="12"/>
    </row>
    <row r="332" ht="15.75" customHeight="1">
      <c r="A332" s="12"/>
      <c r="B332" s="12"/>
      <c r="C332" s="12"/>
      <c r="D332" s="12"/>
    </row>
    <row r="333" ht="15.75" customHeight="1">
      <c r="A333" s="12"/>
      <c r="B333" s="12"/>
      <c r="C333" s="12"/>
      <c r="D333" s="12"/>
    </row>
    <row r="334" ht="15.75" customHeight="1">
      <c r="A334" s="12"/>
      <c r="B334" s="12"/>
      <c r="C334" s="12"/>
      <c r="D334" s="12"/>
    </row>
    <row r="335" ht="15.75" customHeight="1">
      <c r="A335" s="12"/>
      <c r="B335" s="12"/>
      <c r="C335" s="12"/>
      <c r="D335" s="12"/>
    </row>
    <row r="336" ht="15.75" customHeight="1">
      <c r="A336" s="12"/>
      <c r="B336" s="12"/>
      <c r="C336" s="12"/>
      <c r="D336" s="12"/>
    </row>
    <row r="337" ht="15.75" customHeight="1">
      <c r="A337" s="12"/>
      <c r="B337" s="12"/>
      <c r="C337" s="12"/>
      <c r="D337" s="12"/>
    </row>
    <row r="338" ht="15.75" customHeight="1">
      <c r="A338" s="12"/>
      <c r="B338" s="12"/>
      <c r="C338" s="12"/>
      <c r="D338" s="12"/>
    </row>
    <row r="339" ht="15.75" customHeight="1">
      <c r="A339" s="12"/>
      <c r="B339" s="12"/>
      <c r="C339" s="12"/>
      <c r="D339" s="12"/>
    </row>
    <row r="340" ht="15.75" customHeight="1">
      <c r="A340" s="12"/>
      <c r="B340" s="12"/>
      <c r="C340" s="12"/>
      <c r="D340" s="12"/>
    </row>
    <row r="341" ht="15.75" customHeight="1">
      <c r="A341" s="12"/>
      <c r="B341" s="12"/>
      <c r="C341" s="12"/>
      <c r="D341" s="12"/>
    </row>
    <row r="342" ht="15.75" customHeight="1">
      <c r="A342" s="12"/>
      <c r="B342" s="12"/>
      <c r="C342" s="12"/>
      <c r="D342" s="12"/>
    </row>
    <row r="343" ht="15.75" customHeight="1">
      <c r="A343" s="12"/>
      <c r="B343" s="12"/>
      <c r="C343" s="12"/>
      <c r="D343" s="12"/>
    </row>
    <row r="344" ht="15.75" customHeight="1">
      <c r="A344" s="12"/>
      <c r="B344" s="12"/>
      <c r="C344" s="12"/>
      <c r="D344" s="12"/>
    </row>
    <row r="345" ht="15.75" customHeight="1">
      <c r="A345" s="12"/>
      <c r="B345" s="12"/>
      <c r="C345" s="12"/>
      <c r="D345" s="12"/>
    </row>
    <row r="346" ht="15.75" customHeight="1">
      <c r="A346" s="12"/>
      <c r="B346" s="12"/>
      <c r="C346" s="12"/>
      <c r="D346" s="12"/>
    </row>
    <row r="347" ht="15.75" customHeight="1">
      <c r="A347" s="12"/>
      <c r="B347" s="12"/>
      <c r="C347" s="12"/>
      <c r="D347" s="12"/>
    </row>
    <row r="348" ht="15.75" customHeight="1">
      <c r="A348" s="12"/>
      <c r="B348" s="12"/>
      <c r="C348" s="12"/>
      <c r="D348" s="12"/>
    </row>
    <row r="349" ht="15.75" customHeight="1">
      <c r="A349" s="12"/>
      <c r="B349" s="12"/>
      <c r="C349" s="12"/>
      <c r="D349" s="12"/>
    </row>
    <row r="350" ht="15.75" customHeight="1">
      <c r="A350" s="12"/>
      <c r="B350" s="12"/>
      <c r="C350" s="12"/>
      <c r="D350" s="12"/>
    </row>
    <row r="351" ht="15.75" customHeight="1">
      <c r="A351" s="12"/>
      <c r="B351" s="12"/>
      <c r="C351" s="12"/>
      <c r="D351" s="12"/>
    </row>
    <row r="352" ht="15.75" customHeight="1">
      <c r="A352" s="12"/>
      <c r="B352" s="12"/>
      <c r="C352" s="12"/>
      <c r="D352" s="12"/>
    </row>
    <row r="353" ht="15.75" customHeight="1">
      <c r="A353" s="12"/>
      <c r="B353" s="12"/>
      <c r="C353" s="12"/>
      <c r="D353" s="12"/>
    </row>
    <row r="354" ht="15.75" customHeight="1">
      <c r="A354" s="12"/>
      <c r="B354" s="12"/>
      <c r="C354" s="12"/>
      <c r="D354" s="12"/>
    </row>
    <row r="355" ht="15.75" customHeight="1">
      <c r="A355" s="12"/>
      <c r="B355" s="12"/>
      <c r="C355" s="12"/>
      <c r="D355" s="12"/>
    </row>
    <row r="356" ht="15.75" customHeight="1">
      <c r="A356" s="12"/>
      <c r="B356" s="12"/>
      <c r="C356" s="12"/>
      <c r="D356" s="12"/>
    </row>
    <row r="357" ht="15.75" customHeight="1">
      <c r="A357" s="12"/>
      <c r="B357" s="12"/>
      <c r="C357" s="12"/>
      <c r="D357" s="12"/>
    </row>
    <row r="358" ht="15.75" customHeight="1">
      <c r="A358" s="12"/>
      <c r="B358" s="12"/>
      <c r="C358" s="12"/>
      <c r="D358" s="12"/>
    </row>
    <row r="359" ht="15.75" customHeight="1">
      <c r="A359" s="12"/>
      <c r="B359" s="12"/>
      <c r="C359" s="12"/>
      <c r="D359" s="12"/>
    </row>
    <row r="360" ht="15.75" customHeight="1">
      <c r="A360" s="12"/>
      <c r="B360" s="12"/>
      <c r="C360" s="12"/>
      <c r="D360" s="12"/>
    </row>
    <row r="361" ht="15.75" customHeight="1">
      <c r="A361" s="12"/>
      <c r="B361" s="12"/>
      <c r="C361" s="12"/>
      <c r="D361" s="12"/>
    </row>
    <row r="362" ht="15.75" customHeight="1">
      <c r="A362" s="12"/>
      <c r="B362" s="12"/>
      <c r="C362" s="12"/>
      <c r="D362" s="12"/>
    </row>
    <row r="363" ht="15.75" customHeight="1">
      <c r="A363" s="12"/>
      <c r="B363" s="12"/>
      <c r="C363" s="12"/>
      <c r="D363" s="12"/>
    </row>
    <row r="364" ht="15.75" customHeight="1">
      <c r="A364" s="12"/>
      <c r="B364" s="12"/>
      <c r="C364" s="12"/>
      <c r="D364" s="12"/>
    </row>
    <row r="365" ht="15.75" customHeight="1">
      <c r="A365" s="12"/>
      <c r="B365" s="12"/>
      <c r="C365" s="12"/>
      <c r="D365" s="12"/>
    </row>
    <row r="366" ht="15.75" customHeight="1">
      <c r="A366" s="12"/>
      <c r="B366" s="12"/>
      <c r="C366" s="12"/>
      <c r="D366" s="12"/>
    </row>
    <row r="367" ht="15.75" customHeight="1">
      <c r="A367" s="12"/>
      <c r="B367" s="12"/>
      <c r="C367" s="12"/>
      <c r="D367" s="12"/>
    </row>
    <row r="368" ht="15.75" customHeight="1">
      <c r="A368" s="12"/>
      <c r="B368" s="12"/>
      <c r="C368" s="12"/>
      <c r="D368" s="12"/>
    </row>
    <row r="369" ht="15.75" customHeight="1">
      <c r="A369" s="12"/>
      <c r="B369" s="12"/>
      <c r="C369" s="12"/>
      <c r="D369" s="12"/>
    </row>
    <row r="370" ht="15.75" customHeight="1">
      <c r="A370" s="12"/>
      <c r="B370" s="12"/>
      <c r="C370" s="12"/>
      <c r="D370" s="12"/>
    </row>
    <row r="371" ht="15.75" customHeight="1">
      <c r="A371" s="12"/>
      <c r="B371" s="12"/>
      <c r="C371" s="12"/>
      <c r="D371" s="12"/>
    </row>
    <row r="372" ht="15.75" customHeight="1">
      <c r="A372" s="12"/>
      <c r="B372" s="12"/>
      <c r="C372" s="12"/>
      <c r="D372" s="12"/>
    </row>
    <row r="373" ht="15.75" customHeight="1">
      <c r="A373" s="12"/>
      <c r="B373" s="12"/>
      <c r="C373" s="12"/>
      <c r="D373" s="12"/>
    </row>
    <row r="374" ht="15.75" customHeight="1">
      <c r="A374" s="12"/>
      <c r="B374" s="12"/>
      <c r="C374" s="12"/>
      <c r="D374" s="12"/>
    </row>
    <row r="375" ht="15.75" customHeight="1">
      <c r="A375" s="12"/>
      <c r="B375" s="12"/>
      <c r="C375" s="12"/>
      <c r="D375" s="12"/>
    </row>
    <row r="376" ht="15.75" customHeight="1">
      <c r="A376" s="12"/>
      <c r="B376" s="12"/>
      <c r="C376" s="12"/>
      <c r="D376" s="12"/>
    </row>
    <row r="377" ht="15.75" customHeight="1">
      <c r="A377" s="12"/>
      <c r="B377" s="12"/>
      <c r="C377" s="12"/>
      <c r="D377" s="12"/>
    </row>
    <row r="378" ht="15.75" customHeight="1">
      <c r="A378" s="12"/>
      <c r="B378" s="12"/>
      <c r="C378" s="12"/>
      <c r="D378" s="12"/>
    </row>
    <row r="379" ht="15.75" customHeight="1">
      <c r="A379" s="12"/>
      <c r="B379" s="12"/>
      <c r="C379" s="12"/>
      <c r="D379" s="12"/>
    </row>
    <row r="380" ht="15.75" customHeight="1">
      <c r="A380" s="12"/>
      <c r="B380" s="12"/>
      <c r="C380" s="12"/>
      <c r="D380" s="12"/>
    </row>
    <row r="381" ht="15.75" customHeight="1">
      <c r="A381" s="12"/>
      <c r="B381" s="12"/>
      <c r="C381" s="12"/>
      <c r="D381" s="12"/>
    </row>
    <row r="382" ht="15.75" customHeight="1">
      <c r="A382" s="12"/>
      <c r="B382" s="12"/>
      <c r="C382" s="12"/>
      <c r="D382" s="12"/>
    </row>
    <row r="383" ht="15.75" customHeight="1">
      <c r="A383" s="12"/>
      <c r="B383" s="12"/>
      <c r="C383" s="12"/>
      <c r="D383" s="12"/>
    </row>
    <row r="384" ht="15.75" customHeight="1">
      <c r="A384" s="12"/>
      <c r="B384" s="12"/>
      <c r="C384" s="12"/>
      <c r="D384" s="12"/>
    </row>
    <row r="385" ht="15.75" customHeight="1">
      <c r="A385" s="12"/>
      <c r="B385" s="12"/>
      <c r="C385" s="12"/>
      <c r="D385" s="12"/>
    </row>
    <row r="386" ht="15.75" customHeight="1">
      <c r="A386" s="12"/>
      <c r="B386" s="12"/>
      <c r="C386" s="12"/>
      <c r="D386" s="12"/>
    </row>
    <row r="387" ht="15.75" customHeight="1">
      <c r="A387" s="12"/>
      <c r="B387" s="12"/>
      <c r="C387" s="12"/>
      <c r="D387" s="12"/>
    </row>
    <row r="388" ht="15.75" customHeight="1">
      <c r="A388" s="12"/>
      <c r="B388" s="12"/>
      <c r="C388" s="12"/>
      <c r="D388" s="12"/>
    </row>
    <row r="389" ht="15.75" customHeight="1">
      <c r="A389" s="12"/>
      <c r="B389" s="12"/>
      <c r="C389" s="12"/>
      <c r="D389" s="12"/>
    </row>
    <row r="390" ht="15.75" customHeight="1">
      <c r="A390" s="12"/>
      <c r="B390" s="12"/>
      <c r="C390" s="12"/>
      <c r="D390" s="12"/>
    </row>
    <row r="391" ht="15.75" customHeight="1">
      <c r="A391" s="12"/>
      <c r="B391" s="12"/>
      <c r="C391" s="12"/>
      <c r="D391" s="12"/>
    </row>
    <row r="392" ht="15.75" customHeight="1">
      <c r="A392" s="12"/>
      <c r="B392" s="12"/>
      <c r="C392" s="12"/>
      <c r="D392" s="12"/>
    </row>
    <row r="393" ht="15.75" customHeight="1">
      <c r="A393" s="12"/>
      <c r="B393" s="12"/>
      <c r="C393" s="12"/>
      <c r="D393" s="12"/>
    </row>
    <row r="394" ht="15.75" customHeight="1">
      <c r="A394" s="12"/>
      <c r="B394" s="12"/>
      <c r="C394" s="12"/>
      <c r="D394" s="12"/>
    </row>
    <row r="395" ht="15.75" customHeight="1">
      <c r="A395" s="12"/>
      <c r="B395" s="12"/>
      <c r="C395" s="12"/>
      <c r="D395" s="12"/>
    </row>
    <row r="396" ht="15.75" customHeight="1">
      <c r="A396" s="12"/>
      <c r="B396" s="12"/>
      <c r="C396" s="12"/>
      <c r="D396" s="12"/>
    </row>
    <row r="397" ht="15.75" customHeight="1">
      <c r="A397" s="12"/>
      <c r="B397" s="12"/>
      <c r="C397" s="12"/>
      <c r="D397" s="12"/>
    </row>
    <row r="398" ht="15.75" customHeight="1">
      <c r="A398" s="12"/>
      <c r="B398" s="12"/>
      <c r="C398" s="12"/>
      <c r="D398" s="12"/>
    </row>
    <row r="399" ht="15.75" customHeight="1">
      <c r="A399" s="12"/>
      <c r="B399" s="12"/>
      <c r="C399" s="12"/>
      <c r="D399" s="12"/>
    </row>
    <row r="400" ht="15.75" customHeight="1">
      <c r="A400" s="12"/>
      <c r="B400" s="12"/>
      <c r="C400" s="12"/>
      <c r="D400" s="12"/>
    </row>
    <row r="401" ht="15.75" customHeight="1">
      <c r="A401" s="12"/>
      <c r="B401" s="12"/>
      <c r="C401" s="12"/>
      <c r="D401" s="12"/>
    </row>
    <row r="402" ht="15.75" customHeight="1">
      <c r="A402" s="12"/>
      <c r="B402" s="12"/>
      <c r="C402" s="12"/>
      <c r="D402" s="12"/>
    </row>
    <row r="403" ht="15.75" customHeight="1">
      <c r="A403" s="12"/>
      <c r="B403" s="12"/>
      <c r="C403" s="12"/>
      <c r="D403" s="12"/>
    </row>
    <row r="404" ht="15.75" customHeight="1">
      <c r="A404" s="12"/>
      <c r="B404" s="12"/>
      <c r="C404" s="12"/>
      <c r="D404" s="12"/>
    </row>
    <row r="405" ht="15.75" customHeight="1">
      <c r="A405" s="12"/>
      <c r="B405" s="12"/>
      <c r="C405" s="12"/>
      <c r="D405" s="12"/>
    </row>
    <row r="406" ht="15.75" customHeight="1">
      <c r="A406" s="12"/>
      <c r="B406" s="12"/>
      <c r="C406" s="12"/>
      <c r="D406" s="12"/>
    </row>
    <row r="407" ht="15.75" customHeight="1">
      <c r="A407" s="12"/>
      <c r="B407" s="12"/>
      <c r="C407" s="12"/>
      <c r="D407" s="12"/>
    </row>
    <row r="408" ht="15.75" customHeight="1">
      <c r="A408" s="12"/>
      <c r="B408" s="12"/>
      <c r="C408" s="12"/>
      <c r="D408" s="12"/>
    </row>
    <row r="409" ht="15.75" customHeight="1">
      <c r="A409" s="12"/>
      <c r="B409" s="12"/>
      <c r="C409" s="12"/>
      <c r="D409" s="12"/>
    </row>
    <row r="410" ht="15.75" customHeight="1">
      <c r="A410" s="12"/>
      <c r="B410" s="12"/>
      <c r="C410" s="12"/>
      <c r="D410" s="12"/>
    </row>
    <row r="411" ht="15.75" customHeight="1">
      <c r="A411" s="12"/>
      <c r="B411" s="12"/>
      <c r="C411" s="12"/>
      <c r="D411" s="12"/>
    </row>
    <row r="412" ht="15.75" customHeight="1">
      <c r="A412" s="12"/>
      <c r="B412" s="12"/>
      <c r="C412" s="12"/>
      <c r="D412" s="12"/>
    </row>
    <row r="413" ht="15.75" customHeight="1">
      <c r="A413" s="12"/>
      <c r="B413" s="12"/>
      <c r="C413" s="12"/>
      <c r="D413" s="12"/>
    </row>
    <row r="414" ht="15.75" customHeight="1">
      <c r="A414" s="12"/>
      <c r="B414" s="12"/>
      <c r="C414" s="12"/>
      <c r="D414" s="12"/>
    </row>
    <row r="415" ht="15.75" customHeight="1">
      <c r="A415" s="12"/>
      <c r="B415" s="12"/>
      <c r="C415" s="12"/>
      <c r="D415" s="12"/>
    </row>
    <row r="416" ht="15.75" customHeight="1">
      <c r="A416" s="12"/>
      <c r="B416" s="12"/>
      <c r="C416" s="12"/>
      <c r="D416" s="12"/>
    </row>
    <row r="417" ht="15.75" customHeight="1">
      <c r="A417" s="12"/>
      <c r="B417" s="12"/>
      <c r="C417" s="12"/>
      <c r="D417" s="12"/>
    </row>
    <row r="418" ht="15.75" customHeight="1">
      <c r="A418" s="12"/>
      <c r="B418" s="12"/>
      <c r="C418" s="12"/>
      <c r="D418" s="12"/>
    </row>
    <row r="419" ht="15.75" customHeight="1">
      <c r="A419" s="12"/>
      <c r="B419" s="12"/>
      <c r="C419" s="12"/>
      <c r="D419" s="12"/>
    </row>
    <row r="420" ht="15.75" customHeight="1">
      <c r="A420" s="12"/>
      <c r="B420" s="12"/>
      <c r="C420" s="12"/>
      <c r="D420" s="12"/>
    </row>
    <row r="421" ht="15.75" customHeight="1">
      <c r="A421" s="12"/>
      <c r="B421" s="12"/>
      <c r="C421" s="12"/>
      <c r="D421" s="12"/>
    </row>
    <row r="422" ht="15.75" customHeight="1">
      <c r="A422" s="12"/>
      <c r="B422" s="12"/>
      <c r="C422" s="12"/>
      <c r="D422" s="12"/>
    </row>
    <row r="423" ht="15.75" customHeight="1">
      <c r="A423" s="12"/>
      <c r="B423" s="12"/>
      <c r="C423" s="12"/>
      <c r="D423" s="12"/>
    </row>
    <row r="424" ht="15.75" customHeight="1">
      <c r="A424" s="12"/>
      <c r="B424" s="12"/>
      <c r="C424" s="12"/>
      <c r="D424" s="12"/>
    </row>
    <row r="425" ht="15.75" customHeight="1">
      <c r="A425" s="12"/>
      <c r="B425" s="12"/>
      <c r="C425" s="12"/>
      <c r="D425" s="12"/>
    </row>
    <row r="426" ht="15.75" customHeight="1">
      <c r="A426" s="12"/>
      <c r="B426" s="12"/>
      <c r="C426" s="12"/>
      <c r="D426" s="12"/>
    </row>
    <row r="427" ht="15.75" customHeight="1">
      <c r="A427" s="12"/>
      <c r="B427" s="12"/>
      <c r="C427" s="12"/>
      <c r="D427" s="12"/>
    </row>
    <row r="428" ht="15.75" customHeight="1">
      <c r="A428" s="12"/>
      <c r="B428" s="12"/>
      <c r="C428" s="12"/>
      <c r="D428" s="12"/>
    </row>
    <row r="429" ht="15.75" customHeight="1">
      <c r="A429" s="12"/>
      <c r="B429" s="12"/>
      <c r="C429" s="12"/>
      <c r="D429" s="12"/>
    </row>
    <row r="430" ht="15.75" customHeight="1">
      <c r="A430" s="12"/>
      <c r="B430" s="12"/>
      <c r="C430" s="12"/>
      <c r="D430" s="12"/>
    </row>
    <row r="431" ht="15.75" customHeight="1">
      <c r="A431" s="12"/>
      <c r="B431" s="12"/>
      <c r="C431" s="12"/>
      <c r="D431" s="12"/>
    </row>
    <row r="432" ht="15.75" customHeight="1">
      <c r="A432" s="12"/>
      <c r="B432" s="12"/>
      <c r="C432" s="12"/>
      <c r="D432" s="12"/>
    </row>
    <row r="433" ht="15.75" customHeight="1">
      <c r="A433" s="12"/>
      <c r="B433" s="12"/>
      <c r="C433" s="12"/>
      <c r="D433" s="12"/>
    </row>
    <row r="434" ht="15.75" customHeight="1">
      <c r="A434" s="12"/>
      <c r="B434" s="12"/>
      <c r="C434" s="12"/>
      <c r="D434" s="12"/>
    </row>
    <row r="435" ht="15.75" customHeight="1">
      <c r="A435" s="12"/>
      <c r="B435" s="12"/>
      <c r="C435" s="12"/>
      <c r="D435" s="12"/>
    </row>
    <row r="436" ht="15.75" customHeight="1">
      <c r="A436" s="12"/>
      <c r="B436" s="12"/>
      <c r="C436" s="12"/>
      <c r="D436" s="12"/>
    </row>
    <row r="437" ht="15.75" customHeight="1">
      <c r="A437" s="12"/>
      <c r="B437" s="12"/>
      <c r="C437" s="12"/>
      <c r="D437" s="12"/>
    </row>
    <row r="438" ht="15.75" customHeight="1">
      <c r="A438" s="12"/>
      <c r="B438" s="12"/>
      <c r="C438" s="12"/>
      <c r="D438" s="12"/>
    </row>
    <row r="439" ht="15.75" customHeight="1">
      <c r="A439" s="12"/>
      <c r="B439" s="12"/>
      <c r="C439" s="12"/>
      <c r="D439" s="12"/>
    </row>
    <row r="440" ht="15.75" customHeight="1">
      <c r="A440" s="12"/>
      <c r="B440" s="12"/>
      <c r="C440" s="12"/>
      <c r="D440" s="12"/>
    </row>
    <row r="441" ht="15.75" customHeight="1">
      <c r="A441" s="12"/>
      <c r="B441" s="12"/>
      <c r="C441" s="12"/>
      <c r="D441" s="12"/>
    </row>
    <row r="442" ht="15.75" customHeight="1">
      <c r="A442" s="12"/>
      <c r="B442" s="12"/>
      <c r="C442" s="12"/>
      <c r="D442" s="12"/>
    </row>
    <row r="443" ht="15.75" customHeight="1">
      <c r="A443" s="12"/>
      <c r="B443" s="12"/>
      <c r="C443" s="12"/>
      <c r="D443" s="12"/>
    </row>
    <row r="444" ht="15.75" customHeight="1">
      <c r="A444" s="12"/>
      <c r="B444" s="12"/>
      <c r="C444" s="12"/>
      <c r="D444" s="12"/>
    </row>
    <row r="445" ht="15.75" customHeight="1">
      <c r="A445" s="12"/>
      <c r="B445" s="12"/>
      <c r="C445" s="12"/>
      <c r="D445" s="12"/>
    </row>
    <row r="446" ht="15.75" customHeight="1">
      <c r="A446" s="12"/>
      <c r="B446" s="12"/>
      <c r="C446" s="12"/>
      <c r="D446" s="12"/>
    </row>
    <row r="447" ht="15.75" customHeight="1">
      <c r="A447" s="12"/>
      <c r="B447" s="12"/>
      <c r="C447" s="12"/>
      <c r="D447" s="12"/>
    </row>
    <row r="448" ht="15.75" customHeight="1">
      <c r="A448" s="12"/>
      <c r="B448" s="12"/>
      <c r="C448" s="12"/>
      <c r="D448" s="12"/>
    </row>
    <row r="449" ht="15.75" customHeight="1">
      <c r="A449" s="12"/>
      <c r="B449" s="12"/>
      <c r="C449" s="12"/>
      <c r="D449" s="12"/>
    </row>
    <row r="450" ht="15.75" customHeight="1">
      <c r="A450" s="12"/>
      <c r="B450" s="12"/>
      <c r="C450" s="12"/>
      <c r="D450" s="12"/>
    </row>
    <row r="451" ht="15.75" customHeight="1">
      <c r="A451" s="12"/>
      <c r="B451" s="12"/>
      <c r="C451" s="12"/>
      <c r="D451" s="12"/>
    </row>
    <row r="452" ht="15.75" customHeight="1">
      <c r="A452" s="12"/>
      <c r="B452" s="12"/>
      <c r="C452" s="12"/>
      <c r="D452" s="12"/>
    </row>
    <row r="453" ht="15.75" customHeight="1">
      <c r="A453" s="12"/>
      <c r="B453" s="12"/>
      <c r="C453" s="12"/>
      <c r="D453" s="12"/>
    </row>
    <row r="454" ht="15.75" customHeight="1">
      <c r="A454" s="12"/>
      <c r="B454" s="12"/>
      <c r="C454" s="12"/>
      <c r="D454" s="12"/>
    </row>
    <row r="455" ht="15.75" customHeight="1">
      <c r="A455" s="12"/>
      <c r="B455" s="12"/>
      <c r="C455" s="12"/>
      <c r="D455" s="12"/>
    </row>
    <row r="456" ht="15.75" customHeight="1">
      <c r="A456" s="12"/>
      <c r="B456" s="12"/>
      <c r="C456" s="12"/>
      <c r="D456" s="12"/>
    </row>
    <row r="457" ht="15.75" customHeight="1">
      <c r="A457" s="12"/>
      <c r="B457" s="12"/>
      <c r="C457" s="12"/>
      <c r="D457" s="12"/>
    </row>
    <row r="458" ht="15.75" customHeight="1">
      <c r="A458" s="12"/>
      <c r="B458" s="12"/>
      <c r="C458" s="12"/>
      <c r="D458" s="12"/>
    </row>
    <row r="459" ht="15.75" customHeight="1">
      <c r="A459" s="12"/>
      <c r="B459" s="12"/>
      <c r="C459" s="12"/>
      <c r="D459" s="12"/>
    </row>
    <row r="460" ht="15.75" customHeight="1">
      <c r="A460" s="12"/>
      <c r="B460" s="12"/>
      <c r="C460" s="12"/>
      <c r="D460" s="12"/>
    </row>
    <row r="461" ht="15.75" customHeight="1">
      <c r="A461" s="12"/>
      <c r="B461" s="12"/>
      <c r="C461" s="12"/>
      <c r="D461" s="12"/>
    </row>
    <row r="462" ht="15.75" customHeight="1">
      <c r="A462" s="12"/>
      <c r="B462" s="12"/>
      <c r="C462" s="12"/>
      <c r="D462" s="12"/>
    </row>
    <row r="463" ht="15.75" customHeight="1">
      <c r="A463" s="12"/>
      <c r="B463" s="12"/>
      <c r="C463" s="12"/>
      <c r="D463" s="12"/>
    </row>
    <row r="464" ht="15.75" customHeight="1">
      <c r="A464" s="12"/>
      <c r="B464" s="12"/>
      <c r="C464" s="12"/>
      <c r="D464" s="12"/>
    </row>
    <row r="465" ht="15.75" customHeight="1">
      <c r="A465" s="12"/>
      <c r="B465" s="12"/>
      <c r="C465" s="12"/>
      <c r="D465" s="12"/>
    </row>
    <row r="466" ht="15.75" customHeight="1">
      <c r="A466" s="12"/>
      <c r="B466" s="12"/>
      <c r="C466" s="12"/>
      <c r="D466" s="12"/>
    </row>
    <row r="467" ht="15.75" customHeight="1">
      <c r="A467" s="12"/>
      <c r="B467" s="12"/>
      <c r="C467" s="12"/>
      <c r="D467" s="12"/>
    </row>
    <row r="468" ht="15.75" customHeight="1">
      <c r="A468" s="12"/>
      <c r="B468" s="12"/>
      <c r="C468" s="12"/>
      <c r="D468" s="12"/>
    </row>
    <row r="469" ht="15.75" customHeight="1">
      <c r="A469" s="12"/>
      <c r="B469" s="12"/>
      <c r="C469" s="12"/>
      <c r="D469" s="12"/>
    </row>
    <row r="470" ht="15.75" customHeight="1">
      <c r="A470" s="12"/>
      <c r="B470" s="12"/>
      <c r="C470" s="12"/>
      <c r="D470" s="12"/>
    </row>
    <row r="471" ht="15.75" customHeight="1">
      <c r="A471" s="12"/>
      <c r="B471" s="12"/>
      <c r="C471" s="12"/>
      <c r="D471" s="12"/>
    </row>
    <row r="472" ht="15.75" customHeight="1">
      <c r="A472" s="12"/>
      <c r="B472" s="12"/>
      <c r="C472" s="12"/>
      <c r="D472" s="12"/>
    </row>
    <row r="473" ht="15.75" customHeight="1">
      <c r="A473" s="12"/>
      <c r="B473" s="12"/>
      <c r="C473" s="12"/>
      <c r="D473" s="12"/>
    </row>
    <row r="474" ht="15.75" customHeight="1">
      <c r="A474" s="12"/>
      <c r="B474" s="12"/>
      <c r="C474" s="12"/>
      <c r="D474" s="12"/>
    </row>
    <row r="475" ht="15.75" customHeight="1">
      <c r="A475" s="12"/>
      <c r="B475" s="12"/>
      <c r="C475" s="12"/>
      <c r="D475" s="12"/>
    </row>
    <row r="476" ht="15.75" customHeight="1">
      <c r="A476" s="12"/>
      <c r="B476" s="12"/>
      <c r="C476" s="12"/>
      <c r="D476" s="12"/>
    </row>
    <row r="477" ht="15.75" customHeight="1">
      <c r="A477" s="12"/>
      <c r="B477" s="12"/>
      <c r="C477" s="12"/>
      <c r="D477" s="12"/>
    </row>
    <row r="478" ht="15.75" customHeight="1">
      <c r="A478" s="12"/>
      <c r="B478" s="12"/>
      <c r="C478" s="12"/>
      <c r="D478" s="12"/>
    </row>
    <row r="479" ht="15.75" customHeight="1">
      <c r="A479" s="12"/>
      <c r="B479" s="12"/>
      <c r="C479" s="12"/>
      <c r="D479" s="12"/>
    </row>
    <row r="480" ht="15.75" customHeight="1">
      <c r="A480" s="12"/>
      <c r="B480" s="12"/>
      <c r="C480" s="12"/>
      <c r="D480" s="12"/>
    </row>
    <row r="481" ht="15.75" customHeight="1">
      <c r="A481" s="12"/>
      <c r="B481" s="12"/>
      <c r="C481" s="12"/>
      <c r="D481" s="12"/>
    </row>
    <row r="482" ht="15.75" customHeight="1">
      <c r="A482" s="12"/>
      <c r="B482" s="12"/>
      <c r="C482" s="12"/>
      <c r="D482" s="12"/>
    </row>
    <row r="483" ht="15.75" customHeight="1">
      <c r="A483" s="12"/>
      <c r="B483" s="12"/>
      <c r="C483" s="12"/>
      <c r="D483" s="12"/>
    </row>
    <row r="484" ht="15.75" customHeight="1">
      <c r="A484" s="12"/>
      <c r="B484" s="12"/>
      <c r="C484" s="12"/>
      <c r="D484" s="12"/>
    </row>
    <row r="485" ht="15.75" customHeight="1">
      <c r="A485" s="12"/>
      <c r="B485" s="12"/>
      <c r="C485" s="12"/>
      <c r="D485" s="12"/>
    </row>
    <row r="486" ht="15.75" customHeight="1">
      <c r="A486" s="12"/>
      <c r="B486" s="12"/>
      <c r="C486" s="12"/>
      <c r="D486" s="12"/>
    </row>
    <row r="487" ht="15.75" customHeight="1">
      <c r="A487" s="12"/>
      <c r="B487" s="12"/>
      <c r="C487" s="12"/>
      <c r="D487" s="12"/>
    </row>
    <row r="488" ht="15.75" customHeight="1">
      <c r="A488" s="12"/>
      <c r="B488" s="12"/>
      <c r="C488" s="12"/>
      <c r="D488" s="12"/>
    </row>
    <row r="489" ht="15.75" customHeight="1">
      <c r="A489" s="12"/>
      <c r="B489" s="12"/>
      <c r="C489" s="12"/>
      <c r="D489" s="12"/>
    </row>
    <row r="490" ht="15.75" customHeight="1">
      <c r="A490" s="12"/>
      <c r="B490" s="12"/>
      <c r="C490" s="12"/>
      <c r="D490" s="12"/>
    </row>
    <row r="491" ht="15.75" customHeight="1">
      <c r="A491" s="12"/>
      <c r="B491" s="12"/>
      <c r="C491" s="12"/>
      <c r="D491" s="12"/>
    </row>
    <row r="492" ht="15.75" customHeight="1">
      <c r="A492" s="12"/>
      <c r="B492" s="12"/>
      <c r="C492" s="12"/>
      <c r="D492" s="12"/>
    </row>
    <row r="493" ht="15.75" customHeight="1">
      <c r="A493" s="12"/>
      <c r="B493" s="12"/>
      <c r="C493" s="12"/>
      <c r="D493" s="12"/>
    </row>
    <row r="494" ht="15.75" customHeight="1">
      <c r="A494" s="12"/>
      <c r="B494" s="12"/>
      <c r="C494" s="12"/>
      <c r="D494" s="12"/>
    </row>
    <row r="495" ht="15.75" customHeight="1">
      <c r="A495" s="12"/>
      <c r="B495" s="12"/>
      <c r="C495" s="12"/>
      <c r="D495" s="12"/>
    </row>
    <row r="496" ht="15.75" customHeight="1">
      <c r="A496" s="12"/>
      <c r="B496" s="12"/>
      <c r="C496" s="12"/>
      <c r="D496" s="12"/>
    </row>
    <row r="497" ht="15.75" customHeight="1">
      <c r="A497" s="12"/>
      <c r="B497" s="12"/>
      <c r="C497" s="12"/>
      <c r="D497" s="12"/>
    </row>
    <row r="498" ht="15.75" customHeight="1">
      <c r="A498" s="12"/>
      <c r="B498" s="12"/>
      <c r="C498" s="12"/>
      <c r="D498" s="12"/>
    </row>
    <row r="499" ht="15.75" customHeight="1">
      <c r="A499" s="12"/>
      <c r="B499" s="12"/>
      <c r="C499" s="12"/>
      <c r="D499" s="12"/>
    </row>
    <row r="500" ht="15.75" customHeight="1">
      <c r="A500" s="12"/>
      <c r="B500" s="12"/>
      <c r="C500" s="12"/>
      <c r="D500" s="12"/>
    </row>
    <row r="501" ht="15.75" customHeight="1">
      <c r="A501" s="12"/>
      <c r="B501" s="12"/>
      <c r="C501" s="12"/>
      <c r="D501" s="12"/>
    </row>
    <row r="502" ht="15.75" customHeight="1">
      <c r="A502" s="12"/>
      <c r="B502" s="12"/>
      <c r="C502" s="12"/>
      <c r="D502" s="12"/>
    </row>
    <row r="503" ht="15.75" customHeight="1">
      <c r="A503" s="12"/>
      <c r="B503" s="12"/>
      <c r="C503" s="12"/>
      <c r="D503" s="12"/>
    </row>
    <row r="504" ht="15.75" customHeight="1">
      <c r="A504" s="12"/>
      <c r="B504" s="12"/>
      <c r="C504" s="12"/>
      <c r="D504" s="12"/>
    </row>
    <row r="505" ht="15.75" customHeight="1">
      <c r="A505" s="12"/>
      <c r="B505" s="12"/>
      <c r="C505" s="12"/>
      <c r="D505" s="12"/>
    </row>
    <row r="506" ht="15.75" customHeight="1">
      <c r="A506" s="12"/>
      <c r="B506" s="12"/>
      <c r="C506" s="12"/>
      <c r="D506" s="12"/>
    </row>
    <row r="507" ht="15.75" customHeight="1">
      <c r="A507" s="12"/>
      <c r="B507" s="12"/>
      <c r="C507" s="12"/>
      <c r="D507" s="12"/>
    </row>
    <row r="508" ht="15.75" customHeight="1">
      <c r="A508" s="12"/>
      <c r="B508" s="12"/>
      <c r="C508" s="12"/>
      <c r="D508" s="12"/>
    </row>
    <row r="509" ht="15.75" customHeight="1">
      <c r="A509" s="12"/>
      <c r="B509" s="12"/>
      <c r="C509" s="12"/>
      <c r="D509" s="12"/>
    </row>
    <row r="510" ht="15.75" customHeight="1">
      <c r="A510" s="12"/>
      <c r="B510" s="12"/>
      <c r="C510" s="12"/>
      <c r="D510" s="12"/>
    </row>
    <row r="511" ht="15.75" customHeight="1">
      <c r="A511" s="12"/>
      <c r="B511" s="12"/>
      <c r="C511" s="12"/>
      <c r="D511" s="12"/>
    </row>
    <row r="512" ht="15.75" customHeight="1">
      <c r="A512" s="12"/>
      <c r="B512" s="12"/>
      <c r="C512" s="12"/>
      <c r="D512" s="12"/>
    </row>
    <row r="513" ht="15.75" customHeight="1">
      <c r="A513" s="12"/>
      <c r="B513" s="12"/>
      <c r="C513" s="12"/>
      <c r="D513" s="12"/>
    </row>
    <row r="514" ht="15.75" customHeight="1">
      <c r="A514" s="12"/>
      <c r="B514" s="12"/>
      <c r="C514" s="12"/>
      <c r="D514" s="12"/>
    </row>
    <row r="515" ht="15.75" customHeight="1">
      <c r="A515" s="12"/>
      <c r="B515" s="12"/>
      <c r="C515" s="12"/>
      <c r="D515" s="12"/>
    </row>
    <row r="516" ht="15.75" customHeight="1">
      <c r="A516" s="12"/>
      <c r="B516" s="12"/>
      <c r="C516" s="12"/>
      <c r="D516" s="12"/>
    </row>
    <row r="517" ht="15.75" customHeight="1">
      <c r="A517" s="12"/>
      <c r="B517" s="12"/>
      <c r="C517" s="12"/>
      <c r="D517" s="12"/>
    </row>
    <row r="518" ht="15.75" customHeight="1">
      <c r="A518" s="12"/>
      <c r="B518" s="12"/>
      <c r="C518" s="12"/>
      <c r="D518" s="12"/>
    </row>
    <row r="519" ht="15.75" customHeight="1">
      <c r="A519" s="12"/>
      <c r="B519" s="12"/>
      <c r="C519" s="12"/>
      <c r="D519" s="12"/>
    </row>
    <row r="520" ht="15.75" customHeight="1">
      <c r="A520" s="12"/>
      <c r="B520" s="12"/>
      <c r="C520" s="12"/>
      <c r="D520" s="12"/>
    </row>
    <row r="521" ht="15.75" customHeight="1">
      <c r="A521" s="12"/>
      <c r="B521" s="12"/>
      <c r="C521" s="12"/>
      <c r="D521" s="12"/>
    </row>
    <row r="522" ht="15.75" customHeight="1">
      <c r="A522" s="12"/>
      <c r="B522" s="12"/>
      <c r="C522" s="12"/>
      <c r="D522" s="12"/>
    </row>
    <row r="523" ht="15.75" customHeight="1">
      <c r="A523" s="12"/>
      <c r="B523" s="12"/>
      <c r="C523" s="12"/>
      <c r="D523" s="12"/>
    </row>
    <row r="524" ht="15.75" customHeight="1">
      <c r="A524" s="12"/>
      <c r="B524" s="12"/>
      <c r="C524" s="12"/>
      <c r="D524" s="12"/>
    </row>
    <row r="525" ht="15.75" customHeight="1">
      <c r="A525" s="12"/>
      <c r="B525" s="12"/>
      <c r="C525" s="12"/>
      <c r="D525" s="12"/>
    </row>
    <row r="526" ht="15.75" customHeight="1">
      <c r="A526" s="12"/>
      <c r="B526" s="12"/>
      <c r="C526" s="12"/>
      <c r="D526" s="12"/>
    </row>
    <row r="527" ht="15.75" customHeight="1">
      <c r="A527" s="12"/>
      <c r="B527" s="12"/>
      <c r="C527" s="12"/>
      <c r="D527" s="12"/>
    </row>
    <row r="528" ht="15.75" customHeight="1">
      <c r="A528" s="12"/>
      <c r="B528" s="12"/>
      <c r="C528" s="12"/>
      <c r="D528" s="12"/>
    </row>
    <row r="529" ht="15.75" customHeight="1">
      <c r="A529" s="12"/>
      <c r="B529" s="12"/>
      <c r="C529" s="12"/>
      <c r="D529" s="12"/>
    </row>
    <row r="530" ht="15.75" customHeight="1">
      <c r="A530" s="12"/>
      <c r="B530" s="12"/>
      <c r="C530" s="12"/>
      <c r="D530" s="12"/>
    </row>
    <row r="531" ht="15.75" customHeight="1">
      <c r="A531" s="12"/>
      <c r="B531" s="12"/>
      <c r="C531" s="12"/>
      <c r="D531" s="12"/>
    </row>
    <row r="532" ht="15.75" customHeight="1">
      <c r="A532" s="12"/>
      <c r="B532" s="12"/>
      <c r="C532" s="12"/>
      <c r="D532" s="12"/>
    </row>
    <row r="533" ht="15.75" customHeight="1">
      <c r="A533" s="12"/>
      <c r="B533" s="12"/>
      <c r="C533" s="12"/>
      <c r="D533" s="12"/>
    </row>
    <row r="534" ht="15.75" customHeight="1">
      <c r="A534" s="12"/>
      <c r="B534" s="12"/>
      <c r="C534" s="12"/>
      <c r="D534" s="12"/>
    </row>
    <row r="535" ht="15.75" customHeight="1">
      <c r="A535" s="12"/>
      <c r="B535" s="12"/>
      <c r="C535" s="12"/>
      <c r="D535" s="12"/>
    </row>
    <row r="536" ht="15.75" customHeight="1">
      <c r="A536" s="12"/>
      <c r="B536" s="12"/>
      <c r="C536" s="12"/>
      <c r="D536" s="12"/>
    </row>
    <row r="537" ht="15.75" customHeight="1">
      <c r="A537" s="12"/>
      <c r="B537" s="12"/>
      <c r="C537" s="12"/>
      <c r="D537" s="12"/>
    </row>
    <row r="538" ht="15.75" customHeight="1">
      <c r="A538" s="12"/>
      <c r="B538" s="12"/>
      <c r="C538" s="12"/>
      <c r="D538" s="12"/>
    </row>
    <row r="539" ht="15.75" customHeight="1">
      <c r="A539" s="12"/>
      <c r="B539" s="12"/>
      <c r="C539" s="12"/>
      <c r="D539" s="12"/>
    </row>
    <row r="540" ht="15.75" customHeight="1">
      <c r="A540" s="12"/>
      <c r="B540" s="12"/>
      <c r="C540" s="12"/>
      <c r="D540" s="12"/>
    </row>
    <row r="541" ht="15.75" customHeight="1">
      <c r="A541" s="12"/>
      <c r="B541" s="12"/>
      <c r="C541" s="12"/>
      <c r="D541" s="12"/>
    </row>
    <row r="542" ht="15.75" customHeight="1">
      <c r="A542" s="12"/>
      <c r="B542" s="12"/>
      <c r="C542" s="12"/>
      <c r="D542" s="12"/>
    </row>
    <row r="543" ht="15.75" customHeight="1">
      <c r="A543" s="12"/>
      <c r="B543" s="12"/>
      <c r="C543" s="12"/>
      <c r="D543" s="12"/>
    </row>
    <row r="544" ht="15.75" customHeight="1">
      <c r="A544" s="12"/>
      <c r="B544" s="12"/>
      <c r="C544" s="12"/>
      <c r="D544" s="12"/>
    </row>
    <row r="545" ht="15.75" customHeight="1">
      <c r="A545" s="12"/>
      <c r="B545" s="12"/>
      <c r="C545" s="12"/>
      <c r="D545" s="12"/>
    </row>
    <row r="546" ht="15.75" customHeight="1">
      <c r="A546" s="12"/>
      <c r="B546" s="12"/>
      <c r="C546" s="12"/>
      <c r="D546" s="12"/>
    </row>
    <row r="547" ht="15.75" customHeight="1">
      <c r="A547" s="12"/>
      <c r="B547" s="12"/>
      <c r="C547" s="12"/>
      <c r="D547" s="12"/>
    </row>
    <row r="548" ht="15.75" customHeight="1">
      <c r="A548" s="12"/>
      <c r="B548" s="12"/>
      <c r="C548" s="12"/>
      <c r="D548" s="12"/>
    </row>
    <row r="549" ht="15.75" customHeight="1">
      <c r="A549" s="12"/>
      <c r="B549" s="12"/>
      <c r="C549" s="12"/>
      <c r="D549" s="12"/>
    </row>
    <row r="550" ht="15.75" customHeight="1">
      <c r="A550" s="12"/>
      <c r="B550" s="12"/>
      <c r="C550" s="12"/>
      <c r="D550" s="12"/>
    </row>
    <row r="551" ht="15.75" customHeight="1">
      <c r="A551" s="12"/>
      <c r="B551" s="12"/>
      <c r="C551" s="12"/>
      <c r="D551" s="12"/>
    </row>
    <row r="552" ht="15.75" customHeight="1">
      <c r="A552" s="12"/>
      <c r="B552" s="12"/>
      <c r="C552" s="12"/>
      <c r="D552" s="12"/>
    </row>
    <row r="553" ht="15.75" customHeight="1">
      <c r="A553" s="12"/>
      <c r="B553" s="12"/>
      <c r="C553" s="12"/>
      <c r="D553" s="12"/>
    </row>
    <row r="554" ht="15.75" customHeight="1">
      <c r="A554" s="12"/>
      <c r="B554" s="12"/>
      <c r="C554" s="12"/>
      <c r="D554" s="12"/>
    </row>
    <row r="555" ht="15.75" customHeight="1">
      <c r="A555" s="12"/>
      <c r="B555" s="12"/>
      <c r="C555" s="12"/>
      <c r="D555" s="12"/>
    </row>
    <row r="556" ht="15.75" customHeight="1">
      <c r="A556" s="12"/>
      <c r="B556" s="12"/>
      <c r="C556" s="12"/>
      <c r="D556" s="12"/>
    </row>
    <row r="557" ht="15.75" customHeight="1">
      <c r="A557" s="12"/>
      <c r="B557" s="12"/>
      <c r="C557" s="12"/>
      <c r="D557" s="12"/>
    </row>
    <row r="558" ht="15.75" customHeight="1">
      <c r="A558" s="12"/>
      <c r="B558" s="12"/>
      <c r="C558" s="12"/>
      <c r="D558" s="12"/>
    </row>
    <row r="559" ht="15.75" customHeight="1">
      <c r="A559" s="12"/>
      <c r="B559" s="12"/>
      <c r="C559" s="12"/>
      <c r="D559" s="12"/>
    </row>
    <row r="560" ht="15.75" customHeight="1">
      <c r="A560" s="12"/>
      <c r="B560" s="12"/>
      <c r="C560" s="12"/>
      <c r="D560" s="12"/>
    </row>
    <row r="561" ht="15.75" customHeight="1">
      <c r="A561" s="12"/>
      <c r="B561" s="12"/>
      <c r="C561" s="12"/>
      <c r="D561" s="12"/>
    </row>
    <row r="562" ht="15.75" customHeight="1">
      <c r="A562" s="12"/>
      <c r="B562" s="12"/>
      <c r="C562" s="12"/>
      <c r="D562" s="12"/>
    </row>
    <row r="563" ht="15.75" customHeight="1">
      <c r="A563" s="12"/>
      <c r="B563" s="12"/>
      <c r="C563" s="12"/>
      <c r="D563" s="12"/>
    </row>
    <row r="564" ht="15.75" customHeight="1">
      <c r="A564" s="12"/>
      <c r="B564" s="12"/>
      <c r="C564" s="12"/>
      <c r="D564" s="12"/>
    </row>
    <row r="565" ht="15.75" customHeight="1">
      <c r="A565" s="12"/>
      <c r="B565" s="12"/>
      <c r="C565" s="12"/>
      <c r="D565" s="12"/>
    </row>
    <row r="566" ht="15.75" customHeight="1">
      <c r="A566" s="12"/>
      <c r="B566" s="12"/>
      <c r="C566" s="12"/>
      <c r="D566" s="12"/>
    </row>
    <row r="567" ht="15.75" customHeight="1">
      <c r="A567" s="12"/>
      <c r="B567" s="12"/>
      <c r="C567" s="12"/>
      <c r="D567" s="12"/>
    </row>
    <row r="568" ht="15.75" customHeight="1">
      <c r="A568" s="12"/>
      <c r="B568" s="12"/>
      <c r="C568" s="12"/>
      <c r="D568" s="12"/>
    </row>
    <row r="569" ht="15.75" customHeight="1">
      <c r="A569" s="12"/>
      <c r="B569" s="12"/>
      <c r="C569" s="12"/>
      <c r="D569" s="12"/>
    </row>
    <row r="570" ht="15.75" customHeight="1">
      <c r="A570" s="12"/>
      <c r="B570" s="12"/>
      <c r="C570" s="12"/>
      <c r="D570" s="12"/>
    </row>
    <row r="571" ht="15.75" customHeight="1">
      <c r="A571" s="12"/>
      <c r="B571" s="12"/>
      <c r="C571" s="12"/>
      <c r="D571" s="12"/>
    </row>
    <row r="572" ht="15.75" customHeight="1">
      <c r="A572" s="12"/>
      <c r="B572" s="12"/>
      <c r="C572" s="12"/>
      <c r="D572" s="12"/>
    </row>
    <row r="573" ht="15.75" customHeight="1">
      <c r="A573" s="12"/>
      <c r="B573" s="12"/>
      <c r="C573" s="12"/>
      <c r="D573" s="12"/>
    </row>
    <row r="574" ht="15.75" customHeight="1">
      <c r="A574" s="12"/>
      <c r="B574" s="12"/>
      <c r="C574" s="12"/>
      <c r="D574" s="12"/>
    </row>
    <row r="575" ht="15.75" customHeight="1">
      <c r="A575" s="12"/>
      <c r="B575" s="12"/>
      <c r="C575" s="12"/>
      <c r="D575" s="12"/>
    </row>
    <row r="576" ht="15.75" customHeight="1">
      <c r="A576" s="12"/>
      <c r="B576" s="12"/>
      <c r="C576" s="12"/>
      <c r="D576" s="12"/>
    </row>
    <row r="577" ht="15.75" customHeight="1">
      <c r="A577" s="12"/>
      <c r="B577" s="12"/>
      <c r="C577" s="12"/>
      <c r="D577" s="12"/>
    </row>
    <row r="578" ht="15.75" customHeight="1">
      <c r="A578" s="12"/>
      <c r="B578" s="12"/>
      <c r="C578" s="12"/>
      <c r="D578" s="12"/>
    </row>
    <row r="579" ht="15.75" customHeight="1">
      <c r="A579" s="12"/>
      <c r="B579" s="12"/>
      <c r="C579" s="12"/>
      <c r="D579" s="12"/>
    </row>
    <row r="580" ht="15.75" customHeight="1">
      <c r="A580" s="12"/>
      <c r="B580" s="12"/>
      <c r="C580" s="12"/>
      <c r="D580" s="12"/>
    </row>
    <row r="581" ht="15.75" customHeight="1">
      <c r="A581" s="12"/>
      <c r="B581" s="12"/>
      <c r="C581" s="12"/>
      <c r="D581" s="12"/>
    </row>
    <row r="582" ht="15.75" customHeight="1">
      <c r="A582" s="12"/>
      <c r="B582" s="12"/>
      <c r="C582" s="12"/>
      <c r="D582" s="12"/>
    </row>
    <row r="583" ht="15.75" customHeight="1">
      <c r="A583" s="12"/>
      <c r="B583" s="12"/>
      <c r="C583" s="12"/>
      <c r="D583" s="12"/>
    </row>
    <row r="584" ht="15.75" customHeight="1">
      <c r="A584" s="12"/>
      <c r="B584" s="12"/>
      <c r="C584" s="12"/>
      <c r="D584" s="12"/>
    </row>
    <row r="585" ht="15.75" customHeight="1">
      <c r="A585" s="12"/>
      <c r="B585" s="12"/>
      <c r="C585" s="12"/>
      <c r="D585" s="12"/>
    </row>
    <row r="586" ht="15.75" customHeight="1">
      <c r="A586" s="12"/>
      <c r="B586" s="12"/>
      <c r="C586" s="12"/>
      <c r="D586" s="12"/>
    </row>
    <row r="587" ht="15.75" customHeight="1">
      <c r="A587" s="12"/>
      <c r="B587" s="12"/>
      <c r="C587" s="12"/>
      <c r="D587" s="12"/>
    </row>
    <row r="588" ht="15.75" customHeight="1">
      <c r="A588" s="12"/>
      <c r="B588" s="12"/>
      <c r="C588" s="12"/>
      <c r="D588" s="12"/>
    </row>
    <row r="589" ht="15.75" customHeight="1">
      <c r="A589" s="12"/>
      <c r="B589" s="12"/>
      <c r="C589" s="12"/>
      <c r="D589" s="12"/>
    </row>
    <row r="590" ht="15.75" customHeight="1">
      <c r="A590" s="12"/>
      <c r="B590" s="12"/>
      <c r="C590" s="12"/>
      <c r="D590" s="12"/>
    </row>
    <row r="591" ht="15.75" customHeight="1">
      <c r="A591" s="12"/>
      <c r="B591" s="12"/>
      <c r="C591" s="12"/>
      <c r="D591" s="12"/>
    </row>
    <row r="592" ht="15.75" customHeight="1">
      <c r="A592" s="12"/>
      <c r="B592" s="12"/>
      <c r="C592" s="12"/>
      <c r="D592" s="12"/>
    </row>
    <row r="593" ht="15.75" customHeight="1">
      <c r="A593" s="12"/>
      <c r="B593" s="12"/>
      <c r="C593" s="12"/>
      <c r="D593" s="12"/>
    </row>
    <row r="594" ht="15.75" customHeight="1">
      <c r="A594" s="12"/>
      <c r="B594" s="12"/>
      <c r="C594" s="12"/>
      <c r="D594" s="12"/>
    </row>
    <row r="595" ht="15.75" customHeight="1">
      <c r="A595" s="12"/>
      <c r="B595" s="12"/>
      <c r="C595" s="12"/>
      <c r="D595" s="12"/>
    </row>
    <row r="596" ht="15.75" customHeight="1">
      <c r="A596" s="12"/>
      <c r="B596" s="12"/>
      <c r="C596" s="12"/>
      <c r="D596" s="12"/>
    </row>
    <row r="597" ht="15.75" customHeight="1">
      <c r="A597" s="12"/>
      <c r="B597" s="12"/>
      <c r="C597" s="12"/>
      <c r="D597" s="12"/>
    </row>
    <row r="598" ht="15.75" customHeight="1">
      <c r="A598" s="12"/>
      <c r="B598" s="12"/>
      <c r="C598" s="12"/>
      <c r="D598" s="12"/>
    </row>
    <row r="599" ht="15.75" customHeight="1">
      <c r="A599" s="12"/>
      <c r="B599" s="12"/>
      <c r="C599" s="12"/>
      <c r="D599" s="12"/>
    </row>
    <row r="600" ht="15.75" customHeight="1">
      <c r="A600" s="12"/>
      <c r="B600" s="12"/>
      <c r="C600" s="12"/>
      <c r="D600" s="12"/>
    </row>
    <row r="601" ht="15.75" customHeight="1">
      <c r="A601" s="12"/>
      <c r="B601" s="12"/>
      <c r="C601" s="12"/>
      <c r="D601" s="12"/>
    </row>
    <row r="602" ht="15.75" customHeight="1">
      <c r="A602" s="12"/>
      <c r="B602" s="12"/>
      <c r="C602" s="12"/>
      <c r="D602" s="12"/>
    </row>
    <row r="603" ht="15.75" customHeight="1">
      <c r="A603" s="12"/>
      <c r="B603" s="12"/>
      <c r="C603" s="12"/>
      <c r="D603" s="12"/>
    </row>
    <row r="604" ht="15.75" customHeight="1">
      <c r="A604" s="12"/>
      <c r="B604" s="12"/>
      <c r="C604" s="12"/>
      <c r="D604" s="12"/>
    </row>
    <row r="605" ht="15.75" customHeight="1">
      <c r="A605" s="12"/>
      <c r="B605" s="12"/>
      <c r="C605" s="12"/>
      <c r="D605" s="12"/>
    </row>
    <row r="606" ht="15.75" customHeight="1">
      <c r="A606" s="12"/>
      <c r="B606" s="12"/>
      <c r="C606" s="12"/>
      <c r="D606" s="12"/>
    </row>
    <row r="607" ht="15.75" customHeight="1">
      <c r="A607" s="12"/>
      <c r="B607" s="12"/>
      <c r="C607" s="12"/>
      <c r="D607" s="12"/>
    </row>
    <row r="608" ht="15.75" customHeight="1">
      <c r="A608" s="12"/>
      <c r="B608" s="12"/>
      <c r="C608" s="12"/>
      <c r="D608" s="12"/>
    </row>
    <row r="609" ht="15.75" customHeight="1">
      <c r="A609" s="12"/>
      <c r="B609" s="12"/>
      <c r="C609" s="12"/>
      <c r="D609" s="12"/>
    </row>
    <row r="610" ht="15.75" customHeight="1">
      <c r="A610" s="12"/>
      <c r="B610" s="12"/>
      <c r="C610" s="12"/>
      <c r="D610" s="12"/>
    </row>
    <row r="611" ht="15.75" customHeight="1">
      <c r="A611" s="12"/>
      <c r="B611" s="12"/>
      <c r="C611" s="12"/>
      <c r="D611" s="12"/>
    </row>
    <row r="612" ht="15.75" customHeight="1">
      <c r="A612" s="12"/>
      <c r="B612" s="12"/>
      <c r="C612" s="12"/>
      <c r="D612" s="12"/>
    </row>
    <row r="613" ht="15.75" customHeight="1">
      <c r="A613" s="12"/>
      <c r="B613" s="12"/>
      <c r="C613" s="12"/>
      <c r="D613" s="12"/>
    </row>
    <row r="614" ht="15.75" customHeight="1">
      <c r="A614" s="12"/>
      <c r="B614" s="12"/>
      <c r="C614" s="12"/>
      <c r="D614" s="12"/>
    </row>
    <row r="615" ht="15.75" customHeight="1">
      <c r="A615" s="12"/>
      <c r="B615" s="12"/>
      <c r="C615" s="12"/>
      <c r="D615" s="12"/>
    </row>
    <row r="616" ht="15.75" customHeight="1">
      <c r="A616" s="12"/>
      <c r="B616" s="12"/>
      <c r="C616" s="12"/>
      <c r="D616" s="12"/>
    </row>
    <row r="617" ht="15.75" customHeight="1">
      <c r="A617" s="12"/>
      <c r="B617" s="12"/>
      <c r="C617" s="12"/>
      <c r="D617" s="12"/>
    </row>
    <row r="618" ht="15.75" customHeight="1">
      <c r="A618" s="12"/>
      <c r="B618" s="12"/>
      <c r="C618" s="12"/>
      <c r="D618" s="12"/>
    </row>
    <row r="619" ht="15.75" customHeight="1">
      <c r="A619" s="12"/>
      <c r="B619" s="12"/>
      <c r="C619" s="12"/>
      <c r="D619" s="12"/>
    </row>
    <row r="620" ht="15.75" customHeight="1">
      <c r="A620" s="12"/>
      <c r="B620" s="12"/>
      <c r="C620" s="12"/>
      <c r="D620" s="12"/>
    </row>
    <row r="621" ht="15.75" customHeight="1">
      <c r="A621" s="12"/>
      <c r="B621" s="12"/>
      <c r="C621" s="12"/>
      <c r="D621" s="12"/>
    </row>
    <row r="622" ht="15.75" customHeight="1">
      <c r="A622" s="12"/>
      <c r="B622" s="12"/>
      <c r="C622" s="12"/>
      <c r="D622" s="12"/>
    </row>
    <row r="623" ht="15.75" customHeight="1">
      <c r="A623" s="12"/>
      <c r="B623" s="12"/>
      <c r="C623" s="12"/>
      <c r="D623" s="12"/>
    </row>
    <row r="624" ht="15.75" customHeight="1">
      <c r="A624" s="12"/>
      <c r="B624" s="12"/>
      <c r="C624" s="12"/>
      <c r="D624" s="12"/>
    </row>
    <row r="625" ht="15.75" customHeight="1">
      <c r="A625" s="12"/>
      <c r="B625" s="12"/>
      <c r="C625" s="12"/>
      <c r="D625" s="12"/>
    </row>
    <row r="626" ht="15.75" customHeight="1">
      <c r="A626" s="12"/>
      <c r="B626" s="12"/>
      <c r="C626" s="12"/>
      <c r="D626" s="12"/>
    </row>
    <row r="627" ht="15.75" customHeight="1">
      <c r="A627" s="12"/>
      <c r="B627" s="12"/>
      <c r="C627" s="12"/>
      <c r="D627" s="12"/>
    </row>
    <row r="628" ht="15.75" customHeight="1">
      <c r="A628" s="12"/>
      <c r="B628" s="12"/>
      <c r="C628" s="12"/>
      <c r="D628" s="12"/>
    </row>
    <row r="629" ht="15.75" customHeight="1">
      <c r="A629" s="12"/>
      <c r="B629" s="12"/>
      <c r="C629" s="12"/>
      <c r="D629" s="12"/>
    </row>
    <row r="630" ht="15.75" customHeight="1">
      <c r="A630" s="12"/>
      <c r="B630" s="12"/>
      <c r="C630" s="12"/>
      <c r="D630" s="12"/>
    </row>
    <row r="631" ht="15.75" customHeight="1">
      <c r="A631" s="12"/>
      <c r="B631" s="12"/>
      <c r="C631" s="12"/>
      <c r="D631" s="12"/>
    </row>
    <row r="632" ht="15.75" customHeight="1">
      <c r="A632" s="12"/>
      <c r="B632" s="12"/>
      <c r="C632" s="12"/>
      <c r="D632" s="12"/>
    </row>
    <row r="633" ht="15.75" customHeight="1">
      <c r="A633" s="12"/>
      <c r="B633" s="12"/>
      <c r="C633" s="12"/>
      <c r="D633" s="12"/>
    </row>
    <row r="634" ht="15.75" customHeight="1">
      <c r="A634" s="12"/>
      <c r="B634" s="12"/>
      <c r="C634" s="12"/>
      <c r="D634" s="12"/>
    </row>
    <row r="635" ht="15.75" customHeight="1">
      <c r="A635" s="12"/>
      <c r="B635" s="12"/>
      <c r="C635" s="12"/>
      <c r="D635" s="12"/>
    </row>
    <row r="636" ht="15.75" customHeight="1">
      <c r="A636" s="12"/>
      <c r="B636" s="12"/>
      <c r="C636" s="12"/>
      <c r="D636" s="12"/>
    </row>
    <row r="637" ht="15.75" customHeight="1">
      <c r="A637" s="12"/>
      <c r="B637" s="12"/>
      <c r="C637" s="12"/>
      <c r="D637" s="12"/>
    </row>
    <row r="638" ht="15.75" customHeight="1">
      <c r="A638" s="12"/>
      <c r="B638" s="12"/>
      <c r="C638" s="12"/>
      <c r="D638" s="12"/>
    </row>
    <row r="639" ht="15.75" customHeight="1">
      <c r="A639" s="12"/>
      <c r="B639" s="12"/>
      <c r="C639" s="12"/>
      <c r="D639" s="12"/>
    </row>
    <row r="640" ht="15.75" customHeight="1">
      <c r="A640" s="12"/>
      <c r="B640" s="12"/>
      <c r="C640" s="12"/>
      <c r="D640" s="12"/>
    </row>
    <row r="641" ht="15.75" customHeight="1">
      <c r="A641" s="12"/>
      <c r="B641" s="12"/>
      <c r="C641" s="12"/>
      <c r="D641" s="12"/>
    </row>
    <row r="642" ht="15.75" customHeight="1">
      <c r="A642" s="12"/>
      <c r="B642" s="12"/>
      <c r="C642" s="12"/>
      <c r="D642" s="12"/>
    </row>
    <row r="643" ht="15.75" customHeight="1">
      <c r="A643" s="12"/>
      <c r="B643" s="12"/>
      <c r="C643" s="12"/>
      <c r="D643" s="12"/>
    </row>
    <row r="644" ht="15.75" customHeight="1">
      <c r="A644" s="12"/>
      <c r="B644" s="12"/>
      <c r="C644" s="12"/>
      <c r="D644" s="12"/>
    </row>
    <row r="645" ht="15.75" customHeight="1">
      <c r="A645" s="12"/>
      <c r="B645" s="12"/>
      <c r="C645" s="12"/>
      <c r="D645" s="12"/>
    </row>
    <row r="646" ht="15.75" customHeight="1">
      <c r="A646" s="12"/>
      <c r="B646" s="12"/>
      <c r="C646" s="12"/>
      <c r="D646" s="12"/>
    </row>
    <row r="647" ht="15.75" customHeight="1">
      <c r="A647" s="12"/>
      <c r="B647" s="12"/>
      <c r="C647" s="12"/>
      <c r="D647" s="12"/>
    </row>
    <row r="648" ht="15.75" customHeight="1">
      <c r="A648" s="12"/>
      <c r="B648" s="12"/>
      <c r="C648" s="12"/>
      <c r="D648" s="12"/>
    </row>
    <row r="649" ht="15.75" customHeight="1">
      <c r="A649" s="12"/>
      <c r="B649" s="12"/>
      <c r="C649" s="12"/>
      <c r="D649" s="12"/>
    </row>
    <row r="650" ht="15.75" customHeight="1">
      <c r="A650" s="12"/>
      <c r="B650" s="12"/>
      <c r="C650" s="12"/>
      <c r="D650" s="12"/>
    </row>
    <row r="651" ht="15.75" customHeight="1">
      <c r="A651" s="12"/>
      <c r="B651" s="12"/>
      <c r="C651" s="12"/>
      <c r="D651" s="12"/>
    </row>
    <row r="652" ht="15.75" customHeight="1">
      <c r="A652" s="12"/>
      <c r="B652" s="12"/>
      <c r="C652" s="12"/>
      <c r="D652" s="12"/>
    </row>
    <row r="653" ht="15.75" customHeight="1">
      <c r="A653" s="12"/>
      <c r="B653" s="12"/>
      <c r="C653" s="12"/>
      <c r="D653" s="12"/>
    </row>
    <row r="654" ht="15.75" customHeight="1">
      <c r="A654" s="12"/>
      <c r="B654" s="12"/>
      <c r="C654" s="12"/>
      <c r="D654" s="12"/>
    </row>
    <row r="655" ht="15.75" customHeight="1">
      <c r="A655" s="12"/>
      <c r="B655" s="12"/>
      <c r="C655" s="12"/>
      <c r="D655" s="12"/>
    </row>
    <row r="656" ht="15.75" customHeight="1">
      <c r="A656" s="12"/>
      <c r="B656" s="12"/>
      <c r="C656" s="12"/>
      <c r="D656" s="12"/>
    </row>
    <row r="657" ht="15.75" customHeight="1">
      <c r="A657" s="12"/>
      <c r="B657" s="12"/>
      <c r="C657" s="12"/>
      <c r="D657" s="12"/>
    </row>
    <row r="658" ht="15.75" customHeight="1">
      <c r="A658" s="12"/>
      <c r="B658" s="12"/>
      <c r="C658" s="12"/>
      <c r="D658" s="12"/>
    </row>
    <row r="659" ht="15.75" customHeight="1">
      <c r="A659" s="12"/>
      <c r="B659" s="12"/>
      <c r="C659" s="12"/>
      <c r="D659" s="12"/>
    </row>
    <row r="660" ht="15.75" customHeight="1">
      <c r="A660" s="12"/>
      <c r="B660" s="12"/>
      <c r="C660" s="12"/>
      <c r="D660" s="12"/>
    </row>
    <row r="661" ht="15.75" customHeight="1">
      <c r="A661" s="12"/>
      <c r="B661" s="12"/>
      <c r="C661" s="12"/>
      <c r="D661" s="12"/>
    </row>
    <row r="662" ht="15.75" customHeight="1">
      <c r="A662" s="12"/>
      <c r="B662" s="12"/>
      <c r="C662" s="12"/>
      <c r="D662" s="12"/>
    </row>
    <row r="663" ht="15.75" customHeight="1">
      <c r="A663" s="12"/>
      <c r="B663" s="12"/>
      <c r="C663" s="12"/>
      <c r="D663" s="12"/>
    </row>
    <row r="664" ht="15.75" customHeight="1">
      <c r="A664" s="12"/>
      <c r="B664" s="12"/>
      <c r="C664" s="12"/>
      <c r="D664" s="12"/>
    </row>
    <row r="665" ht="15.75" customHeight="1">
      <c r="A665" s="12"/>
      <c r="B665" s="12"/>
      <c r="C665" s="12"/>
      <c r="D665" s="12"/>
    </row>
    <row r="666" ht="15.75" customHeight="1">
      <c r="A666" s="12"/>
      <c r="B666" s="12"/>
      <c r="C666" s="12"/>
      <c r="D666" s="12"/>
    </row>
    <row r="667" ht="15.75" customHeight="1">
      <c r="A667" s="12"/>
      <c r="B667" s="12"/>
      <c r="C667" s="12"/>
      <c r="D667" s="12"/>
    </row>
    <row r="668" ht="15.75" customHeight="1">
      <c r="A668" s="12"/>
      <c r="B668" s="12"/>
      <c r="C668" s="12"/>
      <c r="D668" s="12"/>
    </row>
    <row r="669" ht="15.75" customHeight="1">
      <c r="A669" s="12"/>
      <c r="B669" s="12"/>
      <c r="C669" s="12"/>
      <c r="D669" s="12"/>
    </row>
    <row r="670" ht="15.75" customHeight="1">
      <c r="A670" s="12"/>
      <c r="B670" s="12"/>
      <c r="C670" s="12"/>
      <c r="D670" s="12"/>
    </row>
    <row r="671" ht="15.75" customHeight="1">
      <c r="A671" s="12"/>
      <c r="B671" s="12"/>
      <c r="C671" s="12"/>
      <c r="D671" s="12"/>
    </row>
    <row r="672" ht="15.75" customHeight="1">
      <c r="A672" s="12"/>
      <c r="B672" s="12"/>
      <c r="C672" s="12"/>
      <c r="D672" s="12"/>
    </row>
    <row r="673" ht="15.75" customHeight="1">
      <c r="A673" s="12"/>
      <c r="B673" s="12"/>
      <c r="C673" s="12"/>
      <c r="D673" s="12"/>
    </row>
    <row r="674" ht="15.75" customHeight="1">
      <c r="A674" s="12"/>
      <c r="B674" s="12"/>
      <c r="C674" s="12"/>
      <c r="D674" s="12"/>
    </row>
    <row r="675" ht="15.75" customHeight="1">
      <c r="A675" s="12"/>
      <c r="B675" s="12"/>
      <c r="C675" s="12"/>
      <c r="D675" s="12"/>
    </row>
    <row r="676" ht="15.75" customHeight="1">
      <c r="A676" s="12"/>
      <c r="B676" s="12"/>
      <c r="C676" s="12"/>
      <c r="D676" s="12"/>
    </row>
    <row r="677" ht="15.75" customHeight="1">
      <c r="A677" s="12"/>
      <c r="B677" s="12"/>
      <c r="C677" s="12"/>
      <c r="D677" s="12"/>
    </row>
    <row r="678" ht="15.75" customHeight="1">
      <c r="A678" s="12"/>
      <c r="B678" s="12"/>
      <c r="C678" s="12"/>
      <c r="D678" s="12"/>
    </row>
    <row r="679" ht="15.75" customHeight="1">
      <c r="A679" s="12"/>
      <c r="B679" s="12"/>
      <c r="C679" s="12"/>
      <c r="D679" s="12"/>
    </row>
    <row r="680" ht="15.75" customHeight="1">
      <c r="A680" s="12"/>
      <c r="B680" s="12"/>
      <c r="C680" s="12"/>
      <c r="D680" s="12"/>
    </row>
    <row r="681" ht="15.75" customHeight="1">
      <c r="A681" s="12"/>
      <c r="B681" s="12"/>
      <c r="C681" s="12"/>
      <c r="D681" s="12"/>
    </row>
    <row r="682" ht="15.75" customHeight="1">
      <c r="A682" s="12"/>
      <c r="B682" s="12"/>
      <c r="C682" s="12"/>
      <c r="D682" s="12"/>
    </row>
    <row r="683" ht="15.75" customHeight="1">
      <c r="A683" s="12"/>
      <c r="B683" s="12"/>
      <c r="C683" s="12"/>
      <c r="D683" s="12"/>
    </row>
    <row r="684" ht="15.75" customHeight="1">
      <c r="A684" s="12"/>
      <c r="B684" s="12"/>
      <c r="C684" s="12"/>
      <c r="D684" s="12"/>
    </row>
    <row r="685" ht="15.75" customHeight="1">
      <c r="A685" s="12"/>
      <c r="B685" s="12"/>
      <c r="C685" s="12"/>
      <c r="D685" s="12"/>
    </row>
    <row r="686" ht="15.75" customHeight="1">
      <c r="A686" s="12"/>
      <c r="B686" s="12"/>
      <c r="C686" s="12"/>
      <c r="D686" s="12"/>
    </row>
    <row r="687" ht="15.75" customHeight="1">
      <c r="A687" s="12"/>
      <c r="B687" s="12"/>
      <c r="C687" s="12"/>
      <c r="D687" s="12"/>
    </row>
    <row r="688" ht="15.75" customHeight="1">
      <c r="A688" s="12"/>
      <c r="B688" s="12"/>
      <c r="C688" s="12"/>
      <c r="D688" s="12"/>
    </row>
    <row r="689" ht="15.75" customHeight="1">
      <c r="A689" s="12"/>
      <c r="B689" s="12"/>
      <c r="C689" s="12"/>
      <c r="D689" s="12"/>
    </row>
    <row r="690" ht="15.75" customHeight="1">
      <c r="A690" s="12"/>
      <c r="B690" s="12"/>
      <c r="C690" s="12"/>
      <c r="D690" s="12"/>
    </row>
    <row r="691" ht="15.75" customHeight="1">
      <c r="A691" s="12"/>
      <c r="B691" s="12"/>
      <c r="C691" s="12"/>
      <c r="D691" s="12"/>
    </row>
    <row r="692" ht="15.75" customHeight="1">
      <c r="A692" s="12"/>
      <c r="B692" s="12"/>
      <c r="C692" s="12"/>
      <c r="D692" s="12"/>
    </row>
    <row r="693" ht="15.75" customHeight="1">
      <c r="A693" s="12"/>
      <c r="B693" s="12"/>
      <c r="C693" s="12"/>
      <c r="D693" s="12"/>
    </row>
    <row r="694" ht="15.75" customHeight="1">
      <c r="A694" s="12"/>
      <c r="B694" s="12"/>
      <c r="C694" s="12"/>
      <c r="D694" s="12"/>
    </row>
    <row r="695" ht="15.75" customHeight="1">
      <c r="A695" s="12"/>
      <c r="B695" s="12"/>
      <c r="C695" s="12"/>
      <c r="D695" s="12"/>
    </row>
    <row r="696" ht="15.75" customHeight="1">
      <c r="A696" s="12"/>
      <c r="B696" s="12"/>
      <c r="C696" s="12"/>
      <c r="D696" s="12"/>
    </row>
    <row r="697" ht="15.75" customHeight="1">
      <c r="A697" s="12"/>
      <c r="B697" s="12"/>
      <c r="C697" s="12"/>
      <c r="D697" s="12"/>
    </row>
    <row r="698" ht="15.75" customHeight="1">
      <c r="A698" s="12"/>
      <c r="B698" s="12"/>
      <c r="C698" s="12"/>
      <c r="D698" s="12"/>
    </row>
    <row r="699" ht="15.75" customHeight="1">
      <c r="A699" s="12"/>
      <c r="B699" s="12"/>
      <c r="C699" s="12"/>
      <c r="D699" s="12"/>
    </row>
    <row r="700" ht="15.75" customHeight="1">
      <c r="A700" s="12"/>
      <c r="B700" s="12"/>
      <c r="C700" s="12"/>
      <c r="D700" s="12"/>
    </row>
    <row r="701" ht="15.75" customHeight="1">
      <c r="A701" s="12"/>
      <c r="B701" s="12"/>
      <c r="C701" s="12"/>
      <c r="D701" s="12"/>
    </row>
    <row r="702" ht="15.75" customHeight="1">
      <c r="A702" s="12"/>
      <c r="B702" s="12"/>
      <c r="C702" s="12"/>
      <c r="D702" s="12"/>
    </row>
    <row r="703" ht="15.75" customHeight="1">
      <c r="A703" s="12"/>
      <c r="B703" s="12"/>
      <c r="C703" s="12"/>
      <c r="D703" s="12"/>
    </row>
    <row r="704" ht="15.75" customHeight="1">
      <c r="A704" s="12"/>
      <c r="B704" s="12"/>
      <c r="C704" s="12"/>
      <c r="D704" s="12"/>
    </row>
    <row r="705" ht="15.75" customHeight="1">
      <c r="A705" s="12"/>
      <c r="B705" s="12"/>
      <c r="C705" s="12"/>
      <c r="D705" s="12"/>
    </row>
    <row r="706" ht="15.75" customHeight="1">
      <c r="A706" s="12"/>
      <c r="B706" s="12"/>
      <c r="C706" s="12"/>
      <c r="D706" s="12"/>
    </row>
    <row r="707" ht="15.75" customHeight="1">
      <c r="A707" s="12"/>
      <c r="B707" s="12"/>
      <c r="C707" s="12"/>
      <c r="D707" s="12"/>
    </row>
    <row r="708" ht="15.75" customHeight="1">
      <c r="A708" s="12"/>
      <c r="B708" s="12"/>
      <c r="C708" s="12"/>
      <c r="D708" s="12"/>
    </row>
    <row r="709" ht="15.75" customHeight="1">
      <c r="A709" s="12"/>
      <c r="B709" s="12"/>
      <c r="C709" s="12"/>
      <c r="D709" s="12"/>
    </row>
    <row r="710" ht="15.75" customHeight="1">
      <c r="A710" s="12"/>
      <c r="B710" s="12"/>
      <c r="C710" s="12"/>
      <c r="D710" s="12"/>
    </row>
    <row r="711" ht="15.75" customHeight="1">
      <c r="A711" s="12"/>
      <c r="B711" s="12"/>
      <c r="C711" s="12"/>
      <c r="D711" s="12"/>
    </row>
    <row r="712" ht="15.75" customHeight="1">
      <c r="A712" s="12"/>
      <c r="B712" s="12"/>
      <c r="C712" s="12"/>
      <c r="D712" s="12"/>
    </row>
    <row r="713" ht="15.75" customHeight="1">
      <c r="A713" s="12"/>
      <c r="B713" s="12"/>
      <c r="C713" s="12"/>
      <c r="D713" s="12"/>
    </row>
    <row r="714" ht="15.75" customHeight="1">
      <c r="A714" s="12"/>
      <c r="B714" s="12"/>
      <c r="C714" s="12"/>
      <c r="D714" s="12"/>
    </row>
    <row r="715" ht="15.75" customHeight="1">
      <c r="A715" s="12"/>
      <c r="B715" s="12"/>
      <c r="C715" s="12"/>
      <c r="D715" s="12"/>
    </row>
    <row r="716" ht="15.75" customHeight="1">
      <c r="A716" s="12"/>
      <c r="B716" s="12"/>
      <c r="C716" s="12"/>
      <c r="D716" s="12"/>
    </row>
    <row r="717" ht="15.75" customHeight="1">
      <c r="A717" s="12"/>
      <c r="B717" s="12"/>
      <c r="C717" s="12"/>
      <c r="D717" s="12"/>
    </row>
    <row r="718" ht="15.75" customHeight="1">
      <c r="A718" s="12"/>
      <c r="B718" s="12"/>
      <c r="C718" s="12"/>
      <c r="D718" s="12"/>
    </row>
    <row r="719" ht="15.75" customHeight="1">
      <c r="A719" s="12"/>
      <c r="B719" s="12"/>
      <c r="C719" s="12"/>
      <c r="D719" s="12"/>
    </row>
    <row r="720" ht="15.75" customHeight="1">
      <c r="A720" s="12"/>
      <c r="B720" s="12"/>
      <c r="C720" s="12"/>
      <c r="D720" s="12"/>
    </row>
    <row r="721" ht="15.75" customHeight="1">
      <c r="A721" s="12"/>
      <c r="B721" s="12"/>
      <c r="C721" s="12"/>
      <c r="D721" s="12"/>
    </row>
    <row r="722" ht="15.75" customHeight="1">
      <c r="A722" s="12"/>
      <c r="B722" s="12"/>
      <c r="C722" s="12"/>
      <c r="D722" s="12"/>
    </row>
    <row r="723" ht="15.75" customHeight="1">
      <c r="A723" s="12"/>
      <c r="B723" s="12"/>
      <c r="C723" s="12"/>
      <c r="D723" s="12"/>
    </row>
    <row r="724" ht="15.75" customHeight="1">
      <c r="A724" s="12"/>
      <c r="B724" s="12"/>
      <c r="C724" s="12"/>
      <c r="D724" s="12"/>
    </row>
    <row r="725" ht="15.75" customHeight="1">
      <c r="A725" s="12"/>
      <c r="B725" s="12"/>
      <c r="C725" s="12"/>
      <c r="D725" s="12"/>
    </row>
    <row r="726" ht="15.75" customHeight="1">
      <c r="A726" s="12"/>
      <c r="B726" s="12"/>
      <c r="C726" s="12"/>
      <c r="D726" s="12"/>
    </row>
    <row r="727" ht="15.75" customHeight="1">
      <c r="A727" s="12"/>
      <c r="B727" s="12"/>
      <c r="C727" s="12"/>
      <c r="D727" s="12"/>
    </row>
    <row r="728" ht="15.75" customHeight="1">
      <c r="A728" s="12"/>
      <c r="B728" s="12"/>
      <c r="C728" s="12"/>
      <c r="D728" s="12"/>
    </row>
    <row r="729" ht="15.75" customHeight="1">
      <c r="A729" s="12"/>
      <c r="B729" s="12"/>
      <c r="C729" s="12"/>
      <c r="D729" s="12"/>
    </row>
    <row r="730" ht="15.75" customHeight="1">
      <c r="A730" s="12"/>
      <c r="B730" s="12"/>
      <c r="C730" s="12"/>
      <c r="D730" s="12"/>
    </row>
    <row r="731" ht="15.75" customHeight="1">
      <c r="A731" s="12"/>
      <c r="B731" s="12"/>
      <c r="C731" s="12"/>
      <c r="D731" s="12"/>
    </row>
    <row r="732" ht="15.75" customHeight="1">
      <c r="A732" s="12"/>
      <c r="B732" s="12"/>
      <c r="C732" s="12"/>
      <c r="D732" s="12"/>
    </row>
    <row r="733" ht="15.75" customHeight="1">
      <c r="A733" s="12"/>
      <c r="B733" s="12"/>
      <c r="C733" s="12"/>
      <c r="D733" s="12"/>
    </row>
    <row r="734" ht="15.75" customHeight="1">
      <c r="A734" s="12"/>
      <c r="B734" s="12"/>
      <c r="C734" s="12"/>
      <c r="D734" s="12"/>
    </row>
    <row r="735" ht="15.75" customHeight="1">
      <c r="A735" s="12"/>
      <c r="B735" s="12"/>
      <c r="C735" s="12"/>
      <c r="D735" s="12"/>
    </row>
    <row r="736" ht="15.75" customHeight="1">
      <c r="A736" s="12"/>
      <c r="B736" s="12"/>
      <c r="C736" s="12"/>
      <c r="D736" s="12"/>
    </row>
    <row r="737" ht="15.75" customHeight="1">
      <c r="A737" s="12"/>
      <c r="B737" s="12"/>
      <c r="C737" s="12"/>
      <c r="D737" s="12"/>
    </row>
    <row r="738" ht="15.75" customHeight="1">
      <c r="A738" s="12"/>
      <c r="B738" s="12"/>
      <c r="C738" s="12"/>
      <c r="D738" s="12"/>
    </row>
    <row r="739" ht="15.75" customHeight="1">
      <c r="A739" s="12"/>
      <c r="B739" s="12"/>
      <c r="C739" s="12"/>
      <c r="D739" s="12"/>
    </row>
    <row r="740" ht="15.75" customHeight="1">
      <c r="A740" s="12"/>
      <c r="B740" s="12"/>
      <c r="C740" s="12"/>
      <c r="D740" s="12"/>
    </row>
    <row r="741" ht="15.75" customHeight="1">
      <c r="A741" s="12"/>
      <c r="B741" s="12"/>
      <c r="C741" s="12"/>
      <c r="D741" s="12"/>
    </row>
    <row r="742" ht="15.75" customHeight="1">
      <c r="A742" s="12"/>
      <c r="B742" s="12"/>
      <c r="C742" s="12"/>
      <c r="D742" s="12"/>
    </row>
    <row r="743" ht="15.75" customHeight="1">
      <c r="A743" s="12"/>
      <c r="B743" s="12"/>
      <c r="C743" s="12"/>
      <c r="D743" s="12"/>
    </row>
    <row r="744" ht="15.75" customHeight="1">
      <c r="A744" s="12"/>
      <c r="B744" s="12"/>
      <c r="C744" s="12"/>
      <c r="D744" s="12"/>
    </row>
    <row r="745" ht="15.75" customHeight="1">
      <c r="A745" s="12"/>
      <c r="B745" s="12"/>
      <c r="C745" s="12"/>
      <c r="D745" s="12"/>
    </row>
    <row r="746" ht="15.75" customHeight="1">
      <c r="A746" s="12"/>
      <c r="B746" s="12"/>
      <c r="C746" s="12"/>
      <c r="D746" s="12"/>
    </row>
    <row r="747" ht="15.75" customHeight="1">
      <c r="A747" s="12"/>
      <c r="B747" s="12"/>
      <c r="C747" s="12"/>
      <c r="D747" s="12"/>
    </row>
    <row r="748" ht="15.75" customHeight="1">
      <c r="A748" s="12"/>
      <c r="B748" s="12"/>
      <c r="C748" s="12"/>
      <c r="D748" s="12"/>
    </row>
    <row r="749" ht="15.75" customHeight="1">
      <c r="A749" s="12"/>
      <c r="B749" s="12"/>
      <c r="C749" s="12"/>
      <c r="D749" s="12"/>
    </row>
    <row r="750" ht="15.75" customHeight="1">
      <c r="A750" s="12"/>
      <c r="B750" s="12"/>
      <c r="C750" s="12"/>
      <c r="D750" s="12"/>
    </row>
    <row r="751" ht="15.75" customHeight="1">
      <c r="A751" s="12"/>
      <c r="B751" s="12"/>
      <c r="C751" s="12"/>
      <c r="D751" s="12"/>
    </row>
    <row r="752" ht="15.75" customHeight="1">
      <c r="A752" s="12"/>
      <c r="B752" s="12"/>
      <c r="C752" s="12"/>
      <c r="D752" s="12"/>
    </row>
    <row r="753" ht="15.75" customHeight="1">
      <c r="A753" s="12"/>
      <c r="B753" s="12"/>
      <c r="C753" s="12"/>
      <c r="D753" s="12"/>
    </row>
    <row r="754" ht="15.75" customHeight="1">
      <c r="A754" s="12"/>
      <c r="B754" s="12"/>
      <c r="C754" s="12"/>
      <c r="D754" s="12"/>
    </row>
    <row r="755" ht="15.75" customHeight="1">
      <c r="A755" s="12"/>
      <c r="B755" s="12"/>
      <c r="C755" s="12"/>
      <c r="D755" s="12"/>
    </row>
    <row r="756" ht="15.75" customHeight="1">
      <c r="A756" s="12"/>
      <c r="B756" s="12"/>
      <c r="C756" s="12"/>
      <c r="D756" s="12"/>
    </row>
    <row r="757" ht="15.75" customHeight="1">
      <c r="A757" s="12"/>
      <c r="B757" s="12"/>
      <c r="C757" s="12"/>
      <c r="D757" s="12"/>
    </row>
    <row r="758" ht="15.75" customHeight="1">
      <c r="A758" s="12"/>
      <c r="B758" s="12"/>
      <c r="C758" s="12"/>
      <c r="D758" s="12"/>
    </row>
    <row r="759" ht="15.75" customHeight="1">
      <c r="A759" s="12"/>
      <c r="B759" s="12"/>
      <c r="C759" s="12"/>
      <c r="D759" s="12"/>
    </row>
    <row r="760" ht="15.75" customHeight="1">
      <c r="A760" s="12"/>
      <c r="B760" s="12"/>
      <c r="C760" s="12"/>
      <c r="D760" s="12"/>
    </row>
    <row r="761" ht="15.75" customHeight="1">
      <c r="A761" s="12"/>
      <c r="B761" s="12"/>
      <c r="C761" s="12"/>
      <c r="D761" s="12"/>
    </row>
    <row r="762" ht="15.75" customHeight="1">
      <c r="A762" s="12"/>
      <c r="B762" s="12"/>
      <c r="C762" s="12"/>
      <c r="D762" s="12"/>
    </row>
    <row r="763" ht="15.75" customHeight="1">
      <c r="A763" s="12"/>
      <c r="B763" s="12"/>
      <c r="C763" s="12"/>
      <c r="D763" s="12"/>
    </row>
    <row r="764" ht="15.75" customHeight="1">
      <c r="A764" s="12"/>
      <c r="B764" s="12"/>
      <c r="C764" s="12"/>
      <c r="D764" s="12"/>
    </row>
    <row r="765" ht="15.75" customHeight="1">
      <c r="A765" s="12"/>
      <c r="B765" s="12"/>
      <c r="C765" s="12"/>
      <c r="D765" s="12"/>
    </row>
    <row r="766" ht="15.75" customHeight="1">
      <c r="A766" s="12"/>
      <c r="B766" s="12"/>
      <c r="C766" s="12"/>
      <c r="D766" s="12"/>
    </row>
    <row r="767" ht="15.75" customHeight="1">
      <c r="A767" s="12"/>
      <c r="B767" s="12"/>
      <c r="C767" s="12"/>
      <c r="D767" s="12"/>
    </row>
    <row r="768" ht="15.75" customHeight="1">
      <c r="A768" s="12"/>
      <c r="B768" s="12"/>
      <c r="C768" s="12"/>
      <c r="D768" s="12"/>
    </row>
    <row r="769" ht="15.75" customHeight="1">
      <c r="A769" s="12"/>
      <c r="B769" s="12"/>
      <c r="C769" s="12"/>
      <c r="D769" s="12"/>
    </row>
    <row r="770" ht="15.75" customHeight="1">
      <c r="A770" s="12"/>
      <c r="B770" s="12"/>
      <c r="C770" s="12"/>
      <c r="D770" s="12"/>
    </row>
    <row r="771" ht="15.75" customHeight="1">
      <c r="A771" s="12"/>
      <c r="B771" s="12"/>
      <c r="C771" s="12"/>
      <c r="D771" s="12"/>
    </row>
    <row r="772" ht="15.75" customHeight="1">
      <c r="A772" s="12"/>
      <c r="B772" s="12"/>
      <c r="C772" s="12"/>
      <c r="D772" s="12"/>
    </row>
    <row r="773" ht="15.75" customHeight="1">
      <c r="A773" s="12"/>
      <c r="B773" s="12"/>
      <c r="C773" s="12"/>
      <c r="D773" s="12"/>
    </row>
    <row r="774" ht="15.75" customHeight="1">
      <c r="A774" s="12"/>
      <c r="B774" s="12"/>
      <c r="C774" s="12"/>
      <c r="D774" s="12"/>
    </row>
    <row r="775" ht="15.75" customHeight="1">
      <c r="A775" s="12"/>
      <c r="B775" s="12"/>
      <c r="C775" s="12"/>
      <c r="D775" s="12"/>
    </row>
    <row r="776" ht="15.75" customHeight="1">
      <c r="A776" s="12"/>
      <c r="B776" s="12"/>
      <c r="C776" s="12"/>
      <c r="D776" s="12"/>
    </row>
    <row r="777" ht="15.75" customHeight="1">
      <c r="A777" s="12"/>
      <c r="B777" s="12"/>
      <c r="C777" s="12"/>
      <c r="D777" s="12"/>
    </row>
    <row r="778" ht="15.75" customHeight="1">
      <c r="A778" s="12"/>
      <c r="B778" s="12"/>
      <c r="C778" s="12"/>
      <c r="D778" s="12"/>
    </row>
    <row r="779" ht="15.75" customHeight="1">
      <c r="A779" s="12"/>
      <c r="B779" s="12"/>
      <c r="C779" s="12"/>
      <c r="D779" s="12"/>
    </row>
    <row r="780" ht="15.75" customHeight="1">
      <c r="A780" s="12"/>
      <c r="B780" s="12"/>
      <c r="C780" s="12"/>
      <c r="D780" s="12"/>
    </row>
    <row r="781" ht="15.75" customHeight="1">
      <c r="A781" s="12"/>
      <c r="B781" s="12"/>
      <c r="C781" s="12"/>
      <c r="D781" s="12"/>
    </row>
    <row r="782" ht="15.75" customHeight="1">
      <c r="A782" s="12"/>
      <c r="B782" s="12"/>
      <c r="C782" s="12"/>
      <c r="D782" s="12"/>
    </row>
    <row r="783" ht="15.75" customHeight="1">
      <c r="A783" s="12"/>
      <c r="B783" s="12"/>
      <c r="C783" s="12"/>
      <c r="D783" s="12"/>
    </row>
    <row r="784" ht="15.75" customHeight="1">
      <c r="A784" s="12"/>
      <c r="B784" s="12"/>
      <c r="C784" s="12"/>
      <c r="D784" s="12"/>
    </row>
    <row r="785" ht="15.75" customHeight="1">
      <c r="A785" s="12"/>
      <c r="B785" s="12"/>
      <c r="C785" s="12"/>
      <c r="D785" s="12"/>
    </row>
    <row r="786" ht="15.75" customHeight="1">
      <c r="A786" s="12"/>
      <c r="B786" s="12"/>
      <c r="C786" s="12"/>
      <c r="D786" s="12"/>
    </row>
    <row r="787" ht="15.75" customHeight="1">
      <c r="A787" s="12"/>
      <c r="B787" s="12"/>
      <c r="C787" s="12"/>
      <c r="D787" s="12"/>
    </row>
    <row r="788" ht="15.75" customHeight="1">
      <c r="A788" s="12"/>
      <c r="B788" s="12"/>
      <c r="C788" s="12"/>
      <c r="D788" s="12"/>
    </row>
    <row r="789" ht="15.75" customHeight="1">
      <c r="A789" s="12"/>
      <c r="B789" s="12"/>
      <c r="C789" s="12"/>
      <c r="D789" s="12"/>
    </row>
    <row r="790" ht="15.75" customHeight="1">
      <c r="A790" s="12"/>
      <c r="B790" s="12"/>
      <c r="C790" s="12"/>
      <c r="D790" s="12"/>
    </row>
    <row r="791" ht="15.75" customHeight="1">
      <c r="A791" s="12"/>
      <c r="B791" s="12"/>
      <c r="C791" s="12"/>
      <c r="D791" s="12"/>
    </row>
    <row r="792" ht="15.75" customHeight="1">
      <c r="A792" s="12"/>
      <c r="B792" s="12"/>
      <c r="C792" s="12"/>
      <c r="D792" s="12"/>
    </row>
    <row r="793" ht="15.75" customHeight="1">
      <c r="A793" s="12"/>
      <c r="B793" s="12"/>
      <c r="C793" s="12"/>
      <c r="D793" s="12"/>
    </row>
    <row r="794" ht="15.75" customHeight="1">
      <c r="A794" s="12"/>
      <c r="B794" s="12"/>
      <c r="C794" s="12"/>
      <c r="D794" s="12"/>
    </row>
    <row r="795" ht="15.75" customHeight="1">
      <c r="A795" s="12"/>
      <c r="B795" s="12"/>
      <c r="C795" s="12"/>
      <c r="D795" s="12"/>
    </row>
    <row r="796" ht="15.75" customHeight="1">
      <c r="A796" s="12"/>
      <c r="B796" s="12"/>
      <c r="C796" s="12"/>
      <c r="D796" s="12"/>
    </row>
    <row r="797" ht="15.75" customHeight="1">
      <c r="A797" s="12"/>
      <c r="B797" s="12"/>
      <c r="C797" s="12"/>
      <c r="D797" s="12"/>
    </row>
    <row r="798" ht="15.75" customHeight="1">
      <c r="A798" s="12"/>
      <c r="B798" s="12"/>
      <c r="C798" s="12"/>
      <c r="D798" s="12"/>
    </row>
    <row r="799" ht="15.75" customHeight="1">
      <c r="A799" s="12"/>
      <c r="B799" s="12"/>
      <c r="C799" s="12"/>
      <c r="D799" s="12"/>
    </row>
    <row r="800" ht="15.75" customHeight="1">
      <c r="A800" s="12"/>
      <c r="B800" s="12"/>
      <c r="C800" s="12"/>
      <c r="D800" s="12"/>
    </row>
    <row r="801" ht="15.75" customHeight="1">
      <c r="A801" s="12"/>
      <c r="B801" s="12"/>
      <c r="C801" s="12"/>
      <c r="D801" s="12"/>
    </row>
    <row r="802" ht="15.75" customHeight="1">
      <c r="A802" s="12"/>
      <c r="B802" s="12"/>
      <c r="C802" s="12"/>
      <c r="D802" s="12"/>
    </row>
    <row r="803" ht="15.75" customHeight="1">
      <c r="A803" s="12"/>
      <c r="B803" s="12"/>
      <c r="C803" s="12"/>
      <c r="D803" s="12"/>
    </row>
    <row r="804" ht="15.75" customHeight="1">
      <c r="A804" s="12"/>
      <c r="B804" s="12"/>
      <c r="C804" s="12"/>
      <c r="D804" s="12"/>
    </row>
    <row r="805" ht="15.75" customHeight="1">
      <c r="A805" s="12"/>
      <c r="B805" s="12"/>
      <c r="C805" s="12"/>
      <c r="D805" s="12"/>
    </row>
    <row r="806" ht="15.75" customHeight="1">
      <c r="A806" s="12"/>
      <c r="B806" s="12"/>
      <c r="C806" s="12"/>
      <c r="D806" s="12"/>
    </row>
    <row r="807" ht="15.75" customHeight="1">
      <c r="A807" s="12"/>
      <c r="B807" s="12"/>
      <c r="C807" s="12"/>
      <c r="D807" s="12"/>
    </row>
    <row r="808" ht="15.75" customHeight="1">
      <c r="A808" s="12"/>
      <c r="B808" s="12"/>
      <c r="C808" s="12"/>
      <c r="D808" s="12"/>
    </row>
    <row r="809" ht="15.75" customHeight="1">
      <c r="A809" s="12"/>
      <c r="B809" s="12"/>
      <c r="C809" s="12"/>
      <c r="D809" s="12"/>
    </row>
    <row r="810" ht="15.75" customHeight="1">
      <c r="A810" s="12"/>
      <c r="B810" s="12"/>
      <c r="C810" s="12"/>
      <c r="D810" s="12"/>
    </row>
    <row r="811" ht="15.75" customHeight="1">
      <c r="A811" s="12"/>
      <c r="B811" s="12"/>
      <c r="C811" s="12"/>
      <c r="D811" s="12"/>
    </row>
    <row r="812" ht="15.75" customHeight="1">
      <c r="A812" s="12"/>
      <c r="B812" s="12"/>
      <c r="C812" s="12"/>
      <c r="D812" s="12"/>
    </row>
    <row r="813" ht="15.75" customHeight="1">
      <c r="A813" s="12"/>
      <c r="B813" s="12"/>
      <c r="C813" s="12"/>
      <c r="D813" s="12"/>
    </row>
    <row r="814" ht="15.75" customHeight="1">
      <c r="A814" s="12"/>
      <c r="B814" s="12"/>
      <c r="C814" s="12"/>
      <c r="D814" s="12"/>
    </row>
    <row r="815" ht="15.75" customHeight="1">
      <c r="A815" s="12"/>
      <c r="B815" s="12"/>
      <c r="C815" s="12"/>
      <c r="D815" s="12"/>
    </row>
    <row r="816" ht="15.75" customHeight="1">
      <c r="A816" s="12"/>
      <c r="B816" s="12"/>
      <c r="C816" s="12"/>
      <c r="D816" s="12"/>
    </row>
    <row r="817" ht="15.75" customHeight="1">
      <c r="A817" s="12"/>
      <c r="B817" s="12"/>
      <c r="C817" s="12"/>
      <c r="D817" s="12"/>
    </row>
    <row r="818" ht="15.75" customHeight="1">
      <c r="A818" s="12"/>
      <c r="B818" s="12"/>
      <c r="C818" s="12"/>
      <c r="D818" s="12"/>
    </row>
    <row r="819" ht="15.75" customHeight="1">
      <c r="A819" s="12"/>
      <c r="B819" s="12"/>
      <c r="C819" s="12"/>
      <c r="D819" s="12"/>
    </row>
    <row r="820" ht="15.75" customHeight="1">
      <c r="A820" s="12"/>
      <c r="B820" s="12"/>
      <c r="C820" s="12"/>
      <c r="D820" s="12"/>
    </row>
    <row r="821" ht="15.75" customHeight="1">
      <c r="A821" s="12"/>
      <c r="B821" s="12"/>
      <c r="C821" s="12"/>
      <c r="D821" s="12"/>
    </row>
    <row r="822" ht="15.75" customHeight="1">
      <c r="A822" s="12"/>
      <c r="B822" s="12"/>
      <c r="C822" s="12"/>
      <c r="D822" s="12"/>
    </row>
    <row r="823" ht="15.75" customHeight="1">
      <c r="A823" s="12"/>
      <c r="B823" s="12"/>
      <c r="C823" s="12"/>
      <c r="D823" s="12"/>
    </row>
    <row r="824" ht="15.75" customHeight="1">
      <c r="A824" s="12"/>
      <c r="B824" s="12"/>
      <c r="C824" s="12"/>
      <c r="D824" s="12"/>
    </row>
    <row r="825" ht="15.75" customHeight="1">
      <c r="A825" s="12"/>
      <c r="B825" s="12"/>
      <c r="C825" s="12"/>
      <c r="D825" s="12"/>
    </row>
    <row r="826" ht="15.75" customHeight="1">
      <c r="A826" s="12"/>
      <c r="B826" s="12"/>
      <c r="C826" s="12"/>
      <c r="D826" s="12"/>
    </row>
    <row r="827" ht="15.75" customHeight="1">
      <c r="A827" s="12"/>
      <c r="B827" s="12"/>
      <c r="C827" s="12"/>
      <c r="D827" s="12"/>
    </row>
    <row r="828" ht="15.75" customHeight="1">
      <c r="A828" s="12"/>
      <c r="B828" s="12"/>
      <c r="C828" s="12"/>
      <c r="D828" s="12"/>
    </row>
    <row r="829" ht="15.75" customHeight="1">
      <c r="A829" s="12"/>
      <c r="B829" s="12"/>
      <c r="C829" s="12"/>
      <c r="D829" s="12"/>
    </row>
    <row r="830" ht="15.75" customHeight="1">
      <c r="A830" s="12"/>
      <c r="B830" s="12"/>
      <c r="C830" s="12"/>
      <c r="D830" s="12"/>
    </row>
    <row r="831" ht="15.75" customHeight="1">
      <c r="A831" s="12"/>
      <c r="B831" s="12"/>
      <c r="C831" s="12"/>
      <c r="D831" s="12"/>
    </row>
    <row r="832" ht="15.75" customHeight="1">
      <c r="A832" s="12"/>
      <c r="B832" s="12"/>
      <c r="C832" s="12"/>
      <c r="D832" s="12"/>
    </row>
    <row r="833" ht="15.75" customHeight="1">
      <c r="A833" s="12"/>
      <c r="B833" s="12"/>
      <c r="C833" s="12"/>
      <c r="D833" s="12"/>
    </row>
    <row r="834" ht="15.75" customHeight="1">
      <c r="A834" s="12"/>
      <c r="B834" s="12"/>
      <c r="C834" s="12"/>
      <c r="D834" s="12"/>
    </row>
    <row r="835" ht="15.75" customHeight="1">
      <c r="A835" s="12"/>
      <c r="B835" s="12"/>
      <c r="C835" s="12"/>
      <c r="D835" s="12"/>
    </row>
    <row r="836" ht="15.75" customHeight="1">
      <c r="A836" s="12"/>
      <c r="B836" s="12"/>
      <c r="C836" s="12"/>
      <c r="D836" s="12"/>
    </row>
    <row r="837" ht="15.75" customHeight="1">
      <c r="A837" s="12"/>
      <c r="B837" s="12"/>
      <c r="C837" s="12"/>
      <c r="D837" s="12"/>
    </row>
    <row r="838" ht="15.75" customHeight="1">
      <c r="A838" s="12"/>
      <c r="B838" s="12"/>
      <c r="C838" s="12"/>
      <c r="D838" s="12"/>
    </row>
    <row r="839" ht="15.75" customHeight="1">
      <c r="A839" s="12"/>
      <c r="B839" s="12"/>
      <c r="C839" s="12"/>
      <c r="D839" s="12"/>
    </row>
    <row r="840" ht="15.75" customHeight="1">
      <c r="A840" s="12"/>
      <c r="B840" s="12"/>
      <c r="C840" s="12"/>
      <c r="D840" s="12"/>
    </row>
    <row r="841" ht="15.75" customHeight="1">
      <c r="A841" s="12"/>
      <c r="B841" s="12"/>
      <c r="C841" s="12"/>
      <c r="D841" s="12"/>
    </row>
    <row r="842" ht="15.75" customHeight="1">
      <c r="A842" s="12"/>
      <c r="B842" s="12"/>
      <c r="C842" s="12"/>
      <c r="D842" s="12"/>
    </row>
    <row r="843" ht="15.75" customHeight="1">
      <c r="A843" s="12"/>
      <c r="B843" s="12"/>
      <c r="C843" s="12"/>
      <c r="D843" s="12"/>
    </row>
    <row r="844" ht="15.75" customHeight="1">
      <c r="A844" s="12"/>
      <c r="B844" s="12"/>
      <c r="C844" s="12"/>
      <c r="D844" s="12"/>
    </row>
    <row r="845" ht="15.75" customHeight="1">
      <c r="A845" s="12"/>
      <c r="B845" s="12"/>
      <c r="C845" s="12"/>
      <c r="D845" s="12"/>
    </row>
    <row r="846" ht="15.75" customHeight="1">
      <c r="A846" s="12"/>
      <c r="B846" s="12"/>
      <c r="C846" s="12"/>
      <c r="D846" s="12"/>
    </row>
    <row r="847" ht="15.75" customHeight="1">
      <c r="A847" s="12"/>
      <c r="B847" s="12"/>
      <c r="C847" s="12"/>
      <c r="D847" s="12"/>
    </row>
    <row r="848" ht="15.75" customHeight="1">
      <c r="A848" s="12"/>
      <c r="B848" s="12"/>
      <c r="C848" s="12"/>
      <c r="D848" s="12"/>
    </row>
    <row r="849" ht="15.75" customHeight="1">
      <c r="A849" s="12"/>
      <c r="B849" s="12"/>
      <c r="C849" s="12"/>
      <c r="D849" s="12"/>
    </row>
    <row r="850" ht="15.75" customHeight="1">
      <c r="A850" s="12"/>
      <c r="B850" s="12"/>
      <c r="C850" s="12"/>
      <c r="D850" s="12"/>
    </row>
    <row r="851" ht="15.75" customHeight="1">
      <c r="A851" s="12"/>
      <c r="B851" s="12"/>
      <c r="C851" s="12"/>
      <c r="D851" s="12"/>
    </row>
    <row r="852" ht="15.75" customHeight="1">
      <c r="A852" s="12"/>
      <c r="B852" s="12"/>
      <c r="C852" s="12"/>
      <c r="D852" s="12"/>
    </row>
    <row r="853" ht="15.75" customHeight="1">
      <c r="A853" s="12"/>
      <c r="B853" s="12"/>
      <c r="C853" s="12"/>
      <c r="D853" s="12"/>
    </row>
    <row r="854" ht="15.75" customHeight="1">
      <c r="A854" s="12"/>
      <c r="B854" s="12"/>
      <c r="C854" s="12"/>
      <c r="D854" s="12"/>
    </row>
    <row r="855" ht="15.75" customHeight="1">
      <c r="A855" s="12"/>
      <c r="B855" s="12"/>
      <c r="C855" s="12"/>
      <c r="D855" s="12"/>
    </row>
    <row r="856" ht="15.75" customHeight="1">
      <c r="A856" s="12"/>
      <c r="B856" s="12"/>
      <c r="C856" s="12"/>
      <c r="D856" s="12"/>
    </row>
    <row r="857" ht="15.75" customHeight="1">
      <c r="A857" s="12"/>
      <c r="B857" s="12"/>
      <c r="C857" s="12"/>
      <c r="D857" s="12"/>
    </row>
    <row r="858" ht="15.75" customHeight="1">
      <c r="A858" s="12"/>
      <c r="B858" s="12"/>
      <c r="C858" s="12"/>
      <c r="D858" s="12"/>
    </row>
    <row r="859" ht="15.75" customHeight="1">
      <c r="A859" s="12"/>
      <c r="B859" s="12"/>
      <c r="C859" s="12"/>
      <c r="D859" s="12"/>
    </row>
    <row r="860" ht="15.75" customHeight="1">
      <c r="A860" s="12"/>
      <c r="B860" s="12"/>
      <c r="C860" s="12"/>
      <c r="D860" s="12"/>
    </row>
    <row r="861" ht="15.75" customHeight="1">
      <c r="A861" s="12"/>
      <c r="B861" s="12"/>
      <c r="C861" s="12"/>
      <c r="D861" s="12"/>
    </row>
    <row r="862" ht="15.75" customHeight="1">
      <c r="A862" s="12"/>
      <c r="B862" s="12"/>
      <c r="C862" s="12"/>
      <c r="D862" s="12"/>
    </row>
    <row r="863" ht="15.75" customHeight="1">
      <c r="A863" s="12"/>
      <c r="B863" s="12"/>
      <c r="C863" s="12"/>
      <c r="D863" s="12"/>
    </row>
    <row r="864" ht="15.75" customHeight="1">
      <c r="A864" s="12"/>
      <c r="B864" s="12"/>
      <c r="C864" s="12"/>
      <c r="D864" s="12"/>
    </row>
    <row r="865" ht="15.75" customHeight="1">
      <c r="A865" s="12"/>
      <c r="B865" s="12"/>
      <c r="C865" s="12"/>
      <c r="D865" s="12"/>
    </row>
    <row r="866" ht="15.75" customHeight="1">
      <c r="A866" s="12"/>
      <c r="B866" s="12"/>
      <c r="C866" s="12"/>
      <c r="D866" s="12"/>
    </row>
    <row r="867" ht="15.75" customHeight="1">
      <c r="A867" s="12"/>
      <c r="B867" s="12"/>
      <c r="C867" s="12"/>
      <c r="D867" s="12"/>
    </row>
    <row r="868" ht="15.75" customHeight="1">
      <c r="A868" s="12"/>
      <c r="B868" s="12"/>
      <c r="C868" s="12"/>
      <c r="D868" s="12"/>
    </row>
    <row r="869" ht="15.75" customHeight="1">
      <c r="A869" s="12"/>
      <c r="B869" s="12"/>
      <c r="C869" s="12"/>
      <c r="D869" s="12"/>
    </row>
    <row r="870" ht="15.75" customHeight="1">
      <c r="A870" s="12"/>
      <c r="B870" s="12"/>
      <c r="C870" s="12"/>
      <c r="D870" s="12"/>
    </row>
    <row r="871" ht="15.75" customHeight="1">
      <c r="A871" s="12"/>
      <c r="B871" s="12"/>
      <c r="C871" s="12"/>
      <c r="D871" s="12"/>
    </row>
    <row r="872" ht="15.75" customHeight="1">
      <c r="A872" s="12"/>
      <c r="B872" s="12"/>
      <c r="C872" s="12"/>
      <c r="D872" s="12"/>
    </row>
    <row r="873" ht="15.75" customHeight="1">
      <c r="A873" s="12"/>
      <c r="B873" s="12"/>
      <c r="C873" s="12"/>
      <c r="D873" s="12"/>
    </row>
    <row r="874" ht="15.75" customHeight="1">
      <c r="A874" s="12"/>
      <c r="B874" s="12"/>
      <c r="C874" s="12"/>
      <c r="D874" s="12"/>
    </row>
    <row r="875" ht="15.75" customHeight="1">
      <c r="A875" s="12"/>
      <c r="B875" s="12"/>
      <c r="C875" s="12"/>
      <c r="D875" s="12"/>
    </row>
    <row r="876" ht="15.75" customHeight="1">
      <c r="A876" s="12"/>
      <c r="B876" s="12"/>
      <c r="C876" s="12"/>
      <c r="D876" s="12"/>
    </row>
    <row r="877" ht="15.75" customHeight="1">
      <c r="A877" s="12"/>
      <c r="B877" s="12"/>
      <c r="C877" s="12"/>
      <c r="D877" s="12"/>
    </row>
    <row r="878" ht="15.75" customHeight="1">
      <c r="A878" s="12"/>
      <c r="B878" s="12"/>
      <c r="C878" s="12"/>
      <c r="D878" s="12"/>
    </row>
    <row r="879" ht="15.75" customHeight="1">
      <c r="A879" s="12"/>
      <c r="B879" s="12"/>
      <c r="C879" s="12"/>
      <c r="D879" s="12"/>
    </row>
    <row r="880" ht="15.75" customHeight="1">
      <c r="A880" s="12"/>
      <c r="B880" s="12"/>
      <c r="C880" s="12"/>
      <c r="D880" s="12"/>
    </row>
    <row r="881" ht="15.75" customHeight="1">
      <c r="A881" s="12"/>
      <c r="B881" s="12"/>
      <c r="C881" s="12"/>
      <c r="D881" s="12"/>
    </row>
    <row r="882" ht="15.75" customHeight="1">
      <c r="A882" s="12"/>
      <c r="B882" s="12"/>
      <c r="C882" s="12"/>
      <c r="D882" s="12"/>
    </row>
    <row r="883" ht="15.75" customHeight="1">
      <c r="A883" s="12"/>
      <c r="B883" s="12"/>
      <c r="C883" s="12"/>
      <c r="D883" s="12"/>
    </row>
    <row r="884" ht="15.75" customHeight="1">
      <c r="A884" s="12"/>
      <c r="B884" s="12"/>
      <c r="C884" s="12"/>
      <c r="D884" s="12"/>
    </row>
    <row r="885" ht="15.75" customHeight="1">
      <c r="A885" s="12"/>
      <c r="B885" s="12"/>
      <c r="C885" s="12"/>
      <c r="D885" s="12"/>
    </row>
    <row r="886" ht="15.75" customHeight="1">
      <c r="A886" s="12"/>
      <c r="B886" s="12"/>
      <c r="C886" s="12"/>
      <c r="D886" s="12"/>
    </row>
    <row r="887" ht="15.75" customHeight="1">
      <c r="A887" s="12"/>
      <c r="B887" s="12"/>
      <c r="C887" s="12"/>
      <c r="D887" s="12"/>
    </row>
    <row r="888" ht="15.75" customHeight="1">
      <c r="A888" s="12"/>
      <c r="B888" s="12"/>
      <c r="C888" s="12"/>
      <c r="D888" s="12"/>
    </row>
    <row r="889" ht="15.75" customHeight="1">
      <c r="A889" s="12"/>
      <c r="B889" s="12"/>
      <c r="C889" s="12"/>
      <c r="D889" s="12"/>
    </row>
    <row r="890" ht="15.75" customHeight="1">
      <c r="A890" s="12"/>
      <c r="B890" s="12"/>
      <c r="C890" s="12"/>
      <c r="D890" s="12"/>
    </row>
    <row r="891" ht="15.75" customHeight="1">
      <c r="A891" s="12"/>
      <c r="B891" s="12"/>
      <c r="C891" s="12"/>
      <c r="D891" s="12"/>
    </row>
    <row r="892" ht="15.75" customHeight="1">
      <c r="A892" s="12"/>
      <c r="B892" s="12"/>
      <c r="C892" s="12"/>
      <c r="D892" s="12"/>
    </row>
    <row r="893" ht="15.75" customHeight="1">
      <c r="A893" s="12"/>
      <c r="B893" s="12"/>
      <c r="C893" s="12"/>
      <c r="D893" s="12"/>
    </row>
    <row r="894" ht="15.75" customHeight="1">
      <c r="A894" s="12"/>
      <c r="B894" s="12"/>
      <c r="C894" s="12"/>
      <c r="D894" s="12"/>
    </row>
    <row r="895" ht="15.75" customHeight="1">
      <c r="A895" s="12"/>
      <c r="B895" s="12"/>
      <c r="C895" s="12"/>
      <c r="D895" s="12"/>
    </row>
    <row r="896" ht="15.75" customHeight="1">
      <c r="A896" s="12"/>
      <c r="B896" s="12"/>
      <c r="C896" s="12"/>
      <c r="D896" s="12"/>
    </row>
    <row r="897" ht="15.75" customHeight="1">
      <c r="A897" s="12"/>
      <c r="B897" s="12"/>
      <c r="C897" s="12"/>
      <c r="D897" s="12"/>
    </row>
    <row r="898" ht="15.75" customHeight="1">
      <c r="A898" s="12"/>
      <c r="B898" s="12"/>
      <c r="C898" s="12"/>
      <c r="D898" s="12"/>
    </row>
    <row r="899" ht="15.75" customHeight="1">
      <c r="A899" s="12"/>
      <c r="B899" s="12"/>
      <c r="C899" s="12"/>
      <c r="D899" s="12"/>
    </row>
    <row r="900" ht="15.75" customHeight="1">
      <c r="A900" s="12"/>
      <c r="B900" s="12"/>
      <c r="C900" s="12"/>
      <c r="D900" s="12"/>
    </row>
    <row r="901" ht="15.75" customHeight="1">
      <c r="A901" s="12"/>
      <c r="B901" s="12"/>
      <c r="C901" s="12"/>
      <c r="D901" s="12"/>
    </row>
    <row r="902" ht="15.75" customHeight="1">
      <c r="A902" s="12"/>
      <c r="B902" s="12"/>
      <c r="C902" s="12"/>
      <c r="D902" s="12"/>
    </row>
    <row r="903" ht="15.75" customHeight="1">
      <c r="A903" s="12"/>
      <c r="B903" s="12"/>
      <c r="C903" s="12"/>
      <c r="D903" s="12"/>
    </row>
    <row r="904" ht="15.75" customHeight="1">
      <c r="A904" s="12"/>
      <c r="B904" s="12"/>
      <c r="C904" s="12"/>
      <c r="D904" s="12"/>
    </row>
    <row r="905" ht="15.75" customHeight="1">
      <c r="A905" s="12"/>
      <c r="B905" s="12"/>
      <c r="C905" s="12"/>
      <c r="D905" s="12"/>
    </row>
    <row r="906" ht="15.75" customHeight="1">
      <c r="A906" s="12"/>
      <c r="B906" s="12"/>
      <c r="C906" s="12"/>
      <c r="D906" s="12"/>
    </row>
    <row r="907" ht="15.75" customHeight="1">
      <c r="A907" s="12"/>
      <c r="B907" s="12"/>
      <c r="C907" s="12"/>
      <c r="D907" s="12"/>
    </row>
    <row r="908" ht="15.75" customHeight="1">
      <c r="A908" s="12"/>
      <c r="B908" s="12"/>
      <c r="C908" s="12"/>
      <c r="D908" s="12"/>
    </row>
    <row r="909" ht="15.75" customHeight="1">
      <c r="A909" s="12"/>
      <c r="B909" s="12"/>
      <c r="C909" s="12"/>
      <c r="D909" s="12"/>
    </row>
    <row r="910" ht="15.75" customHeight="1">
      <c r="A910" s="12"/>
      <c r="B910" s="12"/>
      <c r="C910" s="12"/>
      <c r="D910" s="12"/>
    </row>
    <row r="911" ht="15.75" customHeight="1">
      <c r="A911" s="12"/>
      <c r="B911" s="12"/>
      <c r="C911" s="12"/>
      <c r="D911" s="12"/>
    </row>
    <row r="912" ht="15.75" customHeight="1">
      <c r="A912" s="12"/>
      <c r="B912" s="12"/>
      <c r="C912" s="12"/>
      <c r="D912" s="12"/>
    </row>
    <row r="913" ht="15.75" customHeight="1">
      <c r="A913" s="12"/>
      <c r="B913" s="12"/>
      <c r="C913" s="12"/>
      <c r="D913" s="12"/>
    </row>
    <row r="914" ht="15.75" customHeight="1">
      <c r="A914" s="12"/>
      <c r="B914" s="12"/>
      <c r="C914" s="12"/>
      <c r="D914" s="12"/>
    </row>
    <row r="915" ht="15.75" customHeight="1">
      <c r="A915" s="12"/>
      <c r="B915" s="12"/>
      <c r="C915" s="12"/>
      <c r="D915" s="12"/>
    </row>
    <row r="916" ht="15.75" customHeight="1">
      <c r="A916" s="12"/>
      <c r="B916" s="12"/>
      <c r="C916" s="12"/>
      <c r="D916" s="12"/>
    </row>
    <row r="917" ht="15.75" customHeight="1">
      <c r="A917" s="12"/>
      <c r="B917" s="12"/>
      <c r="C917" s="12"/>
      <c r="D917" s="12"/>
    </row>
    <row r="918" ht="15.75" customHeight="1">
      <c r="A918" s="12"/>
      <c r="B918" s="12"/>
      <c r="C918" s="12"/>
      <c r="D918" s="12"/>
    </row>
    <row r="919" ht="15.75" customHeight="1">
      <c r="A919" s="12"/>
      <c r="B919" s="12"/>
      <c r="C919" s="12"/>
      <c r="D919" s="12"/>
    </row>
    <row r="920" ht="15.75" customHeight="1">
      <c r="A920" s="12"/>
      <c r="B920" s="12"/>
      <c r="C920" s="12"/>
      <c r="D920" s="12"/>
    </row>
    <row r="921" ht="15.75" customHeight="1">
      <c r="A921" s="12"/>
      <c r="B921" s="12"/>
      <c r="C921" s="12"/>
      <c r="D921" s="12"/>
    </row>
    <row r="922" ht="15.75" customHeight="1">
      <c r="A922" s="12"/>
      <c r="B922" s="12"/>
      <c r="C922" s="12"/>
      <c r="D922" s="12"/>
    </row>
    <row r="923" ht="15.75" customHeight="1">
      <c r="A923" s="12"/>
      <c r="B923" s="12"/>
      <c r="C923" s="12"/>
      <c r="D923" s="12"/>
    </row>
    <row r="924" ht="15.75" customHeight="1">
      <c r="A924" s="12"/>
      <c r="B924" s="12"/>
      <c r="C924" s="12"/>
      <c r="D924" s="12"/>
    </row>
    <row r="925" ht="15.75" customHeight="1">
      <c r="A925" s="12"/>
      <c r="B925" s="12"/>
      <c r="C925" s="12"/>
      <c r="D925" s="12"/>
    </row>
    <row r="926" ht="15.75" customHeight="1">
      <c r="A926" s="12"/>
      <c r="B926" s="12"/>
      <c r="C926" s="12"/>
      <c r="D926" s="12"/>
    </row>
    <row r="927" ht="15.75" customHeight="1">
      <c r="A927" s="12"/>
      <c r="B927" s="12"/>
      <c r="C927" s="12"/>
      <c r="D927" s="12"/>
    </row>
    <row r="928" ht="15.75" customHeight="1">
      <c r="A928" s="12"/>
      <c r="B928" s="12"/>
      <c r="C928" s="12"/>
      <c r="D928" s="12"/>
    </row>
    <row r="929" ht="15.75" customHeight="1">
      <c r="A929" s="12"/>
      <c r="B929" s="12"/>
      <c r="C929" s="12"/>
      <c r="D929" s="12"/>
    </row>
    <row r="930" ht="15.75" customHeight="1">
      <c r="A930" s="12"/>
      <c r="B930" s="12"/>
      <c r="C930" s="12"/>
      <c r="D930" s="12"/>
    </row>
    <row r="931" ht="15.75" customHeight="1">
      <c r="A931" s="12"/>
      <c r="B931" s="12"/>
      <c r="C931" s="12"/>
      <c r="D931" s="12"/>
    </row>
    <row r="932" ht="15.75" customHeight="1">
      <c r="A932" s="12"/>
      <c r="B932" s="12"/>
      <c r="C932" s="12"/>
      <c r="D932" s="12"/>
    </row>
    <row r="933" ht="15.75" customHeight="1">
      <c r="A933" s="12"/>
      <c r="B933" s="12"/>
      <c r="C933" s="12"/>
      <c r="D933" s="12"/>
    </row>
    <row r="934" ht="15.75" customHeight="1">
      <c r="A934" s="12"/>
      <c r="B934" s="12"/>
      <c r="C934" s="12"/>
      <c r="D934" s="12"/>
    </row>
    <row r="935" ht="15.75" customHeight="1">
      <c r="A935" s="12"/>
      <c r="B935" s="12"/>
      <c r="C935" s="12"/>
      <c r="D935" s="12"/>
    </row>
    <row r="936" ht="15.75" customHeight="1">
      <c r="A936" s="12"/>
      <c r="B936" s="12"/>
      <c r="C936" s="12"/>
      <c r="D936" s="12"/>
    </row>
    <row r="937" ht="15.75" customHeight="1">
      <c r="A937" s="12"/>
      <c r="B937" s="12"/>
      <c r="C937" s="12"/>
      <c r="D937" s="12"/>
    </row>
    <row r="938" ht="15.75" customHeight="1">
      <c r="A938" s="12"/>
      <c r="B938" s="12"/>
      <c r="C938" s="12"/>
      <c r="D938" s="12"/>
    </row>
    <row r="939" ht="15.75" customHeight="1">
      <c r="A939" s="12"/>
      <c r="B939" s="12"/>
      <c r="C939" s="12"/>
      <c r="D939" s="12"/>
    </row>
    <row r="940" ht="15.75" customHeight="1">
      <c r="A940" s="12"/>
      <c r="B940" s="12"/>
      <c r="C940" s="12"/>
      <c r="D940" s="12"/>
    </row>
    <row r="941" ht="15.75" customHeight="1">
      <c r="A941" s="12"/>
      <c r="B941" s="12"/>
      <c r="C941" s="12"/>
      <c r="D941" s="12"/>
    </row>
    <row r="942" ht="15.75" customHeight="1">
      <c r="A942" s="12"/>
      <c r="B942" s="12"/>
      <c r="C942" s="12"/>
      <c r="D942" s="12"/>
    </row>
    <row r="943" ht="15.75" customHeight="1">
      <c r="A943" s="12"/>
      <c r="B943" s="12"/>
      <c r="C943" s="12"/>
      <c r="D943" s="12"/>
    </row>
    <row r="944" ht="15.75" customHeight="1">
      <c r="A944" s="12"/>
      <c r="B944" s="12"/>
      <c r="C944" s="12"/>
      <c r="D944" s="12"/>
    </row>
    <row r="945" ht="15.75" customHeight="1">
      <c r="A945" s="12"/>
      <c r="B945" s="12"/>
      <c r="C945" s="12"/>
      <c r="D945" s="12"/>
    </row>
    <row r="946" ht="15.75" customHeight="1">
      <c r="A946" s="12"/>
      <c r="B946" s="12"/>
      <c r="C946" s="12"/>
      <c r="D946" s="12"/>
    </row>
    <row r="947" ht="15.75" customHeight="1">
      <c r="A947" s="12"/>
      <c r="B947" s="12"/>
      <c r="C947" s="12"/>
      <c r="D947" s="12"/>
    </row>
    <row r="948" ht="15.75" customHeight="1">
      <c r="A948" s="12"/>
      <c r="B948" s="12"/>
      <c r="C948" s="12"/>
      <c r="D948" s="12"/>
    </row>
    <row r="949" ht="15.75" customHeight="1">
      <c r="A949" s="12"/>
      <c r="B949" s="12"/>
      <c r="C949" s="12"/>
      <c r="D949" s="12"/>
    </row>
    <row r="950" ht="15.75" customHeight="1">
      <c r="A950" s="12"/>
      <c r="B950" s="12"/>
      <c r="C950" s="12"/>
      <c r="D950" s="12"/>
    </row>
    <row r="951" ht="15.75" customHeight="1">
      <c r="A951" s="12"/>
      <c r="B951" s="12"/>
      <c r="C951" s="12"/>
      <c r="D951" s="12"/>
    </row>
    <row r="952" ht="15.75" customHeight="1">
      <c r="A952" s="12"/>
      <c r="B952" s="12"/>
      <c r="C952" s="12"/>
      <c r="D952" s="12"/>
    </row>
    <row r="953" ht="15.75" customHeight="1">
      <c r="A953" s="12"/>
      <c r="B953" s="12"/>
      <c r="C953" s="12"/>
      <c r="D953" s="12"/>
    </row>
    <row r="954" ht="15.75" customHeight="1">
      <c r="A954" s="12"/>
      <c r="B954" s="12"/>
      <c r="C954" s="12"/>
      <c r="D954" s="12"/>
    </row>
    <row r="955" ht="15.75" customHeight="1">
      <c r="A955" s="12"/>
      <c r="B955" s="12"/>
      <c r="C955" s="12"/>
      <c r="D955" s="12"/>
    </row>
    <row r="956" ht="15.75" customHeight="1">
      <c r="A956" s="12"/>
      <c r="B956" s="12"/>
      <c r="C956" s="12"/>
      <c r="D956" s="12"/>
    </row>
    <row r="957" ht="15.75" customHeight="1">
      <c r="A957" s="12"/>
      <c r="B957" s="12"/>
      <c r="C957" s="12"/>
      <c r="D957" s="12"/>
    </row>
    <row r="958" ht="15.75" customHeight="1">
      <c r="A958" s="12"/>
      <c r="B958" s="12"/>
      <c r="C958" s="12"/>
      <c r="D958" s="12"/>
    </row>
    <row r="959" ht="15.75" customHeight="1">
      <c r="A959" s="12"/>
      <c r="B959" s="12"/>
      <c r="C959" s="12"/>
      <c r="D959" s="12"/>
    </row>
    <row r="960" ht="15.75" customHeight="1">
      <c r="A960" s="12"/>
      <c r="B960" s="12"/>
      <c r="C960" s="12"/>
      <c r="D960" s="12"/>
    </row>
    <row r="961" ht="15.75" customHeight="1">
      <c r="A961" s="12"/>
      <c r="B961" s="12"/>
      <c r="C961" s="12"/>
      <c r="D961" s="12"/>
    </row>
    <row r="962" ht="15.75" customHeight="1">
      <c r="A962" s="12"/>
      <c r="B962" s="12"/>
      <c r="C962" s="12"/>
      <c r="D962" s="12"/>
    </row>
    <row r="963" ht="15.75" customHeight="1">
      <c r="A963" s="12"/>
      <c r="B963" s="12"/>
      <c r="C963" s="12"/>
      <c r="D963" s="12"/>
    </row>
    <row r="964" ht="15.75" customHeight="1">
      <c r="A964" s="12"/>
      <c r="B964" s="12"/>
      <c r="C964" s="12"/>
      <c r="D964" s="12"/>
    </row>
    <row r="965" ht="15.75" customHeight="1">
      <c r="A965" s="12"/>
      <c r="B965" s="12"/>
      <c r="C965" s="12"/>
      <c r="D965" s="12"/>
    </row>
    <row r="966" ht="15.75" customHeight="1">
      <c r="A966" s="12"/>
      <c r="B966" s="12"/>
      <c r="C966" s="12"/>
      <c r="D966" s="12"/>
    </row>
    <row r="967" ht="15.75" customHeight="1">
      <c r="A967" s="12"/>
      <c r="B967" s="12"/>
      <c r="C967" s="12"/>
      <c r="D967" s="12"/>
    </row>
    <row r="968" ht="15.75" customHeight="1">
      <c r="A968" s="12"/>
      <c r="B968" s="12"/>
      <c r="C968" s="12"/>
      <c r="D968" s="12"/>
    </row>
    <row r="969" ht="15.75" customHeight="1">
      <c r="A969" s="12"/>
      <c r="B969" s="12"/>
      <c r="C969" s="12"/>
      <c r="D969" s="12"/>
    </row>
    <row r="970" ht="15.75" customHeight="1">
      <c r="A970" s="12"/>
      <c r="B970" s="12"/>
      <c r="C970" s="12"/>
      <c r="D970" s="12"/>
    </row>
    <row r="971" ht="15.75" customHeight="1">
      <c r="A971" s="12"/>
      <c r="B971" s="12"/>
      <c r="C971" s="12"/>
      <c r="D971" s="12"/>
    </row>
    <row r="972" ht="15.75" customHeight="1">
      <c r="A972" s="12"/>
      <c r="B972" s="12"/>
      <c r="C972" s="12"/>
      <c r="D972" s="12"/>
    </row>
    <row r="973" ht="15.75" customHeight="1">
      <c r="A973" s="12"/>
      <c r="B973" s="12"/>
      <c r="C973" s="12"/>
      <c r="D973" s="12"/>
    </row>
    <row r="974" ht="15.75" customHeight="1">
      <c r="A974" s="12"/>
      <c r="B974" s="12"/>
      <c r="C974" s="12"/>
      <c r="D974" s="12"/>
    </row>
    <row r="975" ht="15.75" customHeight="1">
      <c r="A975" s="12"/>
      <c r="B975" s="12"/>
      <c r="C975" s="12"/>
      <c r="D975" s="12"/>
    </row>
    <row r="976" ht="15.75" customHeight="1">
      <c r="A976" s="12"/>
      <c r="B976" s="12"/>
      <c r="C976" s="12"/>
      <c r="D976" s="12"/>
    </row>
    <row r="977" ht="15.75" customHeight="1">
      <c r="A977" s="12"/>
      <c r="B977" s="12"/>
      <c r="C977" s="12"/>
      <c r="D977" s="12"/>
    </row>
    <row r="978" ht="15.75" customHeight="1">
      <c r="A978" s="12"/>
      <c r="B978" s="12"/>
      <c r="C978" s="12"/>
      <c r="D978" s="12"/>
    </row>
    <row r="979" ht="15.75" customHeight="1">
      <c r="A979" s="12"/>
      <c r="B979" s="12"/>
      <c r="C979" s="12"/>
      <c r="D979" s="12"/>
    </row>
    <row r="980" ht="15.75" customHeight="1">
      <c r="A980" s="12"/>
      <c r="B980" s="12"/>
      <c r="C980" s="12"/>
      <c r="D980" s="12"/>
    </row>
    <row r="981" ht="15.75" customHeight="1">
      <c r="A981" s="12"/>
      <c r="B981" s="12"/>
      <c r="C981" s="12"/>
      <c r="D981" s="12"/>
    </row>
    <row r="982" ht="15.75" customHeight="1">
      <c r="A982" s="12"/>
      <c r="B982" s="12"/>
      <c r="C982" s="12"/>
      <c r="D982" s="12"/>
    </row>
    <row r="983" ht="15.75" customHeight="1">
      <c r="A983" s="12"/>
      <c r="B983" s="12"/>
      <c r="C983" s="12"/>
      <c r="D983" s="12"/>
    </row>
    <row r="984" ht="15.75" customHeight="1">
      <c r="A984" s="12"/>
      <c r="B984" s="12"/>
      <c r="C984" s="12"/>
      <c r="D984" s="12"/>
    </row>
    <row r="985" ht="15.75" customHeight="1">
      <c r="A985" s="12"/>
      <c r="B985" s="12"/>
      <c r="C985" s="12"/>
      <c r="D985" s="12"/>
    </row>
    <row r="986" ht="15.75" customHeight="1">
      <c r="A986" s="12"/>
      <c r="B986" s="12"/>
      <c r="C986" s="12"/>
      <c r="D986" s="12"/>
    </row>
    <row r="987" ht="15.75" customHeight="1">
      <c r="A987" s="12"/>
      <c r="B987" s="12"/>
      <c r="C987" s="12"/>
      <c r="D987" s="12"/>
    </row>
    <row r="988" ht="15.75" customHeight="1">
      <c r="A988" s="12"/>
      <c r="B988" s="12"/>
      <c r="C988" s="12"/>
      <c r="D988" s="12"/>
    </row>
    <row r="989" ht="15.75" customHeight="1">
      <c r="A989" s="12"/>
      <c r="B989" s="12"/>
      <c r="C989" s="12"/>
      <c r="D989" s="12"/>
    </row>
    <row r="990" ht="15.75" customHeight="1">
      <c r="A990" s="12"/>
      <c r="B990" s="12"/>
      <c r="C990" s="12"/>
      <c r="D990" s="12"/>
    </row>
    <row r="991" ht="15.75" customHeight="1">
      <c r="A991" s="12"/>
      <c r="B991" s="12"/>
      <c r="C991" s="12"/>
      <c r="D991" s="12"/>
    </row>
    <row r="992" ht="15.75" customHeight="1">
      <c r="A992" s="12"/>
      <c r="B992" s="12"/>
      <c r="C992" s="12"/>
      <c r="D992" s="12"/>
    </row>
    <row r="993" ht="15.75" customHeight="1">
      <c r="A993" s="12"/>
      <c r="B993" s="12"/>
      <c r="C993" s="12"/>
      <c r="D993" s="12"/>
    </row>
    <row r="994" ht="15.75" customHeight="1">
      <c r="A994" s="12"/>
      <c r="B994" s="12"/>
      <c r="C994" s="12"/>
      <c r="D994" s="12"/>
    </row>
    <row r="995" ht="15.75" customHeight="1">
      <c r="A995" s="12"/>
      <c r="B995" s="12"/>
      <c r="C995" s="12"/>
      <c r="D995" s="12"/>
    </row>
    <row r="996" ht="15.75" customHeight="1">
      <c r="A996" s="12"/>
      <c r="B996" s="12"/>
      <c r="C996" s="12"/>
      <c r="D996" s="12"/>
    </row>
    <row r="997" ht="15.75" customHeight="1">
      <c r="A997" s="12"/>
      <c r="B997" s="12"/>
      <c r="C997" s="12"/>
      <c r="D997" s="12"/>
    </row>
    <row r="998" ht="15.75" customHeight="1">
      <c r="A998" s="12"/>
      <c r="B998" s="12"/>
      <c r="C998" s="12"/>
      <c r="D998" s="12"/>
    </row>
    <row r="999" ht="15.75" customHeight="1">
      <c r="A999" s="12"/>
      <c r="B999" s="12"/>
      <c r="C999" s="12"/>
      <c r="D999" s="12"/>
    </row>
    <row r="1000" ht="15.75" customHeight="1">
      <c r="A1000" s="12"/>
      <c r="B1000" s="12"/>
      <c r="C1000" s="12"/>
      <c r="D1000" s="12"/>
    </row>
  </sheetData>
  <printOptions/>
  <pageMargins bottom="1.0" footer="0.0" header="0.0" left="0.75" right="0.75" top="1.0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2" width="10.0"/>
    <col customWidth="1" min="3" max="3" width="24.0"/>
    <col customWidth="1" min="4" max="4" width="14.0"/>
    <col customWidth="1" min="5" max="6" width="10.0"/>
    <col customWidth="1" min="7" max="7" width="20.0"/>
    <col customWidth="1" min="8" max="26" width="8.71"/>
  </cols>
  <sheetData>
    <row r="1" ht="15.0" customHeight="1">
      <c r="A1" s="2" t="s">
        <v>27</v>
      </c>
      <c r="B1" s="2" t="s">
        <v>135</v>
      </c>
      <c r="C1" s="2" t="s">
        <v>136</v>
      </c>
      <c r="D1" s="2" t="s">
        <v>137</v>
      </c>
      <c r="E1" s="2" t="s">
        <v>4</v>
      </c>
      <c r="F1" s="2" t="s">
        <v>138</v>
      </c>
      <c r="G1" s="2" t="s">
        <v>139</v>
      </c>
    </row>
    <row r="2" ht="15.0" customHeight="1">
      <c r="A2" s="16">
        <v>1.0</v>
      </c>
      <c r="B2" s="13" t="s">
        <v>58</v>
      </c>
      <c r="C2" s="13" t="s">
        <v>18</v>
      </c>
      <c r="D2" s="13" t="s">
        <v>7</v>
      </c>
      <c r="E2" s="13" t="s">
        <v>17</v>
      </c>
      <c r="F2" s="13" t="s">
        <v>9</v>
      </c>
      <c r="G2" s="17">
        <v>46288.37144616898</v>
      </c>
    </row>
    <row r="3">
      <c r="A3" s="16">
        <v>1.0</v>
      </c>
      <c r="B3" s="13" t="s">
        <v>58</v>
      </c>
      <c r="C3" s="13" t="s">
        <v>31</v>
      </c>
      <c r="D3" s="13" t="s">
        <v>24</v>
      </c>
      <c r="E3" s="13" t="s">
        <v>17</v>
      </c>
      <c r="F3" s="13" t="s">
        <v>9</v>
      </c>
      <c r="G3" s="17">
        <v>46288.37144616898</v>
      </c>
    </row>
    <row r="4">
      <c r="A4" s="16">
        <v>1.0</v>
      </c>
      <c r="B4" s="13" t="s">
        <v>58</v>
      </c>
      <c r="C4" s="13" t="s">
        <v>122</v>
      </c>
      <c r="D4" s="13" t="s">
        <v>115</v>
      </c>
      <c r="E4" s="13" t="s">
        <v>17</v>
      </c>
      <c r="F4" s="13" t="s">
        <v>9</v>
      </c>
      <c r="G4" s="17">
        <v>46288.37144616898</v>
      </c>
    </row>
    <row r="5">
      <c r="A5" s="16">
        <v>1.0</v>
      </c>
      <c r="B5" s="13" t="s">
        <v>58</v>
      </c>
      <c r="C5" s="13" t="s">
        <v>25</v>
      </c>
      <c r="D5" s="13" t="s">
        <v>24</v>
      </c>
      <c r="E5" s="13" t="s">
        <v>8</v>
      </c>
      <c r="F5" s="13" t="s">
        <v>9</v>
      </c>
      <c r="G5" s="17">
        <v>46288.37144616898</v>
      </c>
    </row>
    <row r="6">
      <c r="A6" s="16">
        <v>1.0</v>
      </c>
      <c r="B6" s="13" t="s">
        <v>58</v>
      </c>
      <c r="C6" s="13" t="s">
        <v>78</v>
      </c>
      <c r="D6" s="13" t="s">
        <v>71</v>
      </c>
      <c r="E6" s="13" t="s">
        <v>8</v>
      </c>
      <c r="F6" s="13" t="s">
        <v>9</v>
      </c>
      <c r="G6" s="17">
        <v>46288.37144616898</v>
      </c>
    </row>
    <row r="7">
      <c r="A7" s="16">
        <v>1.0</v>
      </c>
      <c r="B7" s="13" t="s">
        <v>58</v>
      </c>
      <c r="C7" s="13" t="s">
        <v>121</v>
      </c>
      <c r="D7" s="13" t="s">
        <v>115</v>
      </c>
      <c r="E7" s="13" t="s">
        <v>8</v>
      </c>
      <c r="F7" s="13" t="s">
        <v>9</v>
      </c>
      <c r="G7" s="17">
        <v>46288.37144616898</v>
      </c>
    </row>
    <row r="8">
      <c r="A8" s="16">
        <v>1.0</v>
      </c>
      <c r="B8" s="13" t="s">
        <v>58</v>
      </c>
      <c r="C8" s="13" t="s">
        <v>40</v>
      </c>
      <c r="D8" s="13" t="s">
        <v>24</v>
      </c>
      <c r="E8" s="13" t="s">
        <v>20</v>
      </c>
      <c r="F8" s="13" t="s">
        <v>14</v>
      </c>
      <c r="G8" s="17">
        <v>46288.37144616898</v>
      </c>
    </row>
    <row r="9">
      <c r="A9" s="16">
        <v>1.0</v>
      </c>
      <c r="B9" s="13" t="s">
        <v>58</v>
      </c>
      <c r="C9" s="13" t="s">
        <v>57</v>
      </c>
      <c r="D9" s="13" t="s">
        <v>58</v>
      </c>
      <c r="E9" s="13" t="s">
        <v>20</v>
      </c>
      <c r="F9" s="13" t="s">
        <v>9</v>
      </c>
      <c r="G9" s="17">
        <v>46288.37144616898</v>
      </c>
    </row>
    <row r="10">
      <c r="A10" s="16">
        <v>1.0</v>
      </c>
      <c r="B10" s="13" t="s">
        <v>58</v>
      </c>
      <c r="C10" s="13" t="s">
        <v>92</v>
      </c>
      <c r="D10" s="13" t="s">
        <v>74</v>
      </c>
      <c r="E10" s="13" t="s">
        <v>20</v>
      </c>
      <c r="F10" s="13" t="s">
        <v>9</v>
      </c>
      <c r="G10" s="17">
        <v>46288.37144616898</v>
      </c>
    </row>
    <row r="11">
      <c r="A11" s="16">
        <v>1.0</v>
      </c>
      <c r="B11" s="13" t="s">
        <v>140</v>
      </c>
      <c r="C11" s="13" t="s">
        <v>69</v>
      </c>
      <c r="D11" s="13" t="s">
        <v>71</v>
      </c>
      <c r="E11" s="13" t="s">
        <v>17</v>
      </c>
      <c r="F11" s="13" t="s">
        <v>9</v>
      </c>
      <c r="G11" s="17">
        <v>46289.086330833336</v>
      </c>
    </row>
    <row r="12">
      <c r="A12" s="16">
        <v>1.0</v>
      </c>
      <c r="B12" s="13" t="s">
        <v>140</v>
      </c>
      <c r="C12" s="13" t="s">
        <v>61</v>
      </c>
      <c r="D12" s="13" t="s">
        <v>58</v>
      </c>
      <c r="E12" s="13" t="s">
        <v>17</v>
      </c>
      <c r="F12" s="13" t="s">
        <v>9</v>
      </c>
      <c r="G12" s="17">
        <v>46289.086330833336</v>
      </c>
    </row>
    <row r="13">
      <c r="A13" s="16">
        <v>1.0</v>
      </c>
      <c r="B13" s="13" t="s">
        <v>140</v>
      </c>
      <c r="C13" s="13" t="s">
        <v>18</v>
      </c>
      <c r="D13" s="13" t="s">
        <v>7</v>
      </c>
      <c r="E13" s="13" t="s">
        <v>17</v>
      </c>
      <c r="F13" s="13" t="s">
        <v>14</v>
      </c>
      <c r="G13" s="17">
        <v>46289.086330833336</v>
      </c>
    </row>
    <row r="14">
      <c r="A14" s="16">
        <v>1.0</v>
      </c>
      <c r="B14" s="13" t="s">
        <v>140</v>
      </c>
      <c r="C14" s="13" t="s">
        <v>103</v>
      </c>
      <c r="D14" s="13" t="s">
        <v>74</v>
      </c>
      <c r="E14" s="13" t="s">
        <v>8</v>
      </c>
      <c r="F14" s="13" t="s">
        <v>9</v>
      </c>
      <c r="G14" s="17">
        <v>46289.086330833336</v>
      </c>
    </row>
    <row r="15">
      <c r="A15" s="16">
        <v>1.0</v>
      </c>
      <c r="B15" s="13" t="s">
        <v>140</v>
      </c>
      <c r="C15" s="13" t="s">
        <v>118</v>
      </c>
      <c r="D15" s="13" t="s">
        <v>115</v>
      </c>
      <c r="E15" s="13" t="s">
        <v>8</v>
      </c>
      <c r="F15" s="13" t="s">
        <v>9</v>
      </c>
      <c r="G15" s="17">
        <v>46289.086330833336</v>
      </c>
    </row>
    <row r="16">
      <c r="A16" s="16">
        <v>1.0</v>
      </c>
      <c r="B16" s="13" t="s">
        <v>140</v>
      </c>
      <c r="C16" s="13" t="s">
        <v>53</v>
      </c>
      <c r="D16" s="13" t="s">
        <v>58</v>
      </c>
      <c r="E16" s="13" t="s">
        <v>8</v>
      </c>
      <c r="F16" s="13" t="s">
        <v>9</v>
      </c>
      <c r="G16" s="17">
        <v>46289.086330833336</v>
      </c>
    </row>
    <row r="17">
      <c r="A17" s="16">
        <v>1.0</v>
      </c>
      <c r="B17" s="13" t="s">
        <v>140</v>
      </c>
      <c r="C17" s="13" t="s">
        <v>40</v>
      </c>
      <c r="D17" s="13" t="s">
        <v>24</v>
      </c>
      <c r="E17" s="13" t="s">
        <v>20</v>
      </c>
      <c r="F17" s="13" t="s">
        <v>9</v>
      </c>
      <c r="G17" s="17">
        <v>46289.086330833336</v>
      </c>
    </row>
    <row r="18">
      <c r="A18" s="16">
        <v>1.0</v>
      </c>
      <c r="B18" s="13" t="s">
        <v>140</v>
      </c>
      <c r="C18" s="13" t="s">
        <v>92</v>
      </c>
      <c r="D18" s="13" t="s">
        <v>71</v>
      </c>
      <c r="E18" s="13" t="s">
        <v>20</v>
      </c>
      <c r="F18" s="13" t="s">
        <v>9</v>
      </c>
      <c r="G18" s="17">
        <v>46289.086330833336</v>
      </c>
    </row>
    <row r="19">
      <c r="A19" s="16">
        <v>1.0</v>
      </c>
      <c r="B19" s="13" t="s">
        <v>140</v>
      </c>
      <c r="C19" s="13" t="s">
        <v>124</v>
      </c>
      <c r="D19" s="13" t="s">
        <v>115</v>
      </c>
      <c r="E19" s="13" t="s">
        <v>20</v>
      </c>
      <c r="F19" s="13" t="s">
        <v>9</v>
      </c>
      <c r="G19" s="17">
        <v>46289.086330833336</v>
      </c>
    </row>
    <row r="20">
      <c r="A20" s="18">
        <v>1.0</v>
      </c>
      <c r="B20" s="10" t="s">
        <v>24</v>
      </c>
      <c r="C20" s="10" t="s">
        <v>31</v>
      </c>
      <c r="D20" s="10" t="s">
        <v>24</v>
      </c>
      <c r="E20" s="10" t="s">
        <v>17</v>
      </c>
      <c r="F20" s="10" t="s">
        <v>14</v>
      </c>
      <c r="G20" s="19">
        <v>46289.088953530096</v>
      </c>
    </row>
    <row r="21" ht="15.75" customHeight="1">
      <c r="A21" s="18">
        <v>1.0</v>
      </c>
      <c r="B21" s="10" t="s">
        <v>24</v>
      </c>
      <c r="C21" s="10" t="s">
        <v>69</v>
      </c>
      <c r="D21" s="10" t="s">
        <v>71</v>
      </c>
      <c r="E21" s="10" t="s">
        <v>17</v>
      </c>
      <c r="F21" s="10" t="s">
        <v>9</v>
      </c>
      <c r="G21" s="19">
        <v>46289.088953530096</v>
      </c>
    </row>
    <row r="22" ht="15.75" customHeight="1">
      <c r="A22" s="18">
        <v>1.0</v>
      </c>
      <c r="B22" s="10" t="s">
        <v>24</v>
      </c>
      <c r="C22" s="10" t="s">
        <v>78</v>
      </c>
      <c r="D22" s="10" t="s">
        <v>71</v>
      </c>
      <c r="E22" s="10" t="s">
        <v>8</v>
      </c>
      <c r="F22" s="10" t="s">
        <v>9</v>
      </c>
      <c r="G22" s="19">
        <v>46289.088953530096</v>
      </c>
    </row>
    <row r="23" ht="15.75" customHeight="1">
      <c r="A23" s="18">
        <v>1.0</v>
      </c>
      <c r="B23" s="10" t="s">
        <v>24</v>
      </c>
      <c r="C23" s="10" t="s">
        <v>104</v>
      </c>
      <c r="D23" s="10" t="s">
        <v>74</v>
      </c>
      <c r="E23" s="10" t="s">
        <v>8</v>
      </c>
      <c r="F23" s="10" t="s">
        <v>9</v>
      </c>
      <c r="G23" s="19">
        <v>46289.088953530096</v>
      </c>
    </row>
    <row r="24" ht="15.75" customHeight="1">
      <c r="A24" s="18">
        <v>1.0</v>
      </c>
      <c r="B24" s="10" t="s">
        <v>24</v>
      </c>
      <c r="C24" s="10" t="s">
        <v>121</v>
      </c>
      <c r="D24" s="10" t="s">
        <v>115</v>
      </c>
      <c r="E24" s="10" t="s">
        <v>8</v>
      </c>
      <c r="F24" s="10" t="s">
        <v>9</v>
      </c>
      <c r="G24" s="19">
        <v>46289.088953530096</v>
      </c>
    </row>
    <row r="25" ht="15.75" customHeight="1">
      <c r="A25" s="18">
        <v>1.0</v>
      </c>
      <c r="B25" s="10" t="s">
        <v>24</v>
      </c>
      <c r="C25" s="10" t="s">
        <v>40</v>
      </c>
      <c r="D25" s="10" t="s">
        <v>24</v>
      </c>
      <c r="E25" s="10" t="s">
        <v>20</v>
      </c>
      <c r="F25" s="10" t="s">
        <v>9</v>
      </c>
      <c r="G25" s="19">
        <v>46289.088953530096</v>
      </c>
    </row>
    <row r="26" ht="15.75" customHeight="1">
      <c r="A26" s="18">
        <v>1.0</v>
      </c>
      <c r="B26" s="10" t="s">
        <v>24</v>
      </c>
      <c r="C26" s="10" t="s">
        <v>92</v>
      </c>
      <c r="D26" s="10" t="s">
        <v>71</v>
      </c>
      <c r="E26" s="10" t="s">
        <v>20</v>
      </c>
      <c r="F26" s="10" t="s">
        <v>9</v>
      </c>
      <c r="G26" s="19">
        <v>46289.088953530096</v>
      </c>
    </row>
    <row r="27" ht="15.75" customHeight="1">
      <c r="A27" s="18">
        <v>1.0</v>
      </c>
      <c r="B27" s="10" t="s">
        <v>24</v>
      </c>
      <c r="C27" s="10" t="s">
        <v>57</v>
      </c>
      <c r="D27" s="10" t="s">
        <v>58</v>
      </c>
      <c r="E27" s="10" t="s">
        <v>20</v>
      </c>
      <c r="F27" s="10" t="s">
        <v>9</v>
      </c>
      <c r="G27" s="19">
        <v>46289.088953530096</v>
      </c>
    </row>
    <row r="28" ht="15.75" customHeight="1">
      <c r="A28" s="18">
        <v>1.0</v>
      </c>
      <c r="B28" s="10" t="s">
        <v>24</v>
      </c>
      <c r="C28" s="10" t="s">
        <v>16</v>
      </c>
      <c r="D28" s="10" t="s">
        <v>7</v>
      </c>
      <c r="E28" s="10" t="s">
        <v>17</v>
      </c>
      <c r="F28" s="10" t="s">
        <v>9</v>
      </c>
      <c r="G28" s="19">
        <v>46289.088953530096</v>
      </c>
    </row>
    <row r="29" ht="15.75" customHeight="1">
      <c r="A29" s="16">
        <v>1.0</v>
      </c>
      <c r="B29" s="13" t="s">
        <v>46</v>
      </c>
      <c r="C29" s="13" t="s">
        <v>18</v>
      </c>
      <c r="D29" s="13" t="s">
        <v>7</v>
      </c>
      <c r="E29" s="13" t="s">
        <v>17</v>
      </c>
      <c r="F29" s="13" t="s">
        <v>14</v>
      </c>
      <c r="G29" s="17">
        <v>46289.09013844907</v>
      </c>
    </row>
    <row r="30" ht="15.75" customHeight="1">
      <c r="A30" s="16">
        <v>1.0</v>
      </c>
      <c r="B30" s="13" t="s">
        <v>46</v>
      </c>
      <c r="C30" s="13" t="s">
        <v>31</v>
      </c>
      <c r="D30" s="13" t="s">
        <v>24</v>
      </c>
      <c r="E30" s="13" t="s">
        <v>17</v>
      </c>
      <c r="F30" s="13" t="s">
        <v>9</v>
      </c>
      <c r="G30" s="17">
        <v>46289.09013844907</v>
      </c>
    </row>
    <row r="31" ht="15.75" customHeight="1">
      <c r="A31" s="16">
        <v>1.0</v>
      </c>
      <c r="B31" s="13" t="s">
        <v>46</v>
      </c>
      <c r="C31" s="13" t="s">
        <v>69</v>
      </c>
      <c r="D31" s="13" t="s">
        <v>74</v>
      </c>
      <c r="E31" s="13" t="s">
        <v>17</v>
      </c>
      <c r="F31" s="13" t="s">
        <v>9</v>
      </c>
      <c r="G31" s="17">
        <v>46289.09013844907</v>
      </c>
    </row>
    <row r="32" ht="15.75" customHeight="1">
      <c r="A32" s="16">
        <v>1.0</v>
      </c>
      <c r="B32" s="13" t="s">
        <v>46</v>
      </c>
      <c r="C32" s="13" t="s">
        <v>104</v>
      </c>
      <c r="D32" s="13" t="s">
        <v>74</v>
      </c>
      <c r="E32" s="13" t="s">
        <v>8</v>
      </c>
      <c r="F32" s="13" t="s">
        <v>9</v>
      </c>
      <c r="G32" s="17">
        <v>46289.09013844907</v>
      </c>
    </row>
    <row r="33" ht="15.75" customHeight="1">
      <c r="A33" s="16">
        <v>1.0</v>
      </c>
      <c r="B33" s="13" t="s">
        <v>46</v>
      </c>
      <c r="C33" s="13" t="s">
        <v>121</v>
      </c>
      <c r="D33" s="13" t="s">
        <v>115</v>
      </c>
      <c r="E33" s="13" t="s">
        <v>8</v>
      </c>
      <c r="F33" s="13" t="s">
        <v>9</v>
      </c>
      <c r="G33" s="17">
        <v>46289.09013844907</v>
      </c>
    </row>
    <row r="34" ht="15.75" customHeight="1">
      <c r="A34" s="16">
        <v>1.0</v>
      </c>
      <c r="B34" s="13" t="s">
        <v>46</v>
      </c>
      <c r="C34" s="13" t="s">
        <v>118</v>
      </c>
      <c r="D34" s="13" t="s">
        <v>115</v>
      </c>
      <c r="E34" s="13" t="s">
        <v>8</v>
      </c>
      <c r="F34" s="13" t="s">
        <v>9</v>
      </c>
      <c r="G34" s="17">
        <v>46289.09013844907</v>
      </c>
    </row>
    <row r="35" ht="15.75" customHeight="1">
      <c r="A35" s="16">
        <v>1.0</v>
      </c>
      <c r="B35" s="13" t="s">
        <v>46</v>
      </c>
      <c r="C35" s="13" t="s">
        <v>40</v>
      </c>
      <c r="D35" s="13" t="s">
        <v>24</v>
      </c>
      <c r="E35" s="13" t="s">
        <v>20</v>
      </c>
      <c r="F35" s="13" t="s">
        <v>9</v>
      </c>
      <c r="G35" s="17">
        <v>46289.09013844907</v>
      </c>
    </row>
    <row r="36" ht="15.75" customHeight="1">
      <c r="A36" s="16">
        <v>1.0</v>
      </c>
      <c r="B36" s="13" t="s">
        <v>46</v>
      </c>
      <c r="C36" s="13" t="s">
        <v>92</v>
      </c>
      <c r="D36" s="13" t="s">
        <v>71</v>
      </c>
      <c r="E36" s="13" t="s">
        <v>20</v>
      </c>
      <c r="F36" s="13" t="s">
        <v>9</v>
      </c>
      <c r="G36" s="17">
        <v>46289.09013844907</v>
      </c>
    </row>
    <row r="37" ht="15.75" customHeight="1">
      <c r="A37" s="16">
        <v>1.0</v>
      </c>
      <c r="B37" s="13" t="s">
        <v>46</v>
      </c>
      <c r="C37" s="13" t="s">
        <v>57</v>
      </c>
      <c r="D37" s="13" t="s">
        <v>58</v>
      </c>
      <c r="E37" s="13" t="s">
        <v>20</v>
      </c>
      <c r="F37" s="13" t="s">
        <v>9</v>
      </c>
      <c r="G37" s="17">
        <v>46289.09013844907</v>
      </c>
    </row>
    <row r="38" ht="15.75" customHeight="1">
      <c r="A38" s="16">
        <v>1.0</v>
      </c>
      <c r="B38" s="13" t="s">
        <v>7</v>
      </c>
      <c r="C38" s="13" t="s">
        <v>18</v>
      </c>
      <c r="D38" s="13" t="s">
        <v>7</v>
      </c>
      <c r="E38" s="13" t="s">
        <v>17</v>
      </c>
      <c r="F38" s="13" t="s">
        <v>9</v>
      </c>
      <c r="G38" s="17">
        <v>46289.09204152778</v>
      </c>
    </row>
    <row r="39" ht="15.75" customHeight="1">
      <c r="A39" s="16">
        <v>1.0</v>
      </c>
      <c r="B39" s="13" t="s">
        <v>7</v>
      </c>
      <c r="C39" s="13" t="s">
        <v>122</v>
      </c>
      <c r="D39" s="13" t="s">
        <v>115</v>
      </c>
      <c r="E39" s="13" t="s">
        <v>17</v>
      </c>
      <c r="F39" s="13" t="s">
        <v>9</v>
      </c>
      <c r="G39" s="17">
        <v>46289.09204152778</v>
      </c>
    </row>
    <row r="40" ht="15.75" customHeight="1">
      <c r="A40" s="16">
        <v>1.0</v>
      </c>
      <c r="B40" s="13" t="s">
        <v>7</v>
      </c>
      <c r="C40" s="13" t="s">
        <v>69</v>
      </c>
      <c r="D40" s="13" t="s">
        <v>74</v>
      </c>
      <c r="E40" s="13" t="s">
        <v>17</v>
      </c>
      <c r="F40" s="13" t="s">
        <v>9</v>
      </c>
      <c r="G40" s="17">
        <v>46289.09204152778</v>
      </c>
    </row>
    <row r="41" ht="15.75" customHeight="1">
      <c r="A41" s="16">
        <v>1.0</v>
      </c>
      <c r="B41" s="13" t="s">
        <v>7</v>
      </c>
      <c r="C41" s="13" t="s">
        <v>81</v>
      </c>
      <c r="D41" s="13" t="s">
        <v>71</v>
      </c>
      <c r="E41" s="13" t="s">
        <v>8</v>
      </c>
      <c r="F41" s="13" t="s">
        <v>9</v>
      </c>
      <c r="G41" s="17">
        <v>46289.09204152778</v>
      </c>
    </row>
    <row r="42" ht="15.75" customHeight="1">
      <c r="A42" s="16">
        <v>1.0</v>
      </c>
      <c r="B42" s="13" t="s">
        <v>7</v>
      </c>
      <c r="C42" s="13" t="s">
        <v>85</v>
      </c>
      <c r="D42" s="13" t="s">
        <v>71</v>
      </c>
      <c r="E42" s="13" t="s">
        <v>8</v>
      </c>
      <c r="F42" s="13" t="s">
        <v>9</v>
      </c>
      <c r="G42" s="17">
        <v>46289.09204152778</v>
      </c>
    </row>
    <row r="43" ht="15.75" customHeight="1">
      <c r="A43" s="16">
        <v>1.0</v>
      </c>
      <c r="B43" s="13" t="s">
        <v>7</v>
      </c>
      <c r="C43" s="13" t="s">
        <v>121</v>
      </c>
      <c r="D43" s="13" t="s">
        <v>115</v>
      </c>
      <c r="E43" s="13" t="s">
        <v>8</v>
      </c>
      <c r="F43" s="13" t="s">
        <v>14</v>
      </c>
      <c r="G43" s="17">
        <v>46289.09204152778</v>
      </c>
    </row>
    <row r="44" ht="15.75" customHeight="1">
      <c r="A44" s="16">
        <v>1.0</v>
      </c>
      <c r="B44" s="13" t="s">
        <v>7</v>
      </c>
      <c r="C44" s="13" t="s">
        <v>40</v>
      </c>
      <c r="D44" s="13" t="s">
        <v>24</v>
      </c>
      <c r="E44" s="13" t="s">
        <v>20</v>
      </c>
      <c r="F44" s="13" t="s">
        <v>9</v>
      </c>
      <c r="G44" s="17">
        <v>46289.09204152778</v>
      </c>
    </row>
    <row r="45" ht="15.75" customHeight="1">
      <c r="A45" s="16">
        <v>1.0</v>
      </c>
      <c r="B45" s="13" t="s">
        <v>7</v>
      </c>
      <c r="C45" s="13" t="s">
        <v>57</v>
      </c>
      <c r="D45" s="13" t="s">
        <v>58</v>
      </c>
      <c r="E45" s="13" t="s">
        <v>20</v>
      </c>
      <c r="F45" s="13" t="s">
        <v>9</v>
      </c>
      <c r="G45" s="17">
        <v>46289.09204152778</v>
      </c>
    </row>
    <row r="46" ht="15.75" customHeight="1">
      <c r="A46" s="16">
        <v>1.0</v>
      </c>
      <c r="B46" s="13" t="s">
        <v>7</v>
      </c>
      <c r="C46" s="13" t="s">
        <v>21</v>
      </c>
      <c r="D46" s="13" t="s">
        <v>7</v>
      </c>
      <c r="E46" s="13" t="s">
        <v>20</v>
      </c>
      <c r="F46" s="13" t="s">
        <v>9</v>
      </c>
      <c r="G46" s="17">
        <v>46289.09204152778</v>
      </c>
    </row>
    <row r="47" ht="15.75" customHeight="1">
      <c r="A47" s="16">
        <v>1.0</v>
      </c>
      <c r="B47" s="13" t="s">
        <v>71</v>
      </c>
      <c r="C47" s="13" t="s">
        <v>63</v>
      </c>
      <c r="D47" s="13" t="s">
        <v>58</v>
      </c>
      <c r="E47" s="13" t="s">
        <v>17</v>
      </c>
      <c r="F47" s="13" t="s">
        <v>9</v>
      </c>
      <c r="G47" s="17">
        <v>46289.093352337964</v>
      </c>
    </row>
    <row r="48" ht="15.75" customHeight="1">
      <c r="A48" s="16">
        <v>1.0</v>
      </c>
      <c r="B48" s="13" t="s">
        <v>71</v>
      </c>
      <c r="C48" s="13" t="s">
        <v>69</v>
      </c>
      <c r="D48" s="13" t="s">
        <v>71</v>
      </c>
      <c r="E48" s="13" t="s">
        <v>17</v>
      </c>
      <c r="F48" s="13" t="s">
        <v>9</v>
      </c>
      <c r="G48" s="17">
        <v>46289.093352337964</v>
      </c>
    </row>
    <row r="49" ht="15.75" customHeight="1">
      <c r="A49" s="16">
        <v>1.0</v>
      </c>
      <c r="B49" s="13" t="s">
        <v>71</v>
      </c>
      <c r="C49" s="13" t="s">
        <v>122</v>
      </c>
      <c r="D49" s="13" t="s">
        <v>115</v>
      </c>
      <c r="E49" s="13" t="s">
        <v>17</v>
      </c>
      <c r="F49" s="13" t="s">
        <v>9</v>
      </c>
      <c r="G49" s="17">
        <v>46289.093352337964</v>
      </c>
    </row>
    <row r="50" ht="15.75" customHeight="1">
      <c r="A50" s="16">
        <v>1.0</v>
      </c>
      <c r="B50" s="13" t="s">
        <v>71</v>
      </c>
      <c r="C50" s="13" t="s">
        <v>78</v>
      </c>
      <c r="D50" s="13" t="s">
        <v>71</v>
      </c>
      <c r="E50" s="13" t="s">
        <v>8</v>
      </c>
      <c r="F50" s="13" t="s">
        <v>9</v>
      </c>
      <c r="G50" s="17">
        <v>46289.093352337964</v>
      </c>
    </row>
    <row r="51" ht="15.75" customHeight="1">
      <c r="A51" s="16">
        <v>1.0</v>
      </c>
      <c r="B51" s="13" t="s">
        <v>71</v>
      </c>
      <c r="C51" s="13" t="s">
        <v>80</v>
      </c>
      <c r="D51" s="13" t="s">
        <v>71</v>
      </c>
      <c r="E51" s="13" t="s">
        <v>8</v>
      </c>
      <c r="F51" s="13" t="s">
        <v>14</v>
      </c>
      <c r="G51" s="17">
        <v>46289.093352337964</v>
      </c>
    </row>
    <row r="52" ht="15.75" customHeight="1">
      <c r="A52" s="16">
        <v>1.0</v>
      </c>
      <c r="B52" s="13" t="s">
        <v>71</v>
      </c>
      <c r="C52" s="13" t="s">
        <v>118</v>
      </c>
      <c r="D52" s="13" t="s">
        <v>115</v>
      </c>
      <c r="E52" s="13" t="s">
        <v>8</v>
      </c>
      <c r="F52" s="13" t="s">
        <v>9</v>
      </c>
      <c r="G52" s="17">
        <v>46289.093352337964</v>
      </c>
    </row>
    <row r="53" ht="15.75" customHeight="1">
      <c r="A53" s="16">
        <v>1.0</v>
      </c>
      <c r="B53" s="13" t="s">
        <v>71</v>
      </c>
      <c r="C53" s="13" t="s">
        <v>19</v>
      </c>
      <c r="D53" s="13" t="s">
        <v>7</v>
      </c>
      <c r="E53" s="13" t="s">
        <v>20</v>
      </c>
      <c r="F53" s="13" t="s">
        <v>9</v>
      </c>
      <c r="G53" s="17">
        <v>46289.093352337964</v>
      </c>
    </row>
    <row r="54" ht="15.75" customHeight="1">
      <c r="A54" s="16">
        <v>1.0</v>
      </c>
      <c r="B54" s="13" t="s">
        <v>71</v>
      </c>
      <c r="C54" s="13" t="s">
        <v>40</v>
      </c>
      <c r="D54" s="13" t="s">
        <v>24</v>
      </c>
      <c r="E54" s="13" t="s">
        <v>20</v>
      </c>
      <c r="F54" s="13" t="s">
        <v>9</v>
      </c>
      <c r="G54" s="17">
        <v>46289.093352337964</v>
      </c>
    </row>
    <row r="55" ht="15.75" customHeight="1">
      <c r="A55" s="16">
        <v>1.0</v>
      </c>
      <c r="B55" s="13" t="s">
        <v>71</v>
      </c>
      <c r="C55" s="13" t="s">
        <v>92</v>
      </c>
      <c r="D55" s="13" t="s">
        <v>74</v>
      </c>
      <c r="E55" s="13" t="s">
        <v>20</v>
      </c>
      <c r="F55" s="13" t="s">
        <v>9</v>
      </c>
      <c r="G55" s="17">
        <v>46289.093352337964</v>
      </c>
    </row>
    <row r="56" ht="15.75" customHeight="1">
      <c r="A56" s="16">
        <v>1.0</v>
      </c>
      <c r="B56" s="13" t="s">
        <v>145</v>
      </c>
      <c r="C56" s="13" t="s">
        <v>18</v>
      </c>
      <c r="D56" s="13" t="s">
        <v>7</v>
      </c>
      <c r="E56" s="13" t="s">
        <v>17</v>
      </c>
      <c r="F56" s="13" t="s">
        <v>9</v>
      </c>
      <c r="G56" s="17">
        <v>46289.09529486111</v>
      </c>
    </row>
    <row r="57" ht="15.75" customHeight="1">
      <c r="A57" s="16">
        <v>1.0</v>
      </c>
      <c r="B57" s="13" t="s">
        <v>145</v>
      </c>
      <c r="C57" s="13" t="s">
        <v>61</v>
      </c>
      <c r="D57" s="13" t="s">
        <v>58</v>
      </c>
      <c r="E57" s="13" t="s">
        <v>17</v>
      </c>
      <c r="F57" s="13" t="s">
        <v>9</v>
      </c>
      <c r="G57" s="17">
        <v>46289.09529486111</v>
      </c>
    </row>
    <row r="58" ht="15.75" customHeight="1">
      <c r="A58" s="16">
        <v>1.0</v>
      </c>
      <c r="B58" s="13" t="s">
        <v>145</v>
      </c>
      <c r="C58" s="13" t="s">
        <v>69</v>
      </c>
      <c r="D58" s="13" t="s">
        <v>74</v>
      </c>
      <c r="E58" s="13" t="s">
        <v>17</v>
      </c>
      <c r="F58" s="13" t="s">
        <v>9</v>
      </c>
      <c r="G58" s="17">
        <v>46289.09529486111</v>
      </c>
    </row>
    <row r="59" ht="15.75" customHeight="1">
      <c r="A59" s="16">
        <v>1.0</v>
      </c>
      <c r="B59" s="13" t="s">
        <v>145</v>
      </c>
      <c r="C59" s="13" t="s">
        <v>26</v>
      </c>
      <c r="D59" s="13" t="s">
        <v>24</v>
      </c>
      <c r="E59" s="13" t="s">
        <v>8</v>
      </c>
      <c r="F59" s="13" t="s">
        <v>9</v>
      </c>
      <c r="G59" s="17">
        <v>46289.09529486111</v>
      </c>
    </row>
    <row r="60" ht="15.75" customHeight="1">
      <c r="A60" s="16">
        <v>1.0</v>
      </c>
      <c r="B60" s="13" t="s">
        <v>145</v>
      </c>
      <c r="C60" s="13" t="s">
        <v>80</v>
      </c>
      <c r="D60" s="13" t="s">
        <v>71</v>
      </c>
      <c r="E60" s="13" t="s">
        <v>8</v>
      </c>
      <c r="F60" s="13" t="s">
        <v>9</v>
      </c>
      <c r="G60" s="17">
        <v>46289.09529486111</v>
      </c>
    </row>
    <row r="61" ht="15.75" customHeight="1">
      <c r="A61" s="16">
        <v>1.0</v>
      </c>
      <c r="B61" s="13" t="s">
        <v>145</v>
      </c>
      <c r="C61" s="13" t="s">
        <v>121</v>
      </c>
      <c r="D61" s="13" t="s">
        <v>115</v>
      </c>
      <c r="E61" s="13" t="s">
        <v>8</v>
      </c>
      <c r="F61" s="13" t="s">
        <v>14</v>
      </c>
      <c r="G61" s="17">
        <v>46289.09529486111</v>
      </c>
    </row>
    <row r="62" ht="15.75" customHeight="1">
      <c r="A62" s="16">
        <v>1.0</v>
      </c>
      <c r="B62" s="13" t="s">
        <v>145</v>
      </c>
      <c r="C62" s="13" t="s">
        <v>19</v>
      </c>
      <c r="D62" s="13" t="s">
        <v>7</v>
      </c>
      <c r="E62" s="13" t="s">
        <v>20</v>
      </c>
      <c r="F62" s="13" t="s">
        <v>9</v>
      </c>
      <c r="G62" s="17">
        <v>46289.09529486111</v>
      </c>
    </row>
    <row r="63" ht="15.75" customHeight="1">
      <c r="A63" s="16">
        <v>1.0</v>
      </c>
      <c r="B63" s="13" t="s">
        <v>145</v>
      </c>
      <c r="C63" s="13" t="s">
        <v>89</v>
      </c>
      <c r="D63" s="13" t="s">
        <v>71</v>
      </c>
      <c r="E63" s="13" t="s">
        <v>20</v>
      </c>
      <c r="F63" s="13" t="s">
        <v>9</v>
      </c>
      <c r="G63" s="17">
        <v>46289.09529486111</v>
      </c>
    </row>
    <row r="64" ht="15.75" customHeight="1">
      <c r="A64" s="16">
        <v>1.0</v>
      </c>
      <c r="B64" s="13" t="s">
        <v>145</v>
      </c>
      <c r="C64" s="13" t="s">
        <v>126</v>
      </c>
      <c r="D64" s="13" t="s">
        <v>115</v>
      </c>
      <c r="E64" s="13" t="s">
        <v>20</v>
      </c>
      <c r="F64" s="13" t="s">
        <v>9</v>
      </c>
      <c r="G64" s="17">
        <v>46289.09529486111</v>
      </c>
    </row>
    <row r="65" ht="15.75" customHeight="1">
      <c r="A65" s="12"/>
      <c r="B65" s="12"/>
      <c r="C65" s="12"/>
      <c r="D65" s="12"/>
      <c r="E65" s="12"/>
      <c r="F65" s="12"/>
      <c r="G65" s="12"/>
    </row>
    <row r="66" ht="15.75" customHeight="1">
      <c r="A66" s="12"/>
      <c r="B66" s="12"/>
      <c r="C66" s="12"/>
      <c r="D66" s="12"/>
      <c r="E66" s="12"/>
      <c r="F66" s="12"/>
      <c r="G66" s="12"/>
    </row>
    <row r="67" ht="15.75" customHeight="1">
      <c r="A67" s="12"/>
      <c r="B67" s="12"/>
      <c r="C67" s="12"/>
      <c r="D67" s="12"/>
      <c r="E67" s="12"/>
      <c r="F67" s="12"/>
      <c r="G67" s="12"/>
    </row>
    <row r="68" ht="15.75" customHeight="1">
      <c r="A68" s="12"/>
      <c r="B68" s="12"/>
      <c r="C68" s="12"/>
      <c r="D68" s="12"/>
      <c r="E68" s="12"/>
      <c r="F68" s="12"/>
      <c r="G68" s="12"/>
    </row>
    <row r="69" ht="15.75" customHeight="1">
      <c r="A69" s="12"/>
      <c r="B69" s="12"/>
      <c r="C69" s="12"/>
      <c r="D69" s="12"/>
      <c r="E69" s="12"/>
      <c r="F69" s="12"/>
      <c r="G69" s="12"/>
    </row>
    <row r="70" ht="15.75" customHeight="1">
      <c r="A70" s="12"/>
      <c r="B70" s="12"/>
      <c r="C70" s="12"/>
      <c r="D70" s="12"/>
      <c r="E70" s="12"/>
      <c r="F70" s="12"/>
      <c r="G70" s="12"/>
    </row>
    <row r="71" ht="15.75" customHeight="1">
      <c r="A71" s="12"/>
      <c r="B71" s="12"/>
      <c r="C71" s="12"/>
      <c r="D71" s="12"/>
      <c r="E71" s="12"/>
      <c r="F71" s="12"/>
      <c r="G71" s="12"/>
    </row>
    <row r="72" ht="15.75" customHeight="1">
      <c r="A72" s="12"/>
      <c r="B72" s="12"/>
      <c r="C72" s="12"/>
      <c r="D72" s="12"/>
      <c r="E72" s="12"/>
      <c r="F72" s="12"/>
      <c r="G72" s="12"/>
    </row>
    <row r="73" ht="15.75" customHeight="1">
      <c r="A73" s="12"/>
      <c r="B73" s="12"/>
      <c r="C73" s="12"/>
      <c r="D73" s="12"/>
      <c r="E73" s="12"/>
      <c r="F73" s="12"/>
      <c r="G73" s="12"/>
    </row>
    <row r="74" ht="15.75" customHeight="1">
      <c r="A74" s="12"/>
      <c r="B74" s="12"/>
      <c r="C74" s="12"/>
      <c r="D74" s="12"/>
      <c r="E74" s="12"/>
      <c r="F74" s="12"/>
      <c r="G74" s="12"/>
    </row>
    <row r="75" ht="15.75" customHeight="1">
      <c r="A75" s="12"/>
      <c r="B75" s="12"/>
      <c r="C75" s="12"/>
      <c r="D75" s="12"/>
      <c r="E75" s="12"/>
      <c r="F75" s="12"/>
      <c r="G75" s="12"/>
    </row>
    <row r="76" ht="15.75" customHeight="1">
      <c r="A76" s="12"/>
      <c r="B76" s="12"/>
      <c r="C76" s="12"/>
      <c r="D76" s="12"/>
      <c r="E76" s="12"/>
      <c r="F76" s="12"/>
      <c r="G76" s="12"/>
    </row>
    <row r="77" ht="15.75" customHeight="1">
      <c r="A77" s="12"/>
      <c r="B77" s="12"/>
      <c r="C77" s="12"/>
      <c r="D77" s="12"/>
      <c r="E77" s="12"/>
      <c r="F77" s="12"/>
      <c r="G77" s="12"/>
    </row>
    <row r="78" ht="15.75" customHeight="1">
      <c r="A78" s="12"/>
      <c r="B78" s="12"/>
      <c r="C78" s="12"/>
      <c r="D78" s="12"/>
      <c r="E78" s="12"/>
      <c r="F78" s="12"/>
      <c r="G78" s="12"/>
    </row>
    <row r="79" ht="15.75" customHeight="1">
      <c r="A79" s="12"/>
      <c r="B79" s="12"/>
      <c r="C79" s="12"/>
      <c r="D79" s="12"/>
      <c r="E79" s="12"/>
      <c r="F79" s="12"/>
      <c r="G79" s="12"/>
    </row>
    <row r="80" ht="15.75" customHeight="1">
      <c r="A80" s="12"/>
      <c r="B80" s="12"/>
      <c r="C80" s="12"/>
      <c r="D80" s="12"/>
      <c r="E80" s="12"/>
      <c r="F80" s="12"/>
      <c r="G80" s="12"/>
    </row>
    <row r="81" ht="15.75" customHeight="1">
      <c r="A81" s="12"/>
      <c r="B81" s="12"/>
      <c r="C81" s="12"/>
      <c r="D81" s="12"/>
      <c r="E81" s="12"/>
      <c r="F81" s="12"/>
      <c r="G81" s="12"/>
    </row>
    <row r="82" ht="15.75" customHeight="1">
      <c r="A82" s="12"/>
      <c r="B82" s="12"/>
      <c r="C82" s="12"/>
      <c r="D82" s="12"/>
      <c r="E82" s="12"/>
      <c r="F82" s="12"/>
      <c r="G82" s="12"/>
    </row>
    <row r="83" ht="15.75" customHeight="1">
      <c r="A83" s="12"/>
      <c r="B83" s="12"/>
      <c r="C83" s="12"/>
      <c r="D83" s="12"/>
      <c r="E83" s="12"/>
      <c r="F83" s="12"/>
      <c r="G83" s="12"/>
    </row>
    <row r="84" ht="15.75" customHeight="1">
      <c r="A84" s="12"/>
      <c r="B84" s="12"/>
      <c r="C84" s="12"/>
      <c r="D84" s="12"/>
      <c r="E84" s="12"/>
      <c r="F84" s="12"/>
      <c r="G84" s="12"/>
    </row>
    <row r="85" ht="15.75" customHeight="1">
      <c r="A85" s="12"/>
      <c r="B85" s="12"/>
      <c r="C85" s="12"/>
      <c r="D85" s="12"/>
      <c r="E85" s="12"/>
      <c r="F85" s="12"/>
      <c r="G85" s="12"/>
    </row>
    <row r="86" ht="15.75" customHeight="1">
      <c r="A86" s="12"/>
      <c r="B86" s="12"/>
      <c r="C86" s="12"/>
      <c r="D86" s="12"/>
      <c r="E86" s="12"/>
      <c r="F86" s="12"/>
      <c r="G86" s="12"/>
    </row>
    <row r="87" ht="15.75" customHeight="1">
      <c r="A87" s="12"/>
      <c r="B87" s="12"/>
      <c r="C87" s="12"/>
      <c r="D87" s="12"/>
      <c r="E87" s="12"/>
      <c r="F87" s="12"/>
      <c r="G87" s="12"/>
    </row>
    <row r="88" ht="15.75" customHeight="1">
      <c r="A88" s="12"/>
      <c r="B88" s="12"/>
      <c r="C88" s="12"/>
      <c r="D88" s="12"/>
      <c r="E88" s="12"/>
      <c r="F88" s="12"/>
      <c r="G88" s="12"/>
    </row>
    <row r="89" ht="15.75" customHeight="1">
      <c r="A89" s="12"/>
      <c r="B89" s="12"/>
      <c r="C89" s="12"/>
      <c r="D89" s="12"/>
      <c r="E89" s="12"/>
      <c r="F89" s="12"/>
      <c r="G89" s="12"/>
    </row>
    <row r="90" ht="15.75" customHeight="1">
      <c r="A90" s="12"/>
      <c r="B90" s="12"/>
      <c r="C90" s="12"/>
      <c r="D90" s="12"/>
      <c r="E90" s="12"/>
      <c r="F90" s="12"/>
      <c r="G90" s="12"/>
    </row>
    <row r="91" ht="15.75" customHeight="1">
      <c r="A91" s="12"/>
      <c r="B91" s="12"/>
      <c r="C91" s="12"/>
      <c r="D91" s="12"/>
      <c r="E91" s="12"/>
      <c r="F91" s="12"/>
      <c r="G91" s="12"/>
    </row>
    <row r="92" ht="15.75" customHeight="1">
      <c r="A92" s="12"/>
      <c r="B92" s="12"/>
      <c r="C92" s="12"/>
      <c r="D92" s="12"/>
      <c r="E92" s="12"/>
      <c r="F92" s="12"/>
      <c r="G92" s="12"/>
    </row>
    <row r="93" ht="15.75" customHeight="1">
      <c r="A93" s="12"/>
      <c r="B93" s="12"/>
      <c r="C93" s="12"/>
      <c r="D93" s="12"/>
      <c r="E93" s="12"/>
      <c r="F93" s="12"/>
      <c r="G93" s="12"/>
    </row>
    <row r="94" ht="15.75" customHeight="1">
      <c r="A94" s="12"/>
      <c r="B94" s="12"/>
      <c r="C94" s="12"/>
      <c r="D94" s="12"/>
      <c r="E94" s="12"/>
      <c r="F94" s="12"/>
      <c r="G94" s="12"/>
    </row>
    <row r="95" ht="15.75" customHeight="1">
      <c r="A95" s="12"/>
      <c r="B95" s="12"/>
      <c r="C95" s="12"/>
      <c r="D95" s="12"/>
      <c r="E95" s="12"/>
      <c r="F95" s="12"/>
      <c r="G95" s="12"/>
    </row>
    <row r="96" ht="15.75" customHeight="1">
      <c r="A96" s="12"/>
      <c r="B96" s="12"/>
      <c r="C96" s="12"/>
      <c r="D96" s="12"/>
      <c r="E96" s="12"/>
      <c r="F96" s="12"/>
      <c r="G96" s="12"/>
    </row>
    <row r="97" ht="15.75" customHeight="1">
      <c r="A97" s="12"/>
      <c r="B97" s="12"/>
      <c r="C97" s="12"/>
      <c r="D97" s="12"/>
      <c r="E97" s="12"/>
      <c r="F97" s="12"/>
      <c r="G97" s="12"/>
    </row>
    <row r="98" ht="15.75" customHeight="1">
      <c r="A98" s="12"/>
      <c r="B98" s="12"/>
      <c r="C98" s="12"/>
      <c r="D98" s="12"/>
      <c r="E98" s="12"/>
      <c r="F98" s="12"/>
      <c r="G98" s="12"/>
    </row>
    <row r="99" ht="15.75" customHeight="1">
      <c r="A99" s="12"/>
      <c r="B99" s="12"/>
      <c r="C99" s="12"/>
      <c r="D99" s="12"/>
      <c r="E99" s="12"/>
      <c r="F99" s="12"/>
      <c r="G99" s="12"/>
    </row>
    <row r="100" ht="15.75" customHeight="1">
      <c r="A100" s="12"/>
      <c r="B100" s="12"/>
      <c r="C100" s="12"/>
      <c r="D100" s="12"/>
      <c r="E100" s="12"/>
      <c r="F100" s="12"/>
      <c r="G100" s="12"/>
    </row>
    <row r="101" ht="15.75" customHeight="1">
      <c r="A101" s="12"/>
      <c r="B101" s="12"/>
      <c r="C101" s="12"/>
      <c r="D101" s="12"/>
      <c r="E101" s="12"/>
      <c r="F101" s="12"/>
      <c r="G101" s="12"/>
    </row>
    <row r="102" ht="15.75" customHeight="1">
      <c r="A102" s="12"/>
      <c r="B102" s="12"/>
      <c r="C102" s="12"/>
      <c r="D102" s="12"/>
      <c r="E102" s="12"/>
      <c r="F102" s="12"/>
      <c r="G102" s="12"/>
    </row>
    <row r="103" ht="15.75" customHeight="1">
      <c r="A103" s="12"/>
      <c r="B103" s="12"/>
      <c r="C103" s="12"/>
      <c r="D103" s="12"/>
      <c r="E103" s="12"/>
      <c r="F103" s="12"/>
      <c r="G103" s="12"/>
    </row>
    <row r="104" ht="15.75" customHeight="1">
      <c r="A104" s="12"/>
      <c r="B104" s="12"/>
      <c r="C104" s="12"/>
      <c r="D104" s="12"/>
      <c r="E104" s="12"/>
      <c r="F104" s="12"/>
      <c r="G104" s="12"/>
    </row>
    <row r="105" ht="15.75" customHeight="1">
      <c r="A105" s="12"/>
      <c r="B105" s="12"/>
      <c r="C105" s="12"/>
      <c r="D105" s="12"/>
      <c r="E105" s="12"/>
      <c r="F105" s="12"/>
      <c r="G105" s="12"/>
    </row>
    <row r="106" ht="15.75" customHeight="1">
      <c r="A106" s="12"/>
      <c r="B106" s="12"/>
      <c r="C106" s="12"/>
      <c r="D106" s="12"/>
      <c r="E106" s="12"/>
      <c r="F106" s="12"/>
      <c r="G106" s="12"/>
    </row>
    <row r="107" ht="15.75" customHeight="1">
      <c r="A107" s="12"/>
      <c r="B107" s="12"/>
      <c r="C107" s="12"/>
      <c r="D107" s="12"/>
      <c r="E107" s="12"/>
      <c r="F107" s="12"/>
      <c r="G107" s="12"/>
    </row>
    <row r="108" ht="15.75" customHeight="1">
      <c r="A108" s="12"/>
      <c r="B108" s="12"/>
      <c r="C108" s="12"/>
      <c r="D108" s="12"/>
      <c r="E108" s="12"/>
      <c r="F108" s="12"/>
      <c r="G108" s="12"/>
    </row>
    <row r="109" ht="15.75" customHeight="1">
      <c r="A109" s="12"/>
      <c r="B109" s="12"/>
      <c r="C109" s="12"/>
      <c r="D109" s="12"/>
      <c r="E109" s="12"/>
      <c r="F109" s="12"/>
      <c r="G109" s="12"/>
    </row>
    <row r="110" ht="15.75" customHeight="1">
      <c r="A110" s="12"/>
      <c r="B110" s="12"/>
      <c r="C110" s="12"/>
      <c r="D110" s="12"/>
      <c r="E110" s="12"/>
      <c r="F110" s="12"/>
      <c r="G110" s="12"/>
    </row>
    <row r="111" ht="15.75" customHeight="1">
      <c r="A111" s="12"/>
      <c r="B111" s="12"/>
      <c r="C111" s="12"/>
      <c r="D111" s="12"/>
      <c r="E111" s="12"/>
      <c r="F111" s="12"/>
      <c r="G111" s="12"/>
    </row>
    <row r="112" ht="15.75" customHeight="1">
      <c r="A112" s="12"/>
      <c r="B112" s="12"/>
      <c r="C112" s="12"/>
      <c r="D112" s="12"/>
      <c r="E112" s="12"/>
      <c r="F112" s="12"/>
      <c r="G112" s="12"/>
    </row>
    <row r="113" ht="15.75" customHeight="1">
      <c r="A113" s="12"/>
      <c r="B113" s="12"/>
      <c r="C113" s="12"/>
      <c r="D113" s="12"/>
      <c r="E113" s="12"/>
      <c r="F113" s="12"/>
      <c r="G113" s="12"/>
    </row>
    <row r="114" ht="15.75" customHeight="1">
      <c r="A114" s="12"/>
      <c r="B114" s="12"/>
      <c r="C114" s="12"/>
      <c r="D114" s="12"/>
      <c r="E114" s="12"/>
      <c r="F114" s="12"/>
      <c r="G114" s="12"/>
    </row>
    <row r="115" ht="15.75" customHeight="1">
      <c r="A115" s="12"/>
      <c r="B115" s="12"/>
      <c r="C115" s="12"/>
      <c r="D115" s="12"/>
      <c r="E115" s="12"/>
      <c r="F115" s="12"/>
      <c r="G115" s="12"/>
    </row>
    <row r="116" ht="15.75" customHeight="1">
      <c r="A116" s="12"/>
      <c r="B116" s="12"/>
      <c r="C116" s="12"/>
      <c r="D116" s="12"/>
      <c r="E116" s="12"/>
      <c r="F116" s="12"/>
      <c r="G116" s="12"/>
    </row>
    <row r="117" ht="15.75" customHeight="1">
      <c r="A117" s="12"/>
      <c r="B117" s="12"/>
      <c r="C117" s="12"/>
      <c r="D117" s="12"/>
      <c r="E117" s="12"/>
      <c r="F117" s="12"/>
      <c r="G117" s="12"/>
    </row>
    <row r="118" ht="15.75" customHeight="1">
      <c r="A118" s="12"/>
      <c r="B118" s="12"/>
      <c r="C118" s="12"/>
      <c r="D118" s="12"/>
      <c r="E118" s="12"/>
      <c r="F118" s="12"/>
      <c r="G118" s="12"/>
    </row>
    <row r="119" ht="15.75" customHeight="1">
      <c r="A119" s="12"/>
      <c r="B119" s="12"/>
      <c r="C119" s="12"/>
      <c r="D119" s="12"/>
      <c r="E119" s="12"/>
      <c r="F119" s="12"/>
      <c r="G119" s="12"/>
    </row>
    <row r="120" ht="15.75" customHeight="1">
      <c r="A120" s="12"/>
      <c r="B120" s="12"/>
      <c r="C120" s="12"/>
      <c r="D120" s="12"/>
      <c r="E120" s="12"/>
      <c r="F120" s="12"/>
      <c r="G120" s="12"/>
    </row>
    <row r="121" ht="15.75" customHeight="1">
      <c r="A121" s="12"/>
      <c r="B121" s="12"/>
      <c r="C121" s="12"/>
      <c r="D121" s="12"/>
      <c r="E121" s="12"/>
      <c r="F121" s="12"/>
      <c r="G121" s="12"/>
    </row>
    <row r="122" ht="15.75" customHeight="1">
      <c r="A122" s="12"/>
      <c r="B122" s="12"/>
      <c r="C122" s="12"/>
      <c r="D122" s="12"/>
      <c r="E122" s="12"/>
      <c r="F122" s="12"/>
      <c r="G122" s="12"/>
    </row>
    <row r="123" ht="15.75" customHeight="1">
      <c r="A123" s="12"/>
      <c r="B123" s="12"/>
      <c r="C123" s="12"/>
      <c r="D123" s="12"/>
      <c r="E123" s="12"/>
      <c r="F123" s="12"/>
      <c r="G123" s="12"/>
    </row>
    <row r="124" ht="15.75" customHeight="1">
      <c r="A124" s="12"/>
      <c r="B124" s="12"/>
      <c r="C124" s="12"/>
      <c r="D124" s="12"/>
      <c r="E124" s="12"/>
      <c r="F124" s="12"/>
      <c r="G124" s="12"/>
    </row>
    <row r="125" ht="15.75" customHeight="1">
      <c r="A125" s="12"/>
      <c r="B125" s="12"/>
      <c r="C125" s="12"/>
      <c r="D125" s="12"/>
      <c r="E125" s="12"/>
      <c r="F125" s="12"/>
      <c r="G125" s="12"/>
    </row>
    <row r="126" ht="15.75" customHeight="1">
      <c r="A126" s="12"/>
      <c r="B126" s="12"/>
      <c r="C126" s="12"/>
      <c r="D126" s="12"/>
      <c r="E126" s="12"/>
      <c r="F126" s="12"/>
      <c r="G126" s="12"/>
    </row>
    <row r="127" ht="15.75" customHeight="1">
      <c r="A127" s="12"/>
      <c r="B127" s="12"/>
      <c r="C127" s="12"/>
      <c r="D127" s="12"/>
      <c r="E127" s="12"/>
      <c r="F127" s="12"/>
      <c r="G127" s="12"/>
    </row>
    <row r="128" ht="15.75" customHeight="1">
      <c r="A128" s="12"/>
      <c r="B128" s="12"/>
      <c r="C128" s="12"/>
      <c r="D128" s="12"/>
      <c r="E128" s="12"/>
      <c r="F128" s="12"/>
      <c r="G128" s="12"/>
    </row>
    <row r="129" ht="15.75" customHeight="1">
      <c r="A129" s="12"/>
      <c r="B129" s="12"/>
      <c r="C129" s="12"/>
      <c r="D129" s="12"/>
      <c r="E129" s="12"/>
      <c r="F129" s="12"/>
      <c r="G129" s="12"/>
    </row>
    <row r="130" ht="15.75" customHeight="1">
      <c r="A130" s="12"/>
      <c r="B130" s="12"/>
      <c r="C130" s="12"/>
      <c r="D130" s="12"/>
      <c r="E130" s="12"/>
      <c r="F130" s="12"/>
      <c r="G130" s="12"/>
    </row>
    <row r="131" ht="15.75" customHeight="1">
      <c r="A131" s="12"/>
      <c r="B131" s="12"/>
      <c r="C131" s="12"/>
      <c r="D131" s="12"/>
      <c r="E131" s="12"/>
      <c r="F131" s="12"/>
      <c r="G131" s="12"/>
    </row>
    <row r="132" ht="15.75" customHeight="1">
      <c r="A132" s="12"/>
      <c r="B132" s="12"/>
      <c r="C132" s="12"/>
      <c r="D132" s="12"/>
      <c r="E132" s="12"/>
      <c r="F132" s="12"/>
      <c r="G132" s="12"/>
    </row>
    <row r="133" ht="15.75" customHeight="1">
      <c r="A133" s="12"/>
      <c r="B133" s="12"/>
      <c r="C133" s="12"/>
      <c r="D133" s="12"/>
      <c r="E133" s="12"/>
      <c r="F133" s="12"/>
      <c r="G133" s="12"/>
    </row>
    <row r="134" ht="15.75" customHeight="1">
      <c r="A134" s="12"/>
      <c r="B134" s="12"/>
      <c r="C134" s="12"/>
      <c r="D134" s="12"/>
      <c r="E134" s="12"/>
      <c r="F134" s="12"/>
      <c r="G134" s="12"/>
    </row>
    <row r="135" ht="15.75" customHeight="1">
      <c r="A135" s="12"/>
      <c r="B135" s="12"/>
      <c r="C135" s="12"/>
      <c r="D135" s="12"/>
      <c r="E135" s="12"/>
      <c r="F135" s="12"/>
      <c r="G135" s="12"/>
    </row>
    <row r="136" ht="15.75" customHeight="1">
      <c r="A136" s="12"/>
      <c r="B136" s="12"/>
      <c r="C136" s="12"/>
      <c r="D136" s="12"/>
      <c r="E136" s="12"/>
      <c r="F136" s="12"/>
      <c r="G136" s="12"/>
    </row>
    <row r="137" ht="15.75" customHeight="1">
      <c r="A137" s="12"/>
      <c r="B137" s="12"/>
      <c r="C137" s="12"/>
      <c r="D137" s="12"/>
      <c r="E137" s="12"/>
      <c r="F137" s="12"/>
      <c r="G137" s="12"/>
    </row>
    <row r="138" ht="15.75" customHeight="1">
      <c r="A138" s="12"/>
      <c r="B138" s="12"/>
      <c r="C138" s="12"/>
      <c r="D138" s="12"/>
      <c r="E138" s="12"/>
      <c r="F138" s="12"/>
      <c r="G138" s="12"/>
    </row>
    <row r="139" ht="15.75" customHeight="1">
      <c r="A139" s="12"/>
      <c r="B139" s="12"/>
      <c r="C139" s="12"/>
      <c r="D139" s="12"/>
      <c r="E139" s="12"/>
      <c r="F139" s="12"/>
      <c r="G139" s="12"/>
    </row>
    <row r="140" ht="15.75" customHeight="1">
      <c r="A140" s="12"/>
      <c r="B140" s="12"/>
      <c r="C140" s="12"/>
      <c r="D140" s="12"/>
      <c r="E140" s="12"/>
      <c r="F140" s="12"/>
      <c r="G140" s="12"/>
    </row>
    <row r="141" ht="15.75" customHeight="1">
      <c r="A141" s="12"/>
      <c r="B141" s="12"/>
      <c r="C141" s="12"/>
      <c r="D141" s="12"/>
      <c r="E141" s="12"/>
      <c r="F141" s="12"/>
      <c r="G141" s="12"/>
    </row>
    <row r="142" ht="15.75" customHeight="1">
      <c r="A142" s="12"/>
      <c r="B142" s="12"/>
      <c r="C142" s="12"/>
      <c r="D142" s="12"/>
      <c r="E142" s="12"/>
      <c r="F142" s="12"/>
      <c r="G142" s="12"/>
    </row>
    <row r="143" ht="15.75" customHeight="1">
      <c r="A143" s="12"/>
      <c r="B143" s="12"/>
      <c r="C143" s="12"/>
      <c r="D143" s="12"/>
      <c r="E143" s="12"/>
      <c r="F143" s="12"/>
      <c r="G143" s="12"/>
    </row>
    <row r="144" ht="15.75" customHeight="1">
      <c r="A144" s="12"/>
      <c r="B144" s="12"/>
      <c r="C144" s="12"/>
      <c r="D144" s="12"/>
      <c r="E144" s="12"/>
      <c r="F144" s="12"/>
      <c r="G144" s="12"/>
    </row>
    <row r="145" ht="15.75" customHeight="1">
      <c r="A145" s="12"/>
      <c r="B145" s="12"/>
      <c r="C145" s="12"/>
      <c r="D145" s="12"/>
      <c r="E145" s="12"/>
      <c r="F145" s="12"/>
      <c r="G145" s="12"/>
    </row>
    <row r="146" ht="15.75" customHeight="1">
      <c r="A146" s="12"/>
      <c r="B146" s="12"/>
      <c r="C146" s="12"/>
      <c r="D146" s="12"/>
      <c r="E146" s="12"/>
      <c r="F146" s="12"/>
      <c r="G146" s="12"/>
    </row>
    <row r="147" ht="15.75" customHeight="1">
      <c r="A147" s="12"/>
      <c r="B147" s="12"/>
      <c r="C147" s="12"/>
      <c r="D147" s="12"/>
      <c r="E147" s="12"/>
      <c r="F147" s="12"/>
      <c r="G147" s="12"/>
    </row>
    <row r="148" ht="15.75" customHeight="1">
      <c r="A148" s="12"/>
      <c r="B148" s="12"/>
      <c r="C148" s="12"/>
      <c r="D148" s="12"/>
      <c r="E148" s="12"/>
      <c r="F148" s="12"/>
      <c r="G148" s="12"/>
    </row>
    <row r="149" ht="15.75" customHeight="1">
      <c r="A149" s="12"/>
      <c r="B149" s="12"/>
      <c r="C149" s="12"/>
      <c r="D149" s="12"/>
      <c r="E149" s="12"/>
      <c r="F149" s="12"/>
      <c r="G149" s="12"/>
    </row>
    <row r="150" ht="15.75" customHeight="1">
      <c r="A150" s="12"/>
      <c r="B150" s="12"/>
      <c r="C150" s="12"/>
      <c r="D150" s="12"/>
      <c r="E150" s="12"/>
      <c r="F150" s="12"/>
      <c r="G150" s="12"/>
    </row>
    <row r="151" ht="15.75" customHeight="1">
      <c r="A151" s="12"/>
      <c r="B151" s="12"/>
      <c r="C151" s="12"/>
      <c r="D151" s="12"/>
      <c r="E151" s="12"/>
      <c r="F151" s="12"/>
      <c r="G151" s="12"/>
    </row>
    <row r="152" ht="15.75" customHeight="1">
      <c r="A152" s="12"/>
      <c r="B152" s="12"/>
      <c r="C152" s="12"/>
      <c r="D152" s="12"/>
      <c r="E152" s="12"/>
      <c r="F152" s="12"/>
      <c r="G152" s="12"/>
    </row>
    <row r="153" ht="15.75" customHeight="1">
      <c r="A153" s="12"/>
      <c r="B153" s="12"/>
      <c r="C153" s="12"/>
      <c r="D153" s="12"/>
      <c r="E153" s="12"/>
      <c r="F153" s="12"/>
      <c r="G153" s="12"/>
    </row>
    <row r="154" ht="15.75" customHeight="1">
      <c r="A154" s="12"/>
      <c r="B154" s="12"/>
      <c r="C154" s="12"/>
      <c r="D154" s="12"/>
      <c r="E154" s="12"/>
      <c r="F154" s="12"/>
      <c r="G154" s="12"/>
    </row>
    <row r="155" ht="15.75" customHeight="1">
      <c r="A155" s="12"/>
      <c r="B155" s="12"/>
      <c r="C155" s="12"/>
      <c r="D155" s="12"/>
      <c r="E155" s="12"/>
      <c r="F155" s="12"/>
      <c r="G155" s="12"/>
    </row>
    <row r="156" ht="15.75" customHeight="1">
      <c r="A156" s="12"/>
      <c r="B156" s="12"/>
      <c r="C156" s="12"/>
      <c r="D156" s="12"/>
      <c r="E156" s="12"/>
      <c r="F156" s="12"/>
      <c r="G156" s="12"/>
    </row>
    <row r="157" ht="15.75" customHeight="1">
      <c r="A157" s="12"/>
      <c r="B157" s="12"/>
      <c r="C157" s="12"/>
      <c r="D157" s="12"/>
      <c r="E157" s="12"/>
      <c r="F157" s="12"/>
      <c r="G157" s="12"/>
    </row>
    <row r="158" ht="15.75" customHeight="1">
      <c r="A158" s="12"/>
      <c r="B158" s="12"/>
      <c r="C158" s="12"/>
      <c r="D158" s="12"/>
      <c r="E158" s="12"/>
      <c r="F158" s="12"/>
      <c r="G158" s="12"/>
    </row>
    <row r="159" ht="15.75" customHeight="1">
      <c r="A159" s="12"/>
      <c r="B159" s="12"/>
      <c r="C159" s="12"/>
      <c r="D159" s="12"/>
      <c r="E159" s="12"/>
      <c r="F159" s="12"/>
      <c r="G159" s="12"/>
    </row>
    <row r="160" ht="15.75" customHeight="1">
      <c r="A160" s="12"/>
      <c r="B160" s="12"/>
      <c r="C160" s="12"/>
      <c r="D160" s="12"/>
      <c r="E160" s="12"/>
      <c r="F160" s="12"/>
      <c r="G160" s="12"/>
    </row>
    <row r="161" ht="15.75" customHeight="1">
      <c r="A161" s="12"/>
      <c r="B161" s="12"/>
      <c r="C161" s="12"/>
      <c r="D161" s="12"/>
      <c r="E161" s="12"/>
      <c r="F161" s="12"/>
      <c r="G161" s="12"/>
    </row>
    <row r="162" ht="15.75" customHeight="1">
      <c r="A162" s="12"/>
      <c r="B162" s="12"/>
      <c r="C162" s="12"/>
      <c r="D162" s="12"/>
      <c r="E162" s="12"/>
      <c r="F162" s="12"/>
      <c r="G162" s="12"/>
    </row>
    <row r="163" ht="15.75" customHeight="1">
      <c r="A163" s="12"/>
      <c r="B163" s="12"/>
      <c r="C163" s="12"/>
      <c r="D163" s="12"/>
      <c r="E163" s="12"/>
      <c r="F163" s="12"/>
      <c r="G163" s="12"/>
    </row>
    <row r="164" ht="15.75" customHeight="1">
      <c r="A164" s="12"/>
      <c r="B164" s="12"/>
      <c r="C164" s="12"/>
      <c r="D164" s="12"/>
      <c r="E164" s="12"/>
      <c r="F164" s="12"/>
      <c r="G164" s="12"/>
    </row>
    <row r="165" ht="15.75" customHeight="1">
      <c r="A165" s="12"/>
      <c r="B165" s="12"/>
      <c r="C165" s="12"/>
      <c r="D165" s="12"/>
      <c r="E165" s="12"/>
      <c r="F165" s="12"/>
      <c r="G165" s="12"/>
    </row>
    <row r="166" ht="15.75" customHeight="1">
      <c r="A166" s="12"/>
      <c r="B166" s="12"/>
      <c r="C166" s="12"/>
      <c r="D166" s="12"/>
      <c r="E166" s="12"/>
      <c r="F166" s="12"/>
      <c r="G166" s="12"/>
    </row>
    <row r="167" ht="15.75" customHeight="1">
      <c r="A167" s="12"/>
      <c r="B167" s="12"/>
      <c r="C167" s="12"/>
      <c r="D167" s="12"/>
      <c r="E167" s="12"/>
      <c r="F167" s="12"/>
      <c r="G167" s="12"/>
    </row>
    <row r="168" ht="15.75" customHeight="1">
      <c r="A168" s="12"/>
      <c r="B168" s="12"/>
      <c r="C168" s="12"/>
      <c r="D168" s="12"/>
      <c r="E168" s="12"/>
      <c r="F168" s="12"/>
      <c r="G168" s="12"/>
    </row>
    <row r="169" ht="15.75" customHeight="1">
      <c r="A169" s="12"/>
      <c r="B169" s="12"/>
      <c r="C169" s="12"/>
      <c r="D169" s="12"/>
      <c r="E169" s="12"/>
      <c r="F169" s="12"/>
      <c r="G169" s="12"/>
    </row>
    <row r="170" ht="15.75" customHeight="1">
      <c r="A170" s="12"/>
      <c r="B170" s="12"/>
      <c r="C170" s="12"/>
      <c r="D170" s="12"/>
      <c r="E170" s="12"/>
      <c r="F170" s="12"/>
      <c r="G170" s="12"/>
    </row>
    <row r="171" ht="15.75" customHeight="1">
      <c r="A171" s="12"/>
      <c r="B171" s="12"/>
      <c r="C171" s="12"/>
      <c r="D171" s="12"/>
      <c r="E171" s="12"/>
      <c r="F171" s="12"/>
      <c r="G171" s="12"/>
    </row>
    <row r="172" ht="15.75" customHeight="1">
      <c r="A172" s="12"/>
      <c r="B172" s="12"/>
      <c r="C172" s="12"/>
      <c r="D172" s="12"/>
      <c r="E172" s="12"/>
      <c r="F172" s="12"/>
      <c r="G172" s="12"/>
    </row>
    <row r="173" ht="15.75" customHeight="1">
      <c r="A173" s="12"/>
      <c r="B173" s="12"/>
      <c r="C173" s="12"/>
      <c r="D173" s="12"/>
      <c r="E173" s="12"/>
      <c r="F173" s="12"/>
      <c r="G173" s="12"/>
    </row>
    <row r="174" ht="15.75" customHeight="1">
      <c r="A174" s="12"/>
      <c r="B174" s="12"/>
      <c r="C174" s="12"/>
      <c r="D174" s="12"/>
      <c r="E174" s="12"/>
      <c r="F174" s="12"/>
      <c r="G174" s="12"/>
    </row>
    <row r="175" ht="15.75" customHeight="1">
      <c r="A175" s="12"/>
      <c r="B175" s="12"/>
      <c r="C175" s="12"/>
      <c r="D175" s="12"/>
      <c r="E175" s="12"/>
      <c r="F175" s="12"/>
      <c r="G175" s="12"/>
    </row>
    <row r="176" ht="15.75" customHeight="1">
      <c r="A176" s="12"/>
      <c r="B176" s="12"/>
      <c r="C176" s="12"/>
      <c r="D176" s="12"/>
      <c r="E176" s="12"/>
      <c r="F176" s="12"/>
      <c r="G176" s="12"/>
    </row>
    <row r="177" ht="15.75" customHeight="1">
      <c r="A177" s="12"/>
      <c r="B177" s="12"/>
      <c r="C177" s="12"/>
      <c r="D177" s="12"/>
      <c r="E177" s="12"/>
      <c r="F177" s="12"/>
      <c r="G177" s="12"/>
    </row>
    <row r="178" ht="15.75" customHeight="1">
      <c r="A178" s="12"/>
      <c r="B178" s="12"/>
      <c r="C178" s="12"/>
      <c r="D178" s="12"/>
      <c r="E178" s="12"/>
      <c r="F178" s="12"/>
      <c r="G178" s="12"/>
    </row>
    <row r="179" ht="15.75" customHeight="1">
      <c r="A179" s="12"/>
      <c r="B179" s="12"/>
      <c r="C179" s="12"/>
      <c r="D179" s="12"/>
      <c r="E179" s="12"/>
      <c r="F179" s="12"/>
      <c r="G179" s="12"/>
    </row>
    <row r="180" ht="15.75" customHeight="1">
      <c r="A180" s="12"/>
      <c r="B180" s="12"/>
      <c r="C180" s="12"/>
      <c r="D180" s="12"/>
      <c r="E180" s="12"/>
      <c r="F180" s="12"/>
      <c r="G180" s="12"/>
    </row>
    <row r="181" ht="15.75" customHeight="1">
      <c r="A181" s="12"/>
      <c r="B181" s="12"/>
      <c r="C181" s="12"/>
      <c r="D181" s="12"/>
      <c r="E181" s="12"/>
      <c r="F181" s="12"/>
      <c r="G181" s="12"/>
    </row>
    <row r="182" ht="15.75" customHeight="1">
      <c r="A182" s="12"/>
      <c r="B182" s="12"/>
      <c r="C182" s="12"/>
      <c r="D182" s="12"/>
      <c r="E182" s="12"/>
      <c r="F182" s="12"/>
      <c r="G182" s="12"/>
    </row>
    <row r="183" ht="15.75" customHeight="1">
      <c r="A183" s="12"/>
      <c r="B183" s="12"/>
      <c r="C183" s="12"/>
      <c r="D183" s="12"/>
      <c r="E183" s="12"/>
      <c r="F183" s="12"/>
      <c r="G183" s="12"/>
    </row>
    <row r="184" ht="15.75" customHeight="1">
      <c r="A184" s="12"/>
      <c r="B184" s="12"/>
      <c r="C184" s="12"/>
      <c r="D184" s="12"/>
      <c r="E184" s="12"/>
      <c r="F184" s="12"/>
      <c r="G184" s="12"/>
    </row>
    <row r="185" ht="15.75" customHeight="1">
      <c r="A185" s="12"/>
      <c r="B185" s="12"/>
      <c r="C185" s="12"/>
      <c r="D185" s="12"/>
      <c r="E185" s="12"/>
      <c r="F185" s="12"/>
      <c r="G185" s="12"/>
    </row>
    <row r="186" ht="15.75" customHeight="1">
      <c r="A186" s="12"/>
      <c r="B186" s="12"/>
      <c r="C186" s="12"/>
      <c r="D186" s="12"/>
      <c r="E186" s="12"/>
      <c r="F186" s="12"/>
      <c r="G186" s="12"/>
    </row>
    <row r="187" ht="15.75" customHeight="1">
      <c r="A187" s="12"/>
      <c r="B187" s="12"/>
      <c r="C187" s="12"/>
      <c r="D187" s="12"/>
      <c r="E187" s="12"/>
      <c r="F187" s="12"/>
      <c r="G187" s="12"/>
    </row>
    <row r="188" ht="15.75" customHeight="1">
      <c r="A188" s="12"/>
      <c r="B188" s="12"/>
      <c r="C188" s="12"/>
      <c r="D188" s="12"/>
      <c r="E188" s="12"/>
      <c r="F188" s="12"/>
      <c r="G188" s="12"/>
    </row>
    <row r="189" ht="15.75" customHeight="1">
      <c r="A189" s="12"/>
      <c r="B189" s="12"/>
      <c r="C189" s="12"/>
      <c r="D189" s="12"/>
      <c r="E189" s="12"/>
      <c r="F189" s="12"/>
      <c r="G189" s="12"/>
    </row>
    <row r="190" ht="15.75" customHeight="1">
      <c r="A190" s="12"/>
      <c r="B190" s="12"/>
      <c r="C190" s="12"/>
      <c r="D190" s="12"/>
      <c r="E190" s="12"/>
      <c r="F190" s="12"/>
      <c r="G190" s="12"/>
    </row>
    <row r="191" ht="15.75" customHeight="1">
      <c r="A191" s="12"/>
      <c r="B191" s="12"/>
      <c r="C191" s="12"/>
      <c r="D191" s="12"/>
      <c r="E191" s="12"/>
      <c r="F191" s="12"/>
      <c r="G191" s="12"/>
    </row>
    <row r="192" ht="15.75" customHeight="1">
      <c r="A192" s="12"/>
      <c r="B192" s="12"/>
      <c r="C192" s="12"/>
      <c r="D192" s="12"/>
      <c r="E192" s="12"/>
      <c r="F192" s="12"/>
      <c r="G192" s="12"/>
    </row>
    <row r="193" ht="15.75" customHeight="1">
      <c r="A193" s="12"/>
      <c r="B193" s="12"/>
      <c r="C193" s="12"/>
      <c r="D193" s="12"/>
      <c r="E193" s="12"/>
      <c r="F193" s="12"/>
      <c r="G193" s="12"/>
    </row>
    <row r="194" ht="15.75" customHeight="1">
      <c r="A194" s="12"/>
      <c r="B194" s="12"/>
      <c r="C194" s="12"/>
      <c r="D194" s="12"/>
      <c r="E194" s="12"/>
      <c r="F194" s="12"/>
      <c r="G194" s="12"/>
    </row>
    <row r="195" ht="15.75" customHeight="1">
      <c r="A195" s="12"/>
      <c r="B195" s="12"/>
      <c r="C195" s="12"/>
      <c r="D195" s="12"/>
      <c r="E195" s="12"/>
      <c r="F195" s="12"/>
      <c r="G195" s="12"/>
    </row>
    <row r="196" ht="15.75" customHeight="1">
      <c r="A196" s="12"/>
      <c r="B196" s="12"/>
      <c r="C196" s="12"/>
      <c r="D196" s="12"/>
      <c r="E196" s="12"/>
      <c r="F196" s="12"/>
      <c r="G196" s="12"/>
    </row>
    <row r="197" ht="15.75" customHeight="1">
      <c r="A197" s="12"/>
      <c r="B197" s="12"/>
      <c r="C197" s="12"/>
      <c r="D197" s="12"/>
      <c r="E197" s="12"/>
      <c r="F197" s="12"/>
      <c r="G197" s="12"/>
    </row>
    <row r="198" ht="15.75" customHeight="1">
      <c r="A198" s="12"/>
      <c r="B198" s="12"/>
      <c r="C198" s="12"/>
      <c r="D198" s="12"/>
      <c r="E198" s="12"/>
      <c r="F198" s="12"/>
      <c r="G198" s="12"/>
    </row>
    <row r="199" ht="15.75" customHeight="1">
      <c r="A199" s="12"/>
      <c r="B199" s="12"/>
      <c r="C199" s="12"/>
      <c r="D199" s="12"/>
      <c r="E199" s="12"/>
      <c r="F199" s="12"/>
      <c r="G199" s="12"/>
    </row>
    <row r="200" ht="15.75" customHeight="1">
      <c r="A200" s="12"/>
      <c r="B200" s="12"/>
      <c r="C200" s="12"/>
      <c r="D200" s="12"/>
      <c r="E200" s="12"/>
      <c r="F200" s="12"/>
      <c r="G200" s="12"/>
    </row>
    <row r="201" ht="15.75" customHeight="1">
      <c r="A201" s="12"/>
      <c r="B201" s="12"/>
      <c r="C201" s="12"/>
      <c r="D201" s="12"/>
      <c r="E201" s="12"/>
      <c r="F201" s="12"/>
      <c r="G201" s="12"/>
    </row>
    <row r="202" ht="15.75" customHeight="1">
      <c r="A202" s="12"/>
      <c r="B202" s="12"/>
      <c r="C202" s="12"/>
      <c r="D202" s="12"/>
      <c r="E202" s="12"/>
      <c r="F202" s="12"/>
      <c r="G202" s="12"/>
    </row>
    <row r="203" ht="15.75" customHeight="1">
      <c r="A203" s="12"/>
      <c r="B203" s="12"/>
      <c r="C203" s="12"/>
      <c r="D203" s="12"/>
      <c r="E203" s="12"/>
      <c r="F203" s="12"/>
      <c r="G203" s="12"/>
    </row>
    <row r="204" ht="15.75" customHeight="1">
      <c r="A204" s="12"/>
      <c r="B204" s="12"/>
      <c r="C204" s="12"/>
      <c r="D204" s="12"/>
      <c r="E204" s="12"/>
      <c r="F204" s="12"/>
      <c r="G204" s="12"/>
    </row>
    <row r="205" ht="15.75" customHeight="1">
      <c r="A205" s="12"/>
      <c r="B205" s="12"/>
      <c r="C205" s="12"/>
      <c r="D205" s="12"/>
      <c r="E205" s="12"/>
      <c r="F205" s="12"/>
      <c r="G205" s="12"/>
    </row>
    <row r="206" ht="15.75" customHeight="1">
      <c r="A206" s="12"/>
      <c r="B206" s="12"/>
      <c r="C206" s="12"/>
      <c r="D206" s="12"/>
      <c r="E206" s="12"/>
      <c r="F206" s="12"/>
      <c r="G206" s="12"/>
    </row>
    <row r="207" ht="15.75" customHeight="1">
      <c r="A207" s="12"/>
      <c r="B207" s="12"/>
      <c r="C207" s="12"/>
      <c r="D207" s="12"/>
      <c r="E207" s="12"/>
      <c r="F207" s="12"/>
      <c r="G207" s="12"/>
    </row>
    <row r="208" ht="15.75" customHeight="1">
      <c r="A208" s="12"/>
      <c r="B208" s="12"/>
      <c r="C208" s="12"/>
      <c r="D208" s="12"/>
      <c r="E208" s="12"/>
      <c r="F208" s="12"/>
      <c r="G208" s="12"/>
    </row>
    <row r="209" ht="15.75" customHeight="1">
      <c r="A209" s="12"/>
      <c r="B209" s="12"/>
      <c r="C209" s="12"/>
      <c r="D209" s="12"/>
      <c r="E209" s="12"/>
      <c r="F209" s="12"/>
      <c r="G209" s="12"/>
    </row>
    <row r="210" ht="15.75" customHeight="1">
      <c r="A210" s="12"/>
      <c r="B210" s="12"/>
      <c r="C210" s="12"/>
      <c r="D210" s="12"/>
      <c r="E210" s="12"/>
      <c r="F210" s="12"/>
      <c r="G210" s="12"/>
    </row>
    <row r="211" ht="15.75" customHeight="1">
      <c r="A211" s="12"/>
      <c r="B211" s="12"/>
      <c r="C211" s="12"/>
      <c r="D211" s="12"/>
      <c r="E211" s="12"/>
      <c r="F211" s="12"/>
      <c r="G211" s="12"/>
    </row>
    <row r="212" ht="15.75" customHeight="1">
      <c r="A212" s="12"/>
      <c r="B212" s="12"/>
      <c r="C212" s="12"/>
      <c r="D212" s="12"/>
      <c r="E212" s="12"/>
      <c r="F212" s="12"/>
      <c r="G212" s="12"/>
    </row>
    <row r="213" ht="15.75" customHeight="1">
      <c r="A213" s="12"/>
      <c r="B213" s="12"/>
      <c r="C213" s="12"/>
      <c r="D213" s="12"/>
      <c r="E213" s="12"/>
      <c r="F213" s="12"/>
      <c r="G213" s="12"/>
    </row>
    <row r="214" ht="15.75" customHeight="1">
      <c r="A214" s="12"/>
      <c r="B214" s="12"/>
      <c r="C214" s="12"/>
      <c r="D214" s="12"/>
      <c r="E214" s="12"/>
      <c r="F214" s="12"/>
      <c r="G214" s="12"/>
    </row>
    <row r="215" ht="15.75" customHeight="1">
      <c r="A215" s="12"/>
      <c r="B215" s="12"/>
      <c r="C215" s="12"/>
      <c r="D215" s="12"/>
      <c r="E215" s="12"/>
      <c r="F215" s="12"/>
      <c r="G215" s="12"/>
    </row>
    <row r="216" ht="15.75" customHeight="1">
      <c r="A216" s="12"/>
      <c r="B216" s="12"/>
      <c r="C216" s="12"/>
      <c r="D216" s="12"/>
      <c r="E216" s="12"/>
      <c r="F216" s="12"/>
      <c r="G216" s="12"/>
    </row>
    <row r="217" ht="15.75" customHeight="1">
      <c r="A217" s="12"/>
      <c r="B217" s="12"/>
      <c r="C217" s="12"/>
      <c r="D217" s="12"/>
      <c r="E217" s="12"/>
      <c r="F217" s="12"/>
      <c r="G217" s="12"/>
    </row>
    <row r="218" ht="15.75" customHeight="1">
      <c r="A218" s="12"/>
      <c r="B218" s="12"/>
      <c r="C218" s="12"/>
      <c r="D218" s="12"/>
      <c r="E218" s="12"/>
      <c r="F218" s="12"/>
      <c r="G218" s="12"/>
    </row>
    <row r="219" ht="15.75" customHeight="1">
      <c r="A219" s="12"/>
      <c r="B219" s="12"/>
      <c r="C219" s="12"/>
      <c r="D219" s="12"/>
      <c r="E219" s="12"/>
      <c r="F219" s="12"/>
      <c r="G219" s="12"/>
    </row>
    <row r="220" ht="15.75" customHeight="1">
      <c r="A220" s="12"/>
      <c r="B220" s="12"/>
      <c r="C220" s="12"/>
      <c r="D220" s="12"/>
      <c r="E220" s="12"/>
      <c r="F220" s="12"/>
      <c r="G220" s="12"/>
    </row>
    <row r="221" ht="15.75" customHeight="1">
      <c r="A221" s="12"/>
      <c r="B221" s="12"/>
      <c r="C221" s="12"/>
      <c r="D221" s="12"/>
      <c r="E221" s="12"/>
      <c r="F221" s="12"/>
      <c r="G221" s="12"/>
    </row>
    <row r="222" ht="15.75" customHeight="1">
      <c r="A222" s="12"/>
      <c r="B222" s="12"/>
      <c r="C222" s="12"/>
      <c r="D222" s="12"/>
      <c r="E222" s="12"/>
      <c r="F222" s="12"/>
      <c r="G222" s="12"/>
    </row>
    <row r="223" ht="15.75" customHeight="1">
      <c r="A223" s="12"/>
      <c r="B223" s="12"/>
      <c r="C223" s="12"/>
      <c r="D223" s="12"/>
      <c r="E223" s="12"/>
      <c r="F223" s="12"/>
      <c r="G223" s="12"/>
    </row>
    <row r="224" ht="15.75" customHeight="1">
      <c r="A224" s="12"/>
      <c r="B224" s="12"/>
      <c r="C224" s="12"/>
      <c r="D224" s="12"/>
      <c r="E224" s="12"/>
      <c r="F224" s="12"/>
      <c r="G224" s="12"/>
    </row>
    <row r="225" ht="15.75" customHeight="1">
      <c r="A225" s="12"/>
      <c r="B225" s="12"/>
      <c r="C225" s="12"/>
      <c r="D225" s="12"/>
      <c r="E225" s="12"/>
      <c r="F225" s="12"/>
      <c r="G225" s="12"/>
    </row>
    <row r="226" ht="15.75" customHeight="1">
      <c r="A226" s="12"/>
      <c r="B226" s="12"/>
      <c r="C226" s="12"/>
      <c r="D226" s="12"/>
      <c r="E226" s="12"/>
      <c r="F226" s="12"/>
      <c r="G226" s="12"/>
    </row>
    <row r="227" ht="15.75" customHeight="1">
      <c r="A227" s="12"/>
      <c r="B227" s="12"/>
      <c r="C227" s="12"/>
      <c r="D227" s="12"/>
      <c r="E227" s="12"/>
      <c r="F227" s="12"/>
      <c r="G227" s="12"/>
    </row>
    <row r="228" ht="15.75" customHeight="1">
      <c r="A228" s="12"/>
      <c r="B228" s="12"/>
      <c r="C228" s="12"/>
      <c r="D228" s="12"/>
      <c r="E228" s="12"/>
      <c r="F228" s="12"/>
      <c r="G228" s="12"/>
    </row>
    <row r="229" ht="15.75" customHeight="1">
      <c r="A229" s="12"/>
      <c r="B229" s="12"/>
      <c r="C229" s="12"/>
      <c r="D229" s="12"/>
      <c r="E229" s="12"/>
      <c r="F229" s="12"/>
      <c r="G229" s="12"/>
    </row>
    <row r="230" ht="15.75" customHeight="1">
      <c r="A230" s="12"/>
      <c r="B230" s="12"/>
      <c r="C230" s="12"/>
      <c r="D230" s="12"/>
      <c r="E230" s="12"/>
      <c r="F230" s="12"/>
      <c r="G230" s="12"/>
    </row>
    <row r="231" ht="15.75" customHeight="1">
      <c r="A231" s="12"/>
      <c r="B231" s="12"/>
      <c r="C231" s="12"/>
      <c r="D231" s="12"/>
      <c r="E231" s="12"/>
      <c r="F231" s="12"/>
      <c r="G231" s="12"/>
    </row>
    <row r="232" ht="15.75" customHeight="1">
      <c r="A232" s="12"/>
      <c r="B232" s="12"/>
      <c r="C232" s="12"/>
      <c r="D232" s="12"/>
      <c r="E232" s="12"/>
      <c r="F232" s="12"/>
      <c r="G232" s="12"/>
    </row>
    <row r="233" ht="15.75" customHeight="1">
      <c r="A233" s="12"/>
      <c r="B233" s="12"/>
      <c r="C233" s="12"/>
      <c r="D233" s="12"/>
      <c r="E233" s="12"/>
      <c r="F233" s="12"/>
      <c r="G233" s="12"/>
    </row>
    <row r="234" ht="15.75" customHeight="1">
      <c r="A234" s="12"/>
      <c r="B234" s="12"/>
      <c r="C234" s="12"/>
      <c r="D234" s="12"/>
      <c r="E234" s="12"/>
      <c r="F234" s="12"/>
      <c r="G234" s="12"/>
    </row>
    <row r="235" ht="15.75" customHeight="1">
      <c r="A235" s="12"/>
      <c r="B235" s="12"/>
      <c r="C235" s="12"/>
      <c r="D235" s="12"/>
      <c r="E235" s="12"/>
      <c r="F235" s="12"/>
      <c r="G235" s="12"/>
    </row>
    <row r="236" ht="15.75" customHeight="1">
      <c r="A236" s="12"/>
      <c r="B236" s="12"/>
      <c r="C236" s="12"/>
      <c r="D236" s="12"/>
      <c r="E236" s="12"/>
      <c r="F236" s="12"/>
      <c r="G236" s="12"/>
    </row>
    <row r="237" ht="15.75" customHeight="1">
      <c r="A237" s="12"/>
      <c r="B237" s="12"/>
      <c r="C237" s="12"/>
      <c r="D237" s="12"/>
      <c r="E237" s="12"/>
      <c r="F237" s="12"/>
      <c r="G237" s="12"/>
    </row>
    <row r="238" ht="15.75" customHeight="1">
      <c r="A238" s="12"/>
      <c r="B238" s="12"/>
      <c r="C238" s="12"/>
      <c r="D238" s="12"/>
      <c r="E238" s="12"/>
      <c r="F238" s="12"/>
      <c r="G238" s="12"/>
    </row>
    <row r="239" ht="15.75" customHeight="1">
      <c r="A239" s="12"/>
      <c r="B239" s="12"/>
      <c r="C239" s="12"/>
      <c r="D239" s="12"/>
      <c r="E239" s="12"/>
      <c r="F239" s="12"/>
      <c r="G239" s="12"/>
    </row>
    <row r="240" ht="15.75" customHeight="1">
      <c r="A240" s="12"/>
      <c r="B240" s="12"/>
      <c r="C240" s="12"/>
      <c r="D240" s="12"/>
      <c r="E240" s="12"/>
      <c r="F240" s="12"/>
      <c r="G240" s="12"/>
    </row>
    <row r="241" ht="15.75" customHeight="1">
      <c r="A241" s="12"/>
      <c r="B241" s="12"/>
      <c r="C241" s="12"/>
      <c r="D241" s="12"/>
      <c r="E241" s="12"/>
      <c r="F241" s="12"/>
      <c r="G241" s="12"/>
    </row>
    <row r="242" ht="15.75" customHeight="1">
      <c r="A242" s="12"/>
      <c r="B242" s="12"/>
      <c r="C242" s="12"/>
      <c r="D242" s="12"/>
      <c r="E242" s="12"/>
      <c r="F242" s="12"/>
      <c r="G242" s="12"/>
    </row>
    <row r="243" ht="15.75" customHeight="1">
      <c r="A243" s="12"/>
      <c r="B243" s="12"/>
      <c r="C243" s="12"/>
      <c r="D243" s="12"/>
      <c r="E243" s="12"/>
      <c r="F243" s="12"/>
      <c r="G243" s="12"/>
    </row>
    <row r="244" ht="15.75" customHeight="1">
      <c r="A244" s="12"/>
      <c r="B244" s="12"/>
      <c r="C244" s="12"/>
      <c r="D244" s="12"/>
      <c r="E244" s="12"/>
      <c r="F244" s="12"/>
      <c r="G244" s="12"/>
    </row>
    <row r="245" ht="15.75" customHeight="1">
      <c r="A245" s="12"/>
      <c r="B245" s="12"/>
      <c r="C245" s="12"/>
      <c r="D245" s="12"/>
      <c r="E245" s="12"/>
      <c r="F245" s="12"/>
      <c r="G245" s="12"/>
    </row>
    <row r="246" ht="15.75" customHeight="1">
      <c r="A246" s="12"/>
      <c r="B246" s="12"/>
      <c r="C246" s="12"/>
      <c r="D246" s="12"/>
      <c r="E246" s="12"/>
      <c r="F246" s="12"/>
      <c r="G246" s="12"/>
    </row>
    <row r="247" ht="15.75" customHeight="1">
      <c r="A247" s="12"/>
      <c r="B247" s="12"/>
      <c r="C247" s="12"/>
      <c r="D247" s="12"/>
      <c r="E247" s="12"/>
      <c r="F247" s="12"/>
      <c r="G247" s="12"/>
    </row>
    <row r="248" ht="15.75" customHeight="1">
      <c r="A248" s="12"/>
      <c r="B248" s="12"/>
      <c r="C248" s="12"/>
      <c r="D248" s="12"/>
      <c r="E248" s="12"/>
      <c r="F248" s="12"/>
      <c r="G248" s="12"/>
    </row>
    <row r="249" ht="15.75" customHeight="1">
      <c r="A249" s="12"/>
      <c r="B249" s="12"/>
      <c r="C249" s="12"/>
      <c r="D249" s="12"/>
      <c r="E249" s="12"/>
      <c r="F249" s="12"/>
      <c r="G249" s="12"/>
    </row>
    <row r="250" ht="15.75" customHeight="1">
      <c r="A250" s="12"/>
      <c r="B250" s="12"/>
      <c r="C250" s="12"/>
      <c r="D250" s="12"/>
      <c r="E250" s="12"/>
      <c r="F250" s="12"/>
      <c r="G250" s="12"/>
    </row>
    <row r="251" ht="15.75" customHeight="1">
      <c r="A251" s="12"/>
      <c r="B251" s="12"/>
      <c r="C251" s="12"/>
      <c r="D251" s="12"/>
      <c r="E251" s="12"/>
      <c r="F251" s="12"/>
      <c r="G251" s="12"/>
    </row>
    <row r="252" ht="15.75" customHeight="1">
      <c r="A252" s="12"/>
      <c r="B252" s="12"/>
      <c r="C252" s="12"/>
      <c r="D252" s="12"/>
      <c r="E252" s="12"/>
      <c r="F252" s="12"/>
      <c r="G252" s="12"/>
    </row>
    <row r="253" ht="15.75" customHeight="1">
      <c r="A253" s="12"/>
      <c r="B253" s="12"/>
      <c r="C253" s="12"/>
      <c r="D253" s="12"/>
      <c r="E253" s="12"/>
      <c r="F253" s="12"/>
      <c r="G253" s="12"/>
    </row>
    <row r="254" ht="15.75" customHeight="1">
      <c r="A254" s="12"/>
      <c r="B254" s="12"/>
      <c r="C254" s="12"/>
      <c r="D254" s="12"/>
      <c r="E254" s="12"/>
      <c r="F254" s="12"/>
      <c r="G254" s="12"/>
    </row>
    <row r="255" ht="15.75" customHeight="1">
      <c r="A255" s="12"/>
      <c r="B255" s="12"/>
      <c r="C255" s="12"/>
      <c r="D255" s="12"/>
      <c r="E255" s="12"/>
      <c r="F255" s="12"/>
      <c r="G255" s="12"/>
    </row>
    <row r="256" ht="15.75" customHeight="1">
      <c r="A256" s="12"/>
      <c r="B256" s="12"/>
      <c r="C256" s="12"/>
      <c r="D256" s="12"/>
      <c r="E256" s="12"/>
      <c r="F256" s="12"/>
      <c r="G256" s="12"/>
    </row>
    <row r="257" ht="15.75" customHeight="1">
      <c r="A257" s="12"/>
      <c r="B257" s="12"/>
      <c r="C257" s="12"/>
      <c r="D257" s="12"/>
      <c r="E257" s="12"/>
      <c r="F257" s="12"/>
      <c r="G257" s="12"/>
    </row>
    <row r="258" ht="15.75" customHeight="1">
      <c r="A258" s="12"/>
      <c r="B258" s="12"/>
      <c r="C258" s="12"/>
      <c r="D258" s="12"/>
      <c r="E258" s="12"/>
      <c r="F258" s="12"/>
      <c r="G258" s="12"/>
    </row>
    <row r="259" ht="15.75" customHeight="1">
      <c r="A259" s="12"/>
      <c r="B259" s="12"/>
      <c r="C259" s="12"/>
      <c r="D259" s="12"/>
      <c r="E259" s="12"/>
      <c r="F259" s="12"/>
      <c r="G259" s="12"/>
    </row>
    <row r="260" ht="15.75" customHeight="1">
      <c r="A260" s="12"/>
      <c r="B260" s="12"/>
      <c r="C260" s="12"/>
      <c r="D260" s="12"/>
      <c r="E260" s="12"/>
      <c r="F260" s="12"/>
      <c r="G260" s="12"/>
    </row>
    <row r="261" ht="15.75" customHeight="1">
      <c r="A261" s="12"/>
      <c r="B261" s="12"/>
      <c r="C261" s="12"/>
      <c r="D261" s="12"/>
      <c r="E261" s="12"/>
      <c r="F261" s="12"/>
      <c r="G261" s="12"/>
    </row>
    <row r="262" ht="15.75" customHeight="1">
      <c r="A262" s="12"/>
      <c r="B262" s="12"/>
      <c r="C262" s="12"/>
      <c r="D262" s="12"/>
      <c r="E262" s="12"/>
      <c r="F262" s="12"/>
      <c r="G262" s="12"/>
    </row>
    <row r="263" ht="15.75" customHeight="1">
      <c r="A263" s="12"/>
      <c r="B263" s="12"/>
      <c r="C263" s="12"/>
      <c r="D263" s="12"/>
      <c r="E263" s="12"/>
      <c r="F263" s="12"/>
      <c r="G263" s="12"/>
    </row>
    <row r="264" ht="15.75" customHeight="1">
      <c r="A264" s="12"/>
      <c r="B264" s="12"/>
      <c r="C264" s="12"/>
      <c r="D264" s="12"/>
      <c r="E264" s="12"/>
      <c r="F264" s="12"/>
      <c r="G264" s="12"/>
    </row>
    <row r="265" ht="15.75" customHeight="1">
      <c r="A265" s="12"/>
      <c r="B265" s="12"/>
      <c r="C265" s="12"/>
      <c r="D265" s="12"/>
      <c r="E265" s="12"/>
      <c r="F265" s="12"/>
      <c r="G265" s="12"/>
    </row>
    <row r="266" ht="15.75" customHeight="1">
      <c r="A266" s="12"/>
      <c r="B266" s="12"/>
      <c r="C266" s="12"/>
      <c r="D266" s="12"/>
      <c r="E266" s="12"/>
      <c r="F266" s="12"/>
      <c r="G266" s="12"/>
    </row>
    <row r="267" ht="15.75" customHeight="1">
      <c r="A267" s="12"/>
      <c r="B267" s="12"/>
      <c r="C267" s="12"/>
      <c r="D267" s="12"/>
      <c r="E267" s="12"/>
      <c r="F267" s="12"/>
      <c r="G267" s="12"/>
    </row>
    <row r="268" ht="15.75" customHeight="1">
      <c r="A268" s="12"/>
      <c r="B268" s="12"/>
      <c r="C268" s="12"/>
      <c r="D268" s="12"/>
      <c r="E268" s="12"/>
      <c r="F268" s="12"/>
      <c r="G268" s="12"/>
    </row>
    <row r="269" ht="15.75" customHeight="1">
      <c r="A269" s="12"/>
      <c r="B269" s="12"/>
      <c r="C269" s="12"/>
      <c r="D269" s="12"/>
      <c r="E269" s="12"/>
      <c r="F269" s="12"/>
      <c r="G269" s="12"/>
    </row>
    <row r="270" ht="15.75" customHeight="1">
      <c r="A270" s="12"/>
      <c r="B270" s="12"/>
      <c r="C270" s="12"/>
      <c r="D270" s="12"/>
      <c r="E270" s="12"/>
      <c r="F270" s="12"/>
      <c r="G270" s="12"/>
    </row>
    <row r="271" ht="15.75" customHeight="1">
      <c r="A271" s="12"/>
      <c r="B271" s="12"/>
      <c r="C271" s="12"/>
      <c r="D271" s="12"/>
      <c r="E271" s="12"/>
      <c r="F271" s="12"/>
      <c r="G271" s="12"/>
    </row>
    <row r="272" ht="15.75" customHeight="1">
      <c r="A272" s="12"/>
      <c r="B272" s="12"/>
      <c r="C272" s="12"/>
      <c r="D272" s="12"/>
      <c r="E272" s="12"/>
      <c r="F272" s="12"/>
      <c r="G272" s="12"/>
    </row>
    <row r="273" ht="15.75" customHeight="1">
      <c r="A273" s="12"/>
      <c r="B273" s="12"/>
      <c r="C273" s="12"/>
      <c r="D273" s="12"/>
      <c r="E273" s="12"/>
      <c r="F273" s="12"/>
      <c r="G273" s="12"/>
    </row>
    <row r="274" ht="15.75" customHeight="1">
      <c r="A274" s="12"/>
      <c r="B274" s="12"/>
      <c r="C274" s="12"/>
      <c r="D274" s="12"/>
      <c r="E274" s="12"/>
      <c r="F274" s="12"/>
      <c r="G274" s="12"/>
    </row>
    <row r="275" ht="15.75" customHeight="1">
      <c r="A275" s="12"/>
      <c r="B275" s="12"/>
      <c r="C275" s="12"/>
      <c r="D275" s="12"/>
      <c r="E275" s="12"/>
      <c r="F275" s="12"/>
      <c r="G275" s="12"/>
    </row>
    <row r="276" ht="15.75" customHeight="1">
      <c r="A276" s="12"/>
      <c r="B276" s="12"/>
      <c r="C276" s="12"/>
      <c r="D276" s="12"/>
      <c r="E276" s="12"/>
      <c r="F276" s="12"/>
      <c r="G276" s="12"/>
    </row>
    <row r="277" ht="15.75" customHeight="1">
      <c r="A277" s="12"/>
      <c r="B277" s="12"/>
      <c r="C277" s="12"/>
      <c r="D277" s="12"/>
      <c r="E277" s="12"/>
      <c r="F277" s="12"/>
      <c r="G277" s="12"/>
    </row>
    <row r="278" ht="15.75" customHeight="1">
      <c r="A278" s="12"/>
      <c r="B278" s="12"/>
      <c r="C278" s="12"/>
      <c r="D278" s="12"/>
      <c r="E278" s="12"/>
      <c r="F278" s="12"/>
      <c r="G278" s="12"/>
    </row>
    <row r="279" ht="15.75" customHeight="1">
      <c r="A279" s="12"/>
      <c r="B279" s="12"/>
      <c r="C279" s="12"/>
      <c r="D279" s="12"/>
      <c r="E279" s="12"/>
      <c r="F279" s="12"/>
      <c r="G279" s="12"/>
    </row>
    <row r="280" ht="15.75" customHeight="1">
      <c r="A280" s="12"/>
      <c r="B280" s="12"/>
      <c r="C280" s="12"/>
      <c r="D280" s="12"/>
      <c r="E280" s="12"/>
      <c r="F280" s="12"/>
      <c r="G280" s="12"/>
    </row>
    <row r="281" ht="15.75" customHeight="1">
      <c r="A281" s="12"/>
      <c r="B281" s="12"/>
      <c r="C281" s="12"/>
      <c r="D281" s="12"/>
      <c r="E281" s="12"/>
      <c r="F281" s="12"/>
      <c r="G281" s="12"/>
    </row>
    <row r="282" ht="15.75" customHeight="1">
      <c r="A282" s="12"/>
      <c r="B282" s="12"/>
      <c r="C282" s="12"/>
      <c r="D282" s="12"/>
      <c r="E282" s="12"/>
      <c r="F282" s="12"/>
      <c r="G282" s="12"/>
    </row>
    <row r="283" ht="15.75" customHeight="1">
      <c r="A283" s="12"/>
      <c r="B283" s="12"/>
      <c r="C283" s="12"/>
      <c r="D283" s="12"/>
      <c r="E283" s="12"/>
      <c r="F283" s="12"/>
      <c r="G283" s="12"/>
    </row>
    <row r="284" ht="15.75" customHeight="1">
      <c r="A284" s="12"/>
      <c r="B284" s="12"/>
      <c r="C284" s="12"/>
      <c r="D284" s="12"/>
      <c r="E284" s="12"/>
      <c r="F284" s="12"/>
      <c r="G284" s="12"/>
    </row>
    <row r="285" ht="15.75" customHeight="1">
      <c r="A285" s="12"/>
      <c r="B285" s="12"/>
      <c r="C285" s="12"/>
      <c r="D285" s="12"/>
      <c r="E285" s="12"/>
      <c r="F285" s="12"/>
      <c r="G285" s="12"/>
    </row>
    <row r="286" ht="15.75" customHeight="1">
      <c r="A286" s="12"/>
      <c r="B286" s="12"/>
      <c r="C286" s="12"/>
      <c r="D286" s="12"/>
      <c r="E286" s="12"/>
      <c r="F286" s="12"/>
      <c r="G286" s="12"/>
    </row>
    <row r="287" ht="15.75" customHeight="1">
      <c r="A287" s="12"/>
      <c r="B287" s="12"/>
      <c r="C287" s="12"/>
      <c r="D287" s="12"/>
      <c r="E287" s="12"/>
      <c r="F287" s="12"/>
      <c r="G287" s="12"/>
    </row>
    <row r="288" ht="15.75" customHeight="1">
      <c r="A288" s="12"/>
      <c r="B288" s="12"/>
      <c r="C288" s="12"/>
      <c r="D288" s="12"/>
      <c r="E288" s="12"/>
      <c r="F288" s="12"/>
      <c r="G288" s="12"/>
    </row>
    <row r="289" ht="15.75" customHeight="1">
      <c r="A289" s="12"/>
      <c r="B289" s="12"/>
      <c r="C289" s="12"/>
      <c r="D289" s="12"/>
      <c r="E289" s="12"/>
      <c r="F289" s="12"/>
      <c r="G289" s="12"/>
    </row>
    <row r="290" ht="15.75" customHeight="1">
      <c r="A290" s="12"/>
      <c r="B290" s="12"/>
      <c r="C290" s="12"/>
      <c r="D290" s="12"/>
      <c r="E290" s="12"/>
      <c r="F290" s="12"/>
      <c r="G290" s="12"/>
    </row>
    <row r="291" ht="15.75" customHeight="1">
      <c r="A291" s="12"/>
      <c r="B291" s="12"/>
      <c r="C291" s="12"/>
      <c r="D291" s="12"/>
      <c r="E291" s="12"/>
      <c r="F291" s="12"/>
      <c r="G291" s="12"/>
    </row>
    <row r="292" ht="15.75" customHeight="1">
      <c r="A292" s="12"/>
      <c r="B292" s="12"/>
      <c r="C292" s="12"/>
      <c r="D292" s="12"/>
      <c r="E292" s="12"/>
      <c r="F292" s="12"/>
      <c r="G292" s="12"/>
    </row>
    <row r="293" ht="15.75" customHeight="1">
      <c r="A293" s="12"/>
      <c r="B293" s="12"/>
      <c r="C293" s="12"/>
      <c r="D293" s="12"/>
      <c r="E293" s="12"/>
      <c r="F293" s="12"/>
      <c r="G293" s="12"/>
    </row>
    <row r="294" ht="15.75" customHeight="1">
      <c r="A294" s="12"/>
      <c r="B294" s="12"/>
      <c r="C294" s="12"/>
      <c r="D294" s="12"/>
      <c r="E294" s="12"/>
      <c r="F294" s="12"/>
      <c r="G294" s="12"/>
    </row>
    <row r="295" ht="15.75" customHeight="1">
      <c r="A295" s="12"/>
      <c r="B295" s="12"/>
      <c r="C295" s="12"/>
      <c r="D295" s="12"/>
      <c r="E295" s="12"/>
      <c r="F295" s="12"/>
      <c r="G295" s="12"/>
    </row>
    <row r="296" ht="15.75" customHeight="1">
      <c r="A296" s="12"/>
      <c r="B296" s="12"/>
      <c r="C296" s="12"/>
      <c r="D296" s="12"/>
      <c r="E296" s="12"/>
      <c r="F296" s="12"/>
      <c r="G296" s="12"/>
    </row>
    <row r="297" ht="15.75" customHeight="1">
      <c r="A297" s="12"/>
      <c r="B297" s="12"/>
      <c r="C297" s="12"/>
      <c r="D297" s="12"/>
      <c r="E297" s="12"/>
      <c r="F297" s="12"/>
      <c r="G297" s="12"/>
    </row>
    <row r="298" ht="15.75" customHeight="1">
      <c r="A298" s="12"/>
      <c r="B298" s="12"/>
      <c r="C298" s="12"/>
      <c r="D298" s="12"/>
      <c r="E298" s="12"/>
      <c r="F298" s="12"/>
      <c r="G298" s="12"/>
    </row>
    <row r="299" ht="15.75" customHeight="1">
      <c r="A299" s="12"/>
      <c r="B299" s="12"/>
      <c r="C299" s="12"/>
      <c r="D299" s="12"/>
      <c r="E299" s="12"/>
      <c r="F299" s="12"/>
      <c r="G299" s="12"/>
    </row>
    <row r="300" ht="15.75" customHeight="1">
      <c r="A300" s="12"/>
      <c r="B300" s="12"/>
      <c r="C300" s="12"/>
      <c r="D300" s="12"/>
      <c r="E300" s="12"/>
      <c r="F300" s="12"/>
      <c r="G300" s="12"/>
    </row>
    <row r="301" ht="15.75" customHeight="1">
      <c r="A301" s="12"/>
      <c r="B301" s="12"/>
      <c r="C301" s="12"/>
      <c r="D301" s="12"/>
      <c r="E301" s="12"/>
      <c r="F301" s="12"/>
      <c r="G301" s="12"/>
    </row>
    <row r="302" ht="15.75" customHeight="1">
      <c r="A302" s="12"/>
      <c r="B302" s="12"/>
      <c r="C302" s="12"/>
      <c r="D302" s="12"/>
      <c r="E302" s="12"/>
      <c r="F302" s="12"/>
      <c r="G302" s="12"/>
    </row>
    <row r="303" ht="15.75" customHeight="1">
      <c r="A303" s="12"/>
      <c r="B303" s="12"/>
      <c r="C303" s="12"/>
      <c r="D303" s="12"/>
      <c r="E303" s="12"/>
      <c r="F303" s="12"/>
      <c r="G303" s="12"/>
    </row>
    <row r="304" ht="15.75" customHeight="1">
      <c r="A304" s="12"/>
      <c r="B304" s="12"/>
      <c r="C304" s="12"/>
      <c r="D304" s="12"/>
      <c r="E304" s="12"/>
      <c r="F304" s="12"/>
      <c r="G304" s="12"/>
    </row>
    <row r="305" ht="15.75" customHeight="1">
      <c r="A305" s="12"/>
      <c r="B305" s="12"/>
      <c r="C305" s="12"/>
      <c r="D305" s="12"/>
      <c r="E305" s="12"/>
      <c r="F305" s="12"/>
      <c r="G305" s="12"/>
    </row>
    <row r="306" ht="15.75" customHeight="1">
      <c r="A306" s="12"/>
      <c r="B306" s="12"/>
      <c r="C306" s="12"/>
      <c r="D306" s="12"/>
      <c r="E306" s="12"/>
      <c r="F306" s="12"/>
      <c r="G306" s="12"/>
    </row>
    <row r="307" ht="15.75" customHeight="1">
      <c r="A307" s="12"/>
      <c r="B307" s="12"/>
      <c r="C307" s="12"/>
      <c r="D307" s="12"/>
      <c r="E307" s="12"/>
      <c r="F307" s="12"/>
      <c r="G307" s="12"/>
    </row>
    <row r="308" ht="15.75" customHeight="1">
      <c r="A308" s="12"/>
      <c r="B308" s="12"/>
      <c r="C308" s="12"/>
      <c r="D308" s="12"/>
      <c r="E308" s="12"/>
      <c r="F308" s="12"/>
      <c r="G308" s="12"/>
    </row>
    <row r="309" ht="15.75" customHeight="1">
      <c r="A309" s="12"/>
      <c r="B309" s="12"/>
      <c r="C309" s="12"/>
      <c r="D309" s="12"/>
      <c r="E309" s="12"/>
      <c r="F309" s="12"/>
      <c r="G309" s="12"/>
    </row>
    <row r="310" ht="15.75" customHeight="1">
      <c r="A310" s="12"/>
      <c r="B310" s="12"/>
      <c r="C310" s="12"/>
      <c r="D310" s="12"/>
      <c r="E310" s="12"/>
      <c r="F310" s="12"/>
      <c r="G310" s="12"/>
    </row>
    <row r="311" ht="15.75" customHeight="1">
      <c r="A311" s="12"/>
      <c r="B311" s="12"/>
      <c r="C311" s="12"/>
      <c r="D311" s="12"/>
      <c r="E311" s="12"/>
      <c r="F311" s="12"/>
      <c r="G311" s="12"/>
    </row>
    <row r="312" ht="15.75" customHeight="1">
      <c r="A312" s="12"/>
      <c r="B312" s="12"/>
      <c r="C312" s="12"/>
      <c r="D312" s="12"/>
      <c r="E312" s="12"/>
      <c r="F312" s="12"/>
      <c r="G312" s="12"/>
    </row>
    <row r="313" ht="15.75" customHeight="1">
      <c r="A313" s="12"/>
      <c r="B313" s="12"/>
      <c r="C313" s="12"/>
      <c r="D313" s="12"/>
      <c r="E313" s="12"/>
      <c r="F313" s="12"/>
      <c r="G313" s="12"/>
    </row>
    <row r="314" ht="15.75" customHeight="1">
      <c r="A314" s="12"/>
      <c r="B314" s="12"/>
      <c r="C314" s="12"/>
      <c r="D314" s="12"/>
      <c r="E314" s="12"/>
      <c r="F314" s="12"/>
      <c r="G314" s="12"/>
    </row>
    <row r="315" ht="15.75" customHeight="1">
      <c r="A315" s="12"/>
      <c r="B315" s="12"/>
      <c r="C315" s="12"/>
      <c r="D315" s="12"/>
      <c r="E315" s="12"/>
      <c r="F315" s="12"/>
      <c r="G315" s="12"/>
    </row>
    <row r="316" ht="15.75" customHeight="1">
      <c r="A316" s="12"/>
      <c r="B316" s="12"/>
      <c r="C316" s="12"/>
      <c r="D316" s="12"/>
      <c r="E316" s="12"/>
      <c r="F316" s="12"/>
      <c r="G316" s="12"/>
    </row>
    <row r="317" ht="15.75" customHeight="1">
      <c r="A317" s="12"/>
      <c r="B317" s="12"/>
      <c r="C317" s="12"/>
      <c r="D317" s="12"/>
      <c r="E317" s="12"/>
      <c r="F317" s="12"/>
      <c r="G317" s="12"/>
    </row>
    <row r="318" ht="15.75" customHeight="1">
      <c r="A318" s="12"/>
      <c r="B318" s="12"/>
      <c r="C318" s="12"/>
      <c r="D318" s="12"/>
      <c r="E318" s="12"/>
      <c r="F318" s="12"/>
      <c r="G318" s="12"/>
    </row>
    <row r="319" ht="15.75" customHeight="1">
      <c r="A319" s="12"/>
      <c r="B319" s="12"/>
      <c r="C319" s="12"/>
      <c r="D319" s="12"/>
      <c r="E319" s="12"/>
      <c r="F319" s="12"/>
      <c r="G319" s="12"/>
    </row>
    <row r="320" ht="15.75" customHeight="1">
      <c r="A320" s="12"/>
      <c r="B320" s="12"/>
      <c r="C320" s="12"/>
      <c r="D320" s="12"/>
      <c r="E320" s="12"/>
      <c r="F320" s="12"/>
      <c r="G320" s="12"/>
    </row>
    <row r="321" ht="15.75" customHeight="1">
      <c r="A321" s="12"/>
      <c r="B321" s="12"/>
      <c r="C321" s="12"/>
      <c r="D321" s="12"/>
      <c r="E321" s="12"/>
      <c r="F321" s="12"/>
      <c r="G321" s="12"/>
    </row>
    <row r="322" ht="15.75" customHeight="1">
      <c r="A322" s="12"/>
      <c r="B322" s="12"/>
      <c r="C322" s="12"/>
      <c r="D322" s="12"/>
      <c r="E322" s="12"/>
      <c r="F322" s="12"/>
      <c r="G322" s="12"/>
    </row>
    <row r="323" ht="15.75" customHeight="1">
      <c r="A323" s="12"/>
      <c r="B323" s="12"/>
      <c r="C323" s="12"/>
      <c r="D323" s="12"/>
      <c r="E323" s="12"/>
      <c r="F323" s="12"/>
      <c r="G323" s="12"/>
    </row>
    <row r="324" ht="15.75" customHeight="1">
      <c r="A324" s="12"/>
      <c r="B324" s="12"/>
      <c r="C324" s="12"/>
      <c r="D324" s="12"/>
      <c r="E324" s="12"/>
      <c r="F324" s="12"/>
      <c r="G324" s="12"/>
    </row>
    <row r="325" ht="15.75" customHeight="1">
      <c r="A325" s="12"/>
      <c r="B325" s="12"/>
      <c r="C325" s="12"/>
      <c r="D325" s="12"/>
      <c r="E325" s="12"/>
      <c r="F325" s="12"/>
      <c r="G325" s="12"/>
    </row>
    <row r="326" ht="15.75" customHeight="1">
      <c r="A326" s="12"/>
      <c r="B326" s="12"/>
      <c r="C326" s="12"/>
      <c r="D326" s="12"/>
      <c r="E326" s="12"/>
      <c r="F326" s="12"/>
      <c r="G326" s="12"/>
    </row>
    <row r="327" ht="15.75" customHeight="1">
      <c r="A327" s="12"/>
      <c r="B327" s="12"/>
      <c r="C327" s="12"/>
      <c r="D327" s="12"/>
      <c r="E327" s="12"/>
      <c r="F327" s="12"/>
      <c r="G327" s="12"/>
    </row>
    <row r="328" ht="15.75" customHeight="1">
      <c r="A328" s="12"/>
      <c r="B328" s="12"/>
      <c r="C328" s="12"/>
      <c r="D328" s="12"/>
      <c r="E328" s="12"/>
      <c r="F328" s="12"/>
      <c r="G328" s="12"/>
    </row>
    <row r="329" ht="15.75" customHeight="1">
      <c r="A329" s="12"/>
      <c r="B329" s="12"/>
      <c r="C329" s="12"/>
      <c r="D329" s="12"/>
      <c r="E329" s="12"/>
      <c r="F329" s="12"/>
      <c r="G329" s="12"/>
    </row>
    <row r="330" ht="15.75" customHeight="1">
      <c r="A330" s="12"/>
      <c r="B330" s="12"/>
      <c r="C330" s="12"/>
      <c r="D330" s="12"/>
      <c r="E330" s="12"/>
      <c r="F330" s="12"/>
      <c r="G330" s="12"/>
    </row>
    <row r="331" ht="15.75" customHeight="1">
      <c r="A331" s="12"/>
      <c r="B331" s="12"/>
      <c r="C331" s="12"/>
      <c r="D331" s="12"/>
      <c r="E331" s="12"/>
      <c r="F331" s="12"/>
      <c r="G331" s="12"/>
    </row>
    <row r="332" ht="15.75" customHeight="1">
      <c r="A332" s="12"/>
      <c r="B332" s="12"/>
      <c r="C332" s="12"/>
      <c r="D332" s="12"/>
      <c r="E332" s="12"/>
      <c r="F332" s="12"/>
      <c r="G332" s="12"/>
    </row>
    <row r="333" ht="15.75" customHeight="1">
      <c r="A333" s="12"/>
      <c r="B333" s="12"/>
      <c r="C333" s="12"/>
      <c r="D333" s="12"/>
      <c r="E333" s="12"/>
      <c r="F333" s="12"/>
      <c r="G333" s="12"/>
    </row>
    <row r="334" ht="15.75" customHeight="1">
      <c r="A334" s="12"/>
      <c r="B334" s="12"/>
      <c r="C334" s="12"/>
      <c r="D334" s="12"/>
      <c r="E334" s="12"/>
      <c r="F334" s="12"/>
      <c r="G334" s="12"/>
    </row>
    <row r="335" ht="15.75" customHeight="1">
      <c r="A335" s="12"/>
      <c r="B335" s="12"/>
      <c r="C335" s="12"/>
      <c r="D335" s="12"/>
      <c r="E335" s="12"/>
      <c r="F335" s="12"/>
      <c r="G335" s="12"/>
    </row>
    <row r="336" ht="15.75" customHeight="1">
      <c r="A336" s="12"/>
      <c r="B336" s="12"/>
      <c r="C336" s="12"/>
      <c r="D336" s="12"/>
      <c r="E336" s="12"/>
      <c r="F336" s="12"/>
      <c r="G336" s="12"/>
    </row>
    <row r="337" ht="15.75" customHeight="1">
      <c r="A337" s="12"/>
      <c r="B337" s="12"/>
      <c r="C337" s="12"/>
      <c r="D337" s="12"/>
      <c r="E337" s="12"/>
      <c r="F337" s="12"/>
      <c r="G337" s="12"/>
    </row>
    <row r="338" ht="15.75" customHeight="1">
      <c r="A338" s="12"/>
      <c r="B338" s="12"/>
      <c r="C338" s="12"/>
      <c r="D338" s="12"/>
      <c r="E338" s="12"/>
      <c r="F338" s="12"/>
      <c r="G338" s="12"/>
    </row>
    <row r="339" ht="15.75" customHeight="1">
      <c r="A339" s="12"/>
      <c r="B339" s="12"/>
      <c r="C339" s="12"/>
      <c r="D339" s="12"/>
      <c r="E339" s="12"/>
      <c r="F339" s="12"/>
      <c r="G339" s="12"/>
    </row>
    <row r="340" ht="15.75" customHeight="1">
      <c r="A340" s="12"/>
      <c r="B340" s="12"/>
      <c r="C340" s="12"/>
      <c r="D340" s="12"/>
      <c r="E340" s="12"/>
      <c r="F340" s="12"/>
      <c r="G340" s="12"/>
    </row>
    <row r="341" ht="15.75" customHeight="1">
      <c r="A341" s="12"/>
      <c r="B341" s="12"/>
      <c r="C341" s="12"/>
      <c r="D341" s="12"/>
      <c r="E341" s="12"/>
      <c r="F341" s="12"/>
      <c r="G341" s="12"/>
    </row>
    <row r="342" ht="15.75" customHeight="1">
      <c r="A342" s="12"/>
      <c r="B342" s="12"/>
      <c r="C342" s="12"/>
      <c r="D342" s="12"/>
      <c r="E342" s="12"/>
      <c r="F342" s="12"/>
      <c r="G342" s="12"/>
    </row>
    <row r="343" ht="15.75" customHeight="1">
      <c r="A343" s="12"/>
      <c r="B343" s="12"/>
      <c r="C343" s="12"/>
      <c r="D343" s="12"/>
      <c r="E343" s="12"/>
      <c r="F343" s="12"/>
      <c r="G343" s="12"/>
    </row>
    <row r="344" ht="15.75" customHeight="1">
      <c r="A344" s="12"/>
      <c r="B344" s="12"/>
      <c r="C344" s="12"/>
      <c r="D344" s="12"/>
      <c r="E344" s="12"/>
      <c r="F344" s="12"/>
      <c r="G344" s="12"/>
    </row>
    <row r="345" ht="15.75" customHeight="1">
      <c r="A345" s="12"/>
      <c r="B345" s="12"/>
      <c r="C345" s="12"/>
      <c r="D345" s="12"/>
      <c r="E345" s="12"/>
      <c r="F345" s="12"/>
      <c r="G345" s="12"/>
    </row>
    <row r="346" ht="15.75" customHeight="1">
      <c r="A346" s="12"/>
      <c r="B346" s="12"/>
      <c r="C346" s="12"/>
      <c r="D346" s="12"/>
      <c r="E346" s="12"/>
      <c r="F346" s="12"/>
      <c r="G346" s="12"/>
    </row>
    <row r="347" ht="15.75" customHeight="1">
      <c r="A347" s="12"/>
      <c r="B347" s="12"/>
      <c r="C347" s="12"/>
      <c r="D347" s="12"/>
      <c r="E347" s="12"/>
      <c r="F347" s="12"/>
      <c r="G347" s="12"/>
    </row>
    <row r="348" ht="15.75" customHeight="1">
      <c r="A348" s="12"/>
      <c r="B348" s="12"/>
      <c r="C348" s="12"/>
      <c r="D348" s="12"/>
      <c r="E348" s="12"/>
      <c r="F348" s="12"/>
      <c r="G348" s="12"/>
    </row>
    <row r="349" ht="15.75" customHeight="1">
      <c r="A349" s="12"/>
      <c r="B349" s="12"/>
      <c r="C349" s="12"/>
      <c r="D349" s="12"/>
      <c r="E349" s="12"/>
      <c r="F349" s="12"/>
      <c r="G349" s="12"/>
    </row>
    <row r="350" ht="15.75" customHeight="1">
      <c r="A350" s="12"/>
      <c r="B350" s="12"/>
      <c r="C350" s="12"/>
      <c r="D350" s="12"/>
      <c r="E350" s="12"/>
      <c r="F350" s="12"/>
      <c r="G350" s="12"/>
    </row>
    <row r="351" ht="15.75" customHeight="1">
      <c r="A351" s="12"/>
      <c r="B351" s="12"/>
      <c r="C351" s="12"/>
      <c r="D351" s="12"/>
      <c r="E351" s="12"/>
      <c r="F351" s="12"/>
      <c r="G351" s="12"/>
    </row>
    <row r="352" ht="15.75" customHeight="1">
      <c r="A352" s="12"/>
      <c r="B352" s="12"/>
      <c r="C352" s="12"/>
      <c r="D352" s="12"/>
      <c r="E352" s="12"/>
      <c r="F352" s="12"/>
      <c r="G352" s="12"/>
    </row>
    <row r="353" ht="15.75" customHeight="1">
      <c r="A353" s="12"/>
      <c r="B353" s="12"/>
      <c r="C353" s="12"/>
      <c r="D353" s="12"/>
      <c r="E353" s="12"/>
      <c r="F353" s="12"/>
      <c r="G353" s="12"/>
    </row>
    <row r="354" ht="15.75" customHeight="1">
      <c r="A354" s="12"/>
      <c r="B354" s="12"/>
      <c r="C354" s="12"/>
      <c r="D354" s="12"/>
      <c r="E354" s="12"/>
      <c r="F354" s="12"/>
      <c r="G354" s="12"/>
    </row>
    <row r="355" ht="15.75" customHeight="1">
      <c r="A355" s="12"/>
      <c r="B355" s="12"/>
      <c r="C355" s="12"/>
      <c r="D355" s="12"/>
      <c r="E355" s="12"/>
      <c r="F355" s="12"/>
      <c r="G355" s="12"/>
    </row>
    <row r="356" ht="15.75" customHeight="1">
      <c r="A356" s="12"/>
      <c r="B356" s="12"/>
      <c r="C356" s="12"/>
      <c r="D356" s="12"/>
      <c r="E356" s="12"/>
      <c r="F356" s="12"/>
      <c r="G356" s="12"/>
    </row>
    <row r="357" ht="15.75" customHeight="1">
      <c r="A357" s="12"/>
      <c r="B357" s="12"/>
      <c r="C357" s="12"/>
      <c r="D357" s="12"/>
      <c r="E357" s="12"/>
      <c r="F357" s="12"/>
      <c r="G357" s="12"/>
    </row>
    <row r="358" ht="15.75" customHeight="1">
      <c r="A358" s="12"/>
      <c r="B358" s="12"/>
      <c r="C358" s="12"/>
      <c r="D358" s="12"/>
      <c r="E358" s="12"/>
      <c r="F358" s="12"/>
      <c r="G358" s="12"/>
    </row>
    <row r="359" ht="15.75" customHeight="1">
      <c r="A359" s="12"/>
      <c r="B359" s="12"/>
      <c r="C359" s="12"/>
      <c r="D359" s="12"/>
      <c r="E359" s="12"/>
      <c r="F359" s="12"/>
      <c r="G359" s="12"/>
    </row>
    <row r="360" ht="15.75" customHeight="1">
      <c r="A360" s="12"/>
      <c r="B360" s="12"/>
      <c r="C360" s="12"/>
      <c r="D360" s="12"/>
      <c r="E360" s="12"/>
      <c r="F360" s="12"/>
      <c r="G360" s="12"/>
    </row>
    <row r="361" ht="15.75" customHeight="1">
      <c r="A361" s="12"/>
      <c r="B361" s="12"/>
      <c r="C361" s="12"/>
      <c r="D361" s="12"/>
      <c r="E361" s="12"/>
      <c r="F361" s="12"/>
      <c r="G361" s="12"/>
    </row>
    <row r="362" ht="15.75" customHeight="1">
      <c r="A362" s="12"/>
      <c r="B362" s="12"/>
      <c r="C362" s="12"/>
      <c r="D362" s="12"/>
      <c r="E362" s="12"/>
      <c r="F362" s="12"/>
      <c r="G362" s="12"/>
    </row>
    <row r="363" ht="15.75" customHeight="1">
      <c r="A363" s="12"/>
      <c r="B363" s="12"/>
      <c r="C363" s="12"/>
      <c r="D363" s="12"/>
      <c r="E363" s="12"/>
      <c r="F363" s="12"/>
      <c r="G363" s="12"/>
    </row>
    <row r="364" ht="15.75" customHeight="1">
      <c r="A364" s="12"/>
      <c r="B364" s="12"/>
      <c r="C364" s="12"/>
      <c r="D364" s="12"/>
      <c r="E364" s="12"/>
      <c r="F364" s="12"/>
      <c r="G364" s="12"/>
    </row>
    <row r="365" ht="15.75" customHeight="1">
      <c r="A365" s="12"/>
      <c r="B365" s="12"/>
      <c r="C365" s="12"/>
      <c r="D365" s="12"/>
      <c r="E365" s="12"/>
      <c r="F365" s="12"/>
      <c r="G365" s="12"/>
    </row>
    <row r="366" ht="15.75" customHeight="1">
      <c r="A366" s="12"/>
      <c r="B366" s="12"/>
      <c r="C366" s="12"/>
      <c r="D366" s="12"/>
      <c r="E366" s="12"/>
      <c r="F366" s="12"/>
      <c r="G366" s="12"/>
    </row>
    <row r="367" ht="15.75" customHeight="1">
      <c r="A367" s="12"/>
      <c r="B367" s="12"/>
      <c r="C367" s="12"/>
      <c r="D367" s="12"/>
      <c r="E367" s="12"/>
      <c r="F367" s="12"/>
      <c r="G367" s="12"/>
    </row>
    <row r="368" ht="15.75" customHeight="1">
      <c r="A368" s="12"/>
      <c r="B368" s="12"/>
      <c r="C368" s="12"/>
      <c r="D368" s="12"/>
      <c r="E368" s="12"/>
      <c r="F368" s="12"/>
      <c r="G368" s="12"/>
    </row>
    <row r="369" ht="15.75" customHeight="1">
      <c r="A369" s="12"/>
      <c r="B369" s="12"/>
      <c r="C369" s="12"/>
      <c r="D369" s="12"/>
      <c r="E369" s="12"/>
      <c r="F369" s="12"/>
      <c r="G369" s="12"/>
    </row>
    <row r="370" ht="15.75" customHeight="1">
      <c r="A370" s="12"/>
      <c r="B370" s="12"/>
      <c r="C370" s="12"/>
      <c r="D370" s="12"/>
      <c r="E370" s="12"/>
      <c r="F370" s="12"/>
      <c r="G370" s="12"/>
    </row>
    <row r="371" ht="15.75" customHeight="1">
      <c r="A371" s="12"/>
      <c r="B371" s="12"/>
      <c r="C371" s="12"/>
      <c r="D371" s="12"/>
      <c r="E371" s="12"/>
      <c r="F371" s="12"/>
      <c r="G371" s="12"/>
    </row>
    <row r="372" ht="15.75" customHeight="1">
      <c r="A372" s="12"/>
      <c r="B372" s="12"/>
      <c r="C372" s="12"/>
      <c r="D372" s="12"/>
      <c r="E372" s="12"/>
      <c r="F372" s="12"/>
      <c r="G372" s="12"/>
    </row>
    <row r="373" ht="15.75" customHeight="1">
      <c r="A373" s="12"/>
      <c r="B373" s="12"/>
      <c r="C373" s="12"/>
      <c r="D373" s="12"/>
      <c r="E373" s="12"/>
      <c r="F373" s="12"/>
      <c r="G373" s="12"/>
    </row>
    <row r="374" ht="15.75" customHeight="1">
      <c r="A374" s="12"/>
      <c r="B374" s="12"/>
      <c r="C374" s="12"/>
      <c r="D374" s="12"/>
      <c r="E374" s="12"/>
      <c r="F374" s="12"/>
      <c r="G374" s="12"/>
    </row>
    <row r="375" ht="15.75" customHeight="1">
      <c r="A375" s="12"/>
      <c r="B375" s="12"/>
      <c r="C375" s="12"/>
      <c r="D375" s="12"/>
      <c r="E375" s="12"/>
      <c r="F375" s="12"/>
      <c r="G375" s="12"/>
    </row>
    <row r="376" ht="15.75" customHeight="1">
      <c r="A376" s="12"/>
      <c r="B376" s="12"/>
      <c r="C376" s="12"/>
      <c r="D376" s="12"/>
      <c r="E376" s="12"/>
      <c r="F376" s="12"/>
      <c r="G376" s="12"/>
    </row>
    <row r="377" ht="15.75" customHeight="1">
      <c r="A377" s="12"/>
      <c r="B377" s="12"/>
      <c r="C377" s="12"/>
      <c r="D377" s="12"/>
      <c r="E377" s="12"/>
      <c r="F377" s="12"/>
      <c r="G377" s="12"/>
    </row>
    <row r="378" ht="15.75" customHeight="1">
      <c r="A378" s="12"/>
      <c r="B378" s="12"/>
      <c r="C378" s="12"/>
      <c r="D378" s="12"/>
      <c r="E378" s="12"/>
      <c r="F378" s="12"/>
      <c r="G378" s="12"/>
    </row>
    <row r="379" ht="15.75" customHeight="1">
      <c r="A379" s="12"/>
      <c r="B379" s="12"/>
      <c r="C379" s="12"/>
      <c r="D379" s="12"/>
      <c r="E379" s="12"/>
      <c r="F379" s="12"/>
      <c r="G379" s="12"/>
    </row>
    <row r="380" ht="15.75" customHeight="1">
      <c r="A380" s="12"/>
      <c r="B380" s="12"/>
      <c r="C380" s="12"/>
      <c r="D380" s="12"/>
      <c r="E380" s="12"/>
      <c r="F380" s="12"/>
      <c r="G380" s="12"/>
    </row>
    <row r="381" ht="15.75" customHeight="1">
      <c r="A381" s="12"/>
      <c r="B381" s="12"/>
      <c r="C381" s="12"/>
      <c r="D381" s="12"/>
      <c r="E381" s="12"/>
      <c r="F381" s="12"/>
      <c r="G381" s="12"/>
    </row>
    <row r="382" ht="15.75" customHeight="1">
      <c r="A382" s="12"/>
      <c r="B382" s="12"/>
      <c r="C382" s="12"/>
      <c r="D382" s="12"/>
      <c r="E382" s="12"/>
      <c r="F382" s="12"/>
      <c r="G382" s="12"/>
    </row>
    <row r="383" ht="15.75" customHeight="1">
      <c r="A383" s="12"/>
      <c r="B383" s="12"/>
      <c r="C383" s="12"/>
      <c r="D383" s="12"/>
      <c r="E383" s="12"/>
      <c r="F383" s="12"/>
      <c r="G383" s="12"/>
    </row>
    <row r="384" ht="15.75" customHeight="1">
      <c r="A384" s="12"/>
      <c r="B384" s="12"/>
      <c r="C384" s="12"/>
      <c r="D384" s="12"/>
      <c r="E384" s="12"/>
      <c r="F384" s="12"/>
      <c r="G384" s="12"/>
    </row>
    <row r="385" ht="15.75" customHeight="1">
      <c r="A385" s="12"/>
      <c r="B385" s="12"/>
      <c r="C385" s="12"/>
      <c r="D385" s="12"/>
      <c r="E385" s="12"/>
      <c r="F385" s="12"/>
      <c r="G385" s="12"/>
    </row>
    <row r="386" ht="15.75" customHeight="1">
      <c r="A386" s="12"/>
      <c r="B386" s="12"/>
      <c r="C386" s="12"/>
      <c r="D386" s="12"/>
      <c r="E386" s="12"/>
      <c r="F386" s="12"/>
      <c r="G386" s="12"/>
    </row>
    <row r="387" ht="15.75" customHeight="1">
      <c r="A387" s="12"/>
      <c r="B387" s="12"/>
      <c r="C387" s="12"/>
      <c r="D387" s="12"/>
      <c r="E387" s="12"/>
      <c r="F387" s="12"/>
      <c r="G387" s="12"/>
    </row>
    <row r="388" ht="15.75" customHeight="1">
      <c r="A388" s="12"/>
      <c r="B388" s="12"/>
      <c r="C388" s="12"/>
      <c r="D388" s="12"/>
      <c r="E388" s="12"/>
      <c r="F388" s="12"/>
      <c r="G388" s="12"/>
    </row>
    <row r="389" ht="15.75" customHeight="1">
      <c r="A389" s="12"/>
      <c r="B389" s="12"/>
      <c r="C389" s="12"/>
      <c r="D389" s="12"/>
      <c r="E389" s="12"/>
      <c r="F389" s="12"/>
      <c r="G389" s="12"/>
    </row>
    <row r="390" ht="15.75" customHeight="1">
      <c r="A390" s="12"/>
      <c r="B390" s="12"/>
      <c r="C390" s="12"/>
      <c r="D390" s="12"/>
      <c r="E390" s="12"/>
      <c r="F390" s="12"/>
      <c r="G390" s="12"/>
    </row>
    <row r="391" ht="15.75" customHeight="1">
      <c r="A391" s="12"/>
      <c r="B391" s="12"/>
      <c r="C391" s="12"/>
      <c r="D391" s="12"/>
      <c r="E391" s="12"/>
      <c r="F391" s="12"/>
      <c r="G391" s="12"/>
    </row>
    <row r="392" ht="15.75" customHeight="1">
      <c r="A392" s="12"/>
      <c r="B392" s="12"/>
      <c r="C392" s="12"/>
      <c r="D392" s="12"/>
      <c r="E392" s="12"/>
      <c r="F392" s="12"/>
      <c r="G392" s="12"/>
    </row>
    <row r="393" ht="15.75" customHeight="1">
      <c r="A393" s="12"/>
      <c r="B393" s="12"/>
      <c r="C393" s="12"/>
      <c r="D393" s="12"/>
      <c r="E393" s="12"/>
      <c r="F393" s="12"/>
      <c r="G393" s="12"/>
    </row>
    <row r="394" ht="15.75" customHeight="1">
      <c r="A394" s="12"/>
      <c r="B394" s="12"/>
      <c r="C394" s="12"/>
      <c r="D394" s="12"/>
      <c r="E394" s="12"/>
      <c r="F394" s="12"/>
      <c r="G394" s="12"/>
    </row>
    <row r="395" ht="15.75" customHeight="1">
      <c r="A395" s="12"/>
      <c r="B395" s="12"/>
      <c r="C395" s="12"/>
      <c r="D395" s="12"/>
      <c r="E395" s="12"/>
      <c r="F395" s="12"/>
      <c r="G395" s="12"/>
    </row>
    <row r="396" ht="15.75" customHeight="1">
      <c r="A396" s="12"/>
      <c r="B396" s="12"/>
      <c r="C396" s="12"/>
      <c r="D396" s="12"/>
      <c r="E396" s="12"/>
      <c r="F396" s="12"/>
      <c r="G396" s="12"/>
    </row>
    <row r="397" ht="15.75" customHeight="1">
      <c r="A397" s="12"/>
      <c r="B397" s="12"/>
      <c r="C397" s="12"/>
      <c r="D397" s="12"/>
      <c r="E397" s="12"/>
      <c r="F397" s="12"/>
      <c r="G397" s="12"/>
    </row>
    <row r="398" ht="15.75" customHeight="1">
      <c r="A398" s="12"/>
      <c r="B398" s="12"/>
      <c r="C398" s="12"/>
      <c r="D398" s="12"/>
      <c r="E398" s="12"/>
      <c r="F398" s="12"/>
      <c r="G398" s="12"/>
    </row>
    <row r="399" ht="15.75" customHeight="1">
      <c r="A399" s="12"/>
      <c r="B399" s="12"/>
      <c r="C399" s="12"/>
      <c r="D399" s="12"/>
      <c r="E399" s="12"/>
      <c r="F399" s="12"/>
      <c r="G399" s="12"/>
    </row>
    <row r="400" ht="15.75" customHeight="1">
      <c r="A400" s="12"/>
      <c r="B400" s="12"/>
      <c r="C400" s="12"/>
      <c r="D400" s="12"/>
      <c r="E400" s="12"/>
      <c r="F400" s="12"/>
      <c r="G400" s="12"/>
    </row>
    <row r="401" ht="15.75" customHeight="1">
      <c r="A401" s="12"/>
      <c r="B401" s="12"/>
      <c r="C401" s="12"/>
      <c r="D401" s="12"/>
      <c r="E401" s="12"/>
      <c r="F401" s="12"/>
      <c r="G401" s="12"/>
    </row>
    <row r="402" ht="15.75" customHeight="1">
      <c r="A402" s="12"/>
      <c r="B402" s="12"/>
      <c r="C402" s="12"/>
      <c r="D402" s="12"/>
      <c r="E402" s="12"/>
      <c r="F402" s="12"/>
      <c r="G402" s="12"/>
    </row>
    <row r="403" ht="15.75" customHeight="1">
      <c r="A403" s="12"/>
      <c r="B403" s="12"/>
      <c r="C403" s="12"/>
      <c r="D403" s="12"/>
      <c r="E403" s="12"/>
      <c r="F403" s="12"/>
      <c r="G403" s="12"/>
    </row>
    <row r="404" ht="15.75" customHeight="1">
      <c r="A404" s="12"/>
      <c r="B404" s="12"/>
      <c r="C404" s="12"/>
      <c r="D404" s="12"/>
      <c r="E404" s="12"/>
      <c r="F404" s="12"/>
      <c r="G404" s="12"/>
    </row>
    <row r="405" ht="15.75" customHeight="1">
      <c r="A405" s="12"/>
      <c r="B405" s="12"/>
      <c r="C405" s="12"/>
      <c r="D405" s="12"/>
      <c r="E405" s="12"/>
      <c r="F405" s="12"/>
      <c r="G405" s="12"/>
    </row>
    <row r="406" ht="15.75" customHeight="1">
      <c r="A406" s="12"/>
      <c r="B406" s="12"/>
      <c r="C406" s="12"/>
      <c r="D406" s="12"/>
      <c r="E406" s="12"/>
      <c r="F406" s="12"/>
      <c r="G406" s="12"/>
    </row>
    <row r="407" ht="15.75" customHeight="1">
      <c r="A407" s="12"/>
      <c r="B407" s="12"/>
      <c r="C407" s="12"/>
      <c r="D407" s="12"/>
      <c r="E407" s="12"/>
      <c r="F407" s="12"/>
      <c r="G407" s="12"/>
    </row>
    <row r="408" ht="15.75" customHeight="1">
      <c r="A408" s="12"/>
      <c r="B408" s="12"/>
      <c r="C408" s="12"/>
      <c r="D408" s="12"/>
      <c r="E408" s="12"/>
      <c r="F408" s="12"/>
      <c r="G408" s="12"/>
    </row>
    <row r="409" ht="15.75" customHeight="1">
      <c r="A409" s="12"/>
      <c r="B409" s="12"/>
      <c r="C409" s="12"/>
      <c r="D409" s="12"/>
      <c r="E409" s="12"/>
      <c r="F409" s="12"/>
      <c r="G409" s="12"/>
    </row>
    <row r="410" ht="15.75" customHeight="1">
      <c r="A410" s="12"/>
      <c r="B410" s="12"/>
      <c r="C410" s="12"/>
      <c r="D410" s="12"/>
      <c r="E410" s="12"/>
      <c r="F410" s="12"/>
      <c r="G410" s="12"/>
    </row>
    <row r="411" ht="15.75" customHeight="1">
      <c r="A411" s="12"/>
      <c r="B411" s="12"/>
      <c r="C411" s="12"/>
      <c r="D411" s="12"/>
      <c r="E411" s="12"/>
      <c r="F411" s="12"/>
      <c r="G411" s="12"/>
    </row>
    <row r="412" ht="15.75" customHeight="1">
      <c r="A412" s="12"/>
      <c r="B412" s="12"/>
      <c r="C412" s="12"/>
      <c r="D412" s="12"/>
      <c r="E412" s="12"/>
      <c r="F412" s="12"/>
      <c r="G412" s="12"/>
    </row>
    <row r="413" ht="15.75" customHeight="1">
      <c r="A413" s="12"/>
      <c r="B413" s="12"/>
      <c r="C413" s="12"/>
      <c r="D413" s="12"/>
      <c r="E413" s="12"/>
      <c r="F413" s="12"/>
      <c r="G413" s="12"/>
    </row>
    <row r="414" ht="15.75" customHeight="1">
      <c r="A414" s="12"/>
      <c r="B414" s="12"/>
      <c r="C414" s="12"/>
      <c r="D414" s="12"/>
      <c r="E414" s="12"/>
      <c r="F414" s="12"/>
      <c r="G414" s="12"/>
    </row>
    <row r="415" ht="15.75" customHeight="1">
      <c r="A415" s="12"/>
      <c r="B415" s="12"/>
      <c r="C415" s="12"/>
      <c r="D415" s="12"/>
      <c r="E415" s="12"/>
      <c r="F415" s="12"/>
      <c r="G415" s="12"/>
    </row>
    <row r="416" ht="15.75" customHeight="1">
      <c r="A416" s="12"/>
      <c r="B416" s="12"/>
      <c r="C416" s="12"/>
      <c r="D416" s="12"/>
      <c r="E416" s="12"/>
      <c r="F416" s="12"/>
      <c r="G416" s="12"/>
    </row>
    <row r="417" ht="15.75" customHeight="1">
      <c r="A417" s="12"/>
      <c r="B417" s="12"/>
      <c r="C417" s="12"/>
      <c r="D417" s="12"/>
      <c r="E417" s="12"/>
      <c r="F417" s="12"/>
      <c r="G417" s="12"/>
    </row>
    <row r="418" ht="15.75" customHeight="1">
      <c r="A418" s="12"/>
      <c r="B418" s="12"/>
      <c r="C418" s="12"/>
      <c r="D418" s="12"/>
      <c r="E418" s="12"/>
      <c r="F418" s="12"/>
      <c r="G418" s="12"/>
    </row>
    <row r="419" ht="15.75" customHeight="1">
      <c r="A419" s="12"/>
      <c r="B419" s="12"/>
      <c r="C419" s="12"/>
      <c r="D419" s="12"/>
      <c r="E419" s="12"/>
      <c r="F419" s="12"/>
      <c r="G419" s="12"/>
    </row>
    <row r="420" ht="15.75" customHeight="1">
      <c r="A420" s="12"/>
      <c r="B420" s="12"/>
      <c r="C420" s="12"/>
      <c r="D420" s="12"/>
      <c r="E420" s="12"/>
      <c r="F420" s="12"/>
      <c r="G420" s="12"/>
    </row>
    <row r="421" ht="15.75" customHeight="1">
      <c r="A421" s="12"/>
      <c r="B421" s="12"/>
      <c r="C421" s="12"/>
      <c r="D421" s="12"/>
      <c r="E421" s="12"/>
      <c r="F421" s="12"/>
      <c r="G421" s="12"/>
    </row>
    <row r="422" ht="15.75" customHeight="1">
      <c r="A422" s="12"/>
      <c r="B422" s="12"/>
      <c r="C422" s="12"/>
      <c r="D422" s="12"/>
      <c r="E422" s="12"/>
      <c r="F422" s="12"/>
      <c r="G422" s="12"/>
    </row>
    <row r="423" ht="15.75" customHeight="1">
      <c r="A423" s="12"/>
      <c r="B423" s="12"/>
      <c r="C423" s="12"/>
      <c r="D423" s="12"/>
      <c r="E423" s="12"/>
      <c r="F423" s="12"/>
      <c r="G423" s="12"/>
    </row>
    <row r="424" ht="15.75" customHeight="1">
      <c r="A424" s="12"/>
      <c r="B424" s="12"/>
      <c r="C424" s="12"/>
      <c r="D424" s="12"/>
      <c r="E424" s="12"/>
      <c r="F424" s="12"/>
      <c r="G424" s="12"/>
    </row>
    <row r="425" ht="15.75" customHeight="1">
      <c r="A425" s="12"/>
      <c r="B425" s="12"/>
      <c r="C425" s="12"/>
      <c r="D425" s="12"/>
      <c r="E425" s="12"/>
      <c r="F425" s="12"/>
      <c r="G425" s="12"/>
    </row>
    <row r="426" ht="15.75" customHeight="1">
      <c r="A426" s="12"/>
      <c r="B426" s="12"/>
      <c r="C426" s="12"/>
      <c r="D426" s="12"/>
      <c r="E426" s="12"/>
      <c r="F426" s="12"/>
      <c r="G426" s="12"/>
    </row>
    <row r="427" ht="15.75" customHeight="1">
      <c r="A427" s="12"/>
      <c r="B427" s="12"/>
      <c r="C427" s="12"/>
      <c r="D427" s="12"/>
      <c r="E427" s="12"/>
      <c r="F427" s="12"/>
      <c r="G427" s="12"/>
    </row>
    <row r="428" ht="15.75" customHeight="1">
      <c r="A428" s="12"/>
      <c r="B428" s="12"/>
      <c r="C428" s="12"/>
      <c r="D428" s="12"/>
      <c r="E428" s="12"/>
      <c r="F428" s="12"/>
      <c r="G428" s="12"/>
    </row>
    <row r="429" ht="15.75" customHeight="1">
      <c r="A429" s="12"/>
      <c r="B429" s="12"/>
      <c r="C429" s="12"/>
      <c r="D429" s="12"/>
      <c r="E429" s="12"/>
      <c r="F429" s="12"/>
      <c r="G429" s="12"/>
    </row>
    <row r="430" ht="15.75" customHeight="1">
      <c r="A430" s="12"/>
      <c r="B430" s="12"/>
      <c r="C430" s="12"/>
      <c r="D430" s="12"/>
      <c r="E430" s="12"/>
      <c r="F430" s="12"/>
      <c r="G430" s="12"/>
    </row>
    <row r="431" ht="15.75" customHeight="1">
      <c r="A431" s="12"/>
      <c r="B431" s="12"/>
      <c r="C431" s="12"/>
      <c r="D431" s="12"/>
      <c r="E431" s="12"/>
      <c r="F431" s="12"/>
      <c r="G431" s="12"/>
    </row>
    <row r="432" ht="15.75" customHeight="1">
      <c r="A432" s="12"/>
      <c r="B432" s="12"/>
      <c r="C432" s="12"/>
      <c r="D432" s="12"/>
      <c r="E432" s="12"/>
      <c r="F432" s="12"/>
      <c r="G432" s="12"/>
    </row>
    <row r="433" ht="15.75" customHeight="1">
      <c r="A433" s="12"/>
      <c r="B433" s="12"/>
      <c r="C433" s="12"/>
      <c r="D433" s="12"/>
      <c r="E433" s="12"/>
      <c r="F433" s="12"/>
      <c r="G433" s="12"/>
    </row>
    <row r="434" ht="15.75" customHeight="1">
      <c r="A434" s="12"/>
      <c r="B434" s="12"/>
      <c r="C434" s="12"/>
      <c r="D434" s="12"/>
      <c r="E434" s="12"/>
      <c r="F434" s="12"/>
      <c r="G434" s="12"/>
    </row>
    <row r="435" ht="15.75" customHeight="1">
      <c r="A435" s="12"/>
      <c r="B435" s="12"/>
      <c r="C435" s="12"/>
      <c r="D435" s="12"/>
      <c r="E435" s="12"/>
      <c r="F435" s="12"/>
      <c r="G435" s="12"/>
    </row>
    <row r="436" ht="15.75" customHeight="1">
      <c r="A436" s="12"/>
      <c r="B436" s="12"/>
      <c r="C436" s="12"/>
      <c r="D436" s="12"/>
      <c r="E436" s="12"/>
      <c r="F436" s="12"/>
      <c r="G436" s="12"/>
    </row>
    <row r="437" ht="15.75" customHeight="1">
      <c r="A437" s="12"/>
      <c r="B437" s="12"/>
      <c r="C437" s="12"/>
      <c r="D437" s="12"/>
      <c r="E437" s="12"/>
      <c r="F437" s="12"/>
      <c r="G437" s="12"/>
    </row>
    <row r="438" ht="15.75" customHeight="1">
      <c r="A438" s="12"/>
      <c r="B438" s="12"/>
      <c r="C438" s="12"/>
      <c r="D438" s="12"/>
      <c r="E438" s="12"/>
      <c r="F438" s="12"/>
      <c r="G438" s="12"/>
    </row>
    <row r="439" ht="15.75" customHeight="1">
      <c r="A439" s="12"/>
      <c r="B439" s="12"/>
      <c r="C439" s="12"/>
      <c r="D439" s="12"/>
      <c r="E439" s="12"/>
      <c r="F439" s="12"/>
      <c r="G439" s="12"/>
    </row>
    <row r="440" ht="15.75" customHeight="1">
      <c r="A440" s="12"/>
      <c r="B440" s="12"/>
      <c r="C440" s="12"/>
      <c r="D440" s="12"/>
      <c r="E440" s="12"/>
      <c r="F440" s="12"/>
      <c r="G440" s="12"/>
    </row>
    <row r="441" ht="15.75" customHeight="1">
      <c r="A441" s="12"/>
      <c r="B441" s="12"/>
      <c r="C441" s="12"/>
      <c r="D441" s="12"/>
      <c r="E441" s="12"/>
      <c r="F441" s="12"/>
      <c r="G441" s="12"/>
    </row>
    <row r="442" ht="15.75" customHeight="1">
      <c r="A442" s="12"/>
      <c r="B442" s="12"/>
      <c r="C442" s="12"/>
      <c r="D442" s="12"/>
      <c r="E442" s="12"/>
      <c r="F442" s="12"/>
      <c r="G442" s="12"/>
    </row>
    <row r="443" ht="15.75" customHeight="1">
      <c r="A443" s="12"/>
      <c r="B443" s="12"/>
      <c r="C443" s="12"/>
      <c r="D443" s="12"/>
      <c r="E443" s="12"/>
      <c r="F443" s="12"/>
      <c r="G443" s="12"/>
    </row>
    <row r="444" ht="15.75" customHeight="1">
      <c r="A444" s="12"/>
      <c r="B444" s="12"/>
      <c r="C444" s="12"/>
      <c r="D444" s="12"/>
      <c r="E444" s="12"/>
      <c r="F444" s="12"/>
      <c r="G444" s="12"/>
    </row>
    <row r="445" ht="15.75" customHeight="1">
      <c r="A445" s="12"/>
      <c r="B445" s="12"/>
      <c r="C445" s="12"/>
      <c r="D445" s="12"/>
      <c r="E445" s="12"/>
      <c r="F445" s="12"/>
      <c r="G445" s="12"/>
    </row>
    <row r="446" ht="15.75" customHeight="1">
      <c r="A446" s="12"/>
      <c r="B446" s="12"/>
      <c r="C446" s="12"/>
      <c r="D446" s="12"/>
      <c r="E446" s="12"/>
      <c r="F446" s="12"/>
      <c r="G446" s="12"/>
    </row>
    <row r="447" ht="15.75" customHeight="1">
      <c r="A447" s="12"/>
      <c r="B447" s="12"/>
      <c r="C447" s="12"/>
      <c r="D447" s="12"/>
      <c r="E447" s="12"/>
      <c r="F447" s="12"/>
      <c r="G447" s="12"/>
    </row>
    <row r="448" ht="15.75" customHeight="1">
      <c r="A448" s="12"/>
      <c r="B448" s="12"/>
      <c r="C448" s="12"/>
      <c r="D448" s="12"/>
      <c r="E448" s="12"/>
      <c r="F448" s="12"/>
      <c r="G448" s="12"/>
    </row>
    <row r="449" ht="15.75" customHeight="1">
      <c r="A449" s="12"/>
      <c r="B449" s="12"/>
      <c r="C449" s="12"/>
      <c r="D449" s="12"/>
      <c r="E449" s="12"/>
      <c r="F449" s="12"/>
      <c r="G449" s="12"/>
    </row>
    <row r="450" ht="15.75" customHeight="1">
      <c r="A450" s="12"/>
      <c r="B450" s="12"/>
      <c r="C450" s="12"/>
      <c r="D450" s="12"/>
      <c r="E450" s="12"/>
      <c r="F450" s="12"/>
      <c r="G450" s="12"/>
    </row>
    <row r="451" ht="15.75" customHeight="1">
      <c r="A451" s="12"/>
      <c r="B451" s="12"/>
      <c r="C451" s="12"/>
      <c r="D451" s="12"/>
      <c r="E451" s="12"/>
      <c r="F451" s="12"/>
      <c r="G451" s="12"/>
    </row>
    <row r="452" ht="15.75" customHeight="1">
      <c r="A452" s="12"/>
      <c r="B452" s="12"/>
      <c r="C452" s="12"/>
      <c r="D452" s="12"/>
      <c r="E452" s="12"/>
      <c r="F452" s="12"/>
      <c r="G452" s="12"/>
    </row>
    <row r="453" ht="15.75" customHeight="1">
      <c r="A453" s="12"/>
      <c r="B453" s="12"/>
      <c r="C453" s="12"/>
      <c r="D453" s="12"/>
      <c r="E453" s="12"/>
      <c r="F453" s="12"/>
      <c r="G453" s="12"/>
    </row>
    <row r="454" ht="15.75" customHeight="1">
      <c r="A454" s="12"/>
      <c r="B454" s="12"/>
      <c r="C454" s="12"/>
      <c r="D454" s="12"/>
      <c r="E454" s="12"/>
      <c r="F454" s="12"/>
      <c r="G454" s="12"/>
    </row>
    <row r="455" ht="15.75" customHeight="1">
      <c r="A455" s="12"/>
      <c r="B455" s="12"/>
      <c r="C455" s="12"/>
      <c r="D455" s="12"/>
      <c r="E455" s="12"/>
      <c r="F455" s="12"/>
      <c r="G455" s="12"/>
    </row>
    <row r="456" ht="15.75" customHeight="1">
      <c r="A456" s="12"/>
      <c r="B456" s="12"/>
      <c r="C456" s="12"/>
      <c r="D456" s="12"/>
      <c r="E456" s="12"/>
      <c r="F456" s="12"/>
      <c r="G456" s="12"/>
    </row>
    <row r="457" ht="15.75" customHeight="1">
      <c r="A457" s="12"/>
      <c r="B457" s="12"/>
      <c r="C457" s="12"/>
      <c r="D457" s="12"/>
      <c r="E457" s="12"/>
      <c r="F457" s="12"/>
      <c r="G457" s="12"/>
    </row>
    <row r="458" ht="15.75" customHeight="1">
      <c r="A458" s="12"/>
      <c r="B458" s="12"/>
      <c r="C458" s="12"/>
      <c r="D458" s="12"/>
      <c r="E458" s="12"/>
      <c r="F458" s="12"/>
      <c r="G458" s="12"/>
    </row>
    <row r="459" ht="15.75" customHeight="1">
      <c r="A459" s="12"/>
      <c r="B459" s="12"/>
      <c r="C459" s="12"/>
      <c r="D459" s="12"/>
      <c r="E459" s="12"/>
      <c r="F459" s="12"/>
      <c r="G459" s="12"/>
    </row>
    <row r="460" ht="15.75" customHeight="1">
      <c r="A460" s="12"/>
      <c r="B460" s="12"/>
      <c r="C460" s="12"/>
      <c r="D460" s="12"/>
      <c r="E460" s="12"/>
      <c r="F460" s="12"/>
      <c r="G460" s="12"/>
    </row>
    <row r="461" ht="15.75" customHeight="1">
      <c r="A461" s="12"/>
      <c r="B461" s="12"/>
      <c r="C461" s="12"/>
      <c r="D461" s="12"/>
      <c r="E461" s="12"/>
      <c r="F461" s="12"/>
      <c r="G461" s="12"/>
    </row>
    <row r="462" ht="15.75" customHeight="1">
      <c r="A462" s="12"/>
      <c r="B462" s="12"/>
      <c r="C462" s="12"/>
      <c r="D462" s="12"/>
      <c r="E462" s="12"/>
      <c r="F462" s="12"/>
      <c r="G462" s="12"/>
    </row>
    <row r="463" ht="15.75" customHeight="1">
      <c r="A463" s="12"/>
      <c r="B463" s="12"/>
      <c r="C463" s="12"/>
      <c r="D463" s="12"/>
      <c r="E463" s="12"/>
      <c r="F463" s="12"/>
      <c r="G463" s="12"/>
    </row>
    <row r="464" ht="15.75" customHeight="1">
      <c r="A464" s="12"/>
      <c r="B464" s="12"/>
      <c r="C464" s="12"/>
      <c r="D464" s="12"/>
      <c r="E464" s="12"/>
      <c r="F464" s="12"/>
      <c r="G464" s="12"/>
    </row>
    <row r="465" ht="15.75" customHeight="1">
      <c r="A465" s="12"/>
      <c r="B465" s="12"/>
      <c r="C465" s="12"/>
      <c r="D465" s="12"/>
      <c r="E465" s="12"/>
      <c r="F465" s="12"/>
      <c r="G465" s="12"/>
    </row>
    <row r="466" ht="15.75" customHeight="1">
      <c r="A466" s="12"/>
      <c r="B466" s="12"/>
      <c r="C466" s="12"/>
      <c r="D466" s="12"/>
      <c r="E466" s="12"/>
      <c r="F466" s="12"/>
      <c r="G466" s="12"/>
    </row>
    <row r="467" ht="15.75" customHeight="1">
      <c r="A467" s="12"/>
      <c r="B467" s="12"/>
      <c r="C467" s="12"/>
      <c r="D467" s="12"/>
      <c r="E467" s="12"/>
      <c r="F467" s="12"/>
      <c r="G467" s="12"/>
    </row>
    <row r="468" ht="15.75" customHeight="1">
      <c r="A468" s="12"/>
      <c r="B468" s="12"/>
      <c r="C468" s="12"/>
      <c r="D468" s="12"/>
      <c r="E468" s="12"/>
      <c r="F468" s="12"/>
      <c r="G468" s="12"/>
    </row>
    <row r="469" ht="15.75" customHeight="1">
      <c r="A469" s="12"/>
      <c r="B469" s="12"/>
      <c r="C469" s="12"/>
      <c r="D469" s="12"/>
      <c r="E469" s="12"/>
      <c r="F469" s="12"/>
      <c r="G469" s="12"/>
    </row>
    <row r="470" ht="15.75" customHeight="1">
      <c r="A470" s="12"/>
      <c r="B470" s="12"/>
      <c r="C470" s="12"/>
      <c r="D470" s="12"/>
      <c r="E470" s="12"/>
      <c r="F470" s="12"/>
      <c r="G470" s="12"/>
    </row>
    <row r="471" ht="15.75" customHeight="1">
      <c r="A471" s="12"/>
      <c r="B471" s="12"/>
      <c r="C471" s="12"/>
      <c r="D471" s="12"/>
      <c r="E471" s="12"/>
      <c r="F471" s="12"/>
      <c r="G471" s="12"/>
    </row>
    <row r="472" ht="15.75" customHeight="1">
      <c r="A472" s="12"/>
      <c r="B472" s="12"/>
      <c r="C472" s="12"/>
      <c r="D472" s="12"/>
      <c r="E472" s="12"/>
      <c r="F472" s="12"/>
      <c r="G472" s="12"/>
    </row>
    <row r="473" ht="15.75" customHeight="1">
      <c r="A473" s="12"/>
      <c r="B473" s="12"/>
      <c r="C473" s="12"/>
      <c r="D473" s="12"/>
      <c r="E473" s="12"/>
      <c r="F473" s="12"/>
      <c r="G473" s="12"/>
    </row>
    <row r="474" ht="15.75" customHeight="1">
      <c r="A474" s="12"/>
      <c r="B474" s="12"/>
      <c r="C474" s="12"/>
      <c r="D474" s="12"/>
      <c r="E474" s="12"/>
      <c r="F474" s="12"/>
      <c r="G474" s="12"/>
    </row>
    <row r="475" ht="15.75" customHeight="1">
      <c r="A475" s="12"/>
      <c r="B475" s="12"/>
      <c r="C475" s="12"/>
      <c r="D475" s="12"/>
      <c r="E475" s="12"/>
      <c r="F475" s="12"/>
      <c r="G475" s="12"/>
    </row>
    <row r="476" ht="15.75" customHeight="1">
      <c r="A476" s="12"/>
      <c r="B476" s="12"/>
      <c r="C476" s="12"/>
      <c r="D476" s="12"/>
      <c r="E476" s="12"/>
      <c r="F476" s="12"/>
      <c r="G476" s="12"/>
    </row>
    <row r="477" ht="15.75" customHeight="1">
      <c r="A477" s="12"/>
      <c r="B477" s="12"/>
      <c r="C477" s="12"/>
      <c r="D477" s="12"/>
      <c r="E477" s="12"/>
      <c r="F477" s="12"/>
      <c r="G477" s="12"/>
    </row>
    <row r="478" ht="15.75" customHeight="1">
      <c r="A478" s="12"/>
      <c r="B478" s="12"/>
      <c r="C478" s="12"/>
      <c r="D478" s="12"/>
      <c r="E478" s="12"/>
      <c r="F478" s="12"/>
      <c r="G478" s="12"/>
    </row>
    <row r="479" ht="15.75" customHeight="1">
      <c r="A479" s="12"/>
      <c r="B479" s="12"/>
      <c r="C479" s="12"/>
      <c r="D479" s="12"/>
      <c r="E479" s="12"/>
      <c r="F479" s="12"/>
      <c r="G479" s="12"/>
    </row>
    <row r="480" ht="15.75" customHeight="1">
      <c r="A480" s="12"/>
      <c r="B480" s="12"/>
      <c r="C480" s="12"/>
      <c r="D480" s="12"/>
      <c r="E480" s="12"/>
      <c r="F480" s="12"/>
      <c r="G480" s="12"/>
    </row>
    <row r="481" ht="15.75" customHeight="1">
      <c r="A481" s="12"/>
      <c r="B481" s="12"/>
      <c r="C481" s="12"/>
      <c r="D481" s="12"/>
      <c r="E481" s="12"/>
      <c r="F481" s="12"/>
      <c r="G481" s="12"/>
    </row>
    <row r="482" ht="15.75" customHeight="1">
      <c r="A482" s="12"/>
      <c r="B482" s="12"/>
      <c r="C482" s="12"/>
      <c r="D482" s="12"/>
      <c r="E482" s="12"/>
      <c r="F482" s="12"/>
      <c r="G482" s="12"/>
    </row>
    <row r="483" ht="15.75" customHeight="1">
      <c r="A483" s="12"/>
      <c r="B483" s="12"/>
      <c r="C483" s="12"/>
      <c r="D483" s="12"/>
      <c r="E483" s="12"/>
      <c r="F483" s="12"/>
      <c r="G483" s="12"/>
    </row>
    <row r="484" ht="15.75" customHeight="1">
      <c r="A484" s="12"/>
      <c r="B484" s="12"/>
      <c r="C484" s="12"/>
      <c r="D484" s="12"/>
      <c r="E484" s="12"/>
      <c r="F484" s="12"/>
      <c r="G484" s="12"/>
    </row>
    <row r="485" ht="15.75" customHeight="1">
      <c r="A485" s="12"/>
      <c r="B485" s="12"/>
      <c r="C485" s="12"/>
      <c r="D485" s="12"/>
      <c r="E485" s="12"/>
      <c r="F485" s="12"/>
      <c r="G485" s="12"/>
    </row>
    <row r="486" ht="15.75" customHeight="1">
      <c r="A486" s="12"/>
      <c r="B486" s="12"/>
      <c r="C486" s="12"/>
      <c r="D486" s="12"/>
      <c r="E486" s="12"/>
      <c r="F486" s="12"/>
      <c r="G486" s="12"/>
    </row>
    <row r="487" ht="15.75" customHeight="1">
      <c r="A487" s="12"/>
      <c r="B487" s="12"/>
      <c r="C487" s="12"/>
      <c r="D487" s="12"/>
      <c r="E487" s="12"/>
      <c r="F487" s="12"/>
      <c r="G487" s="12"/>
    </row>
    <row r="488" ht="15.75" customHeight="1">
      <c r="A488" s="12"/>
      <c r="B488" s="12"/>
      <c r="C488" s="12"/>
      <c r="D488" s="12"/>
      <c r="E488" s="12"/>
      <c r="F488" s="12"/>
      <c r="G488" s="12"/>
    </row>
    <row r="489" ht="15.75" customHeight="1">
      <c r="A489" s="12"/>
      <c r="B489" s="12"/>
      <c r="C489" s="12"/>
      <c r="D489" s="12"/>
      <c r="E489" s="12"/>
      <c r="F489" s="12"/>
      <c r="G489" s="12"/>
    </row>
    <row r="490" ht="15.75" customHeight="1">
      <c r="A490" s="12"/>
      <c r="B490" s="12"/>
      <c r="C490" s="12"/>
      <c r="D490" s="12"/>
      <c r="E490" s="12"/>
      <c r="F490" s="12"/>
      <c r="G490" s="12"/>
    </row>
    <row r="491" ht="15.75" customHeight="1">
      <c r="A491" s="12"/>
      <c r="B491" s="12"/>
      <c r="C491" s="12"/>
      <c r="D491" s="12"/>
      <c r="E491" s="12"/>
      <c r="F491" s="12"/>
      <c r="G491" s="12"/>
    </row>
    <row r="492" ht="15.75" customHeight="1">
      <c r="A492" s="12"/>
      <c r="B492" s="12"/>
      <c r="C492" s="12"/>
      <c r="D492" s="12"/>
      <c r="E492" s="12"/>
      <c r="F492" s="12"/>
      <c r="G492" s="12"/>
    </row>
    <row r="493" ht="15.75" customHeight="1">
      <c r="A493" s="12"/>
      <c r="B493" s="12"/>
      <c r="C493" s="12"/>
      <c r="D493" s="12"/>
      <c r="E493" s="12"/>
      <c r="F493" s="12"/>
      <c r="G493" s="12"/>
    </row>
    <row r="494" ht="15.75" customHeight="1">
      <c r="A494" s="12"/>
      <c r="B494" s="12"/>
      <c r="C494" s="12"/>
      <c r="D494" s="12"/>
      <c r="E494" s="12"/>
      <c r="F494" s="12"/>
      <c r="G494" s="12"/>
    </row>
    <row r="495" ht="15.75" customHeight="1">
      <c r="A495" s="12"/>
      <c r="B495" s="12"/>
      <c r="C495" s="12"/>
      <c r="D495" s="12"/>
      <c r="E495" s="12"/>
      <c r="F495" s="12"/>
      <c r="G495" s="12"/>
    </row>
    <row r="496" ht="15.75" customHeight="1">
      <c r="A496" s="12"/>
      <c r="B496" s="12"/>
      <c r="C496" s="12"/>
      <c r="D496" s="12"/>
      <c r="E496" s="12"/>
      <c r="F496" s="12"/>
      <c r="G496" s="12"/>
    </row>
    <row r="497" ht="15.75" customHeight="1">
      <c r="A497" s="12"/>
      <c r="B497" s="12"/>
      <c r="C497" s="12"/>
      <c r="D497" s="12"/>
      <c r="E497" s="12"/>
      <c r="F497" s="12"/>
      <c r="G497" s="12"/>
    </row>
    <row r="498" ht="15.75" customHeight="1">
      <c r="A498" s="12"/>
      <c r="B498" s="12"/>
      <c r="C498" s="12"/>
      <c r="D498" s="12"/>
      <c r="E498" s="12"/>
      <c r="F498" s="12"/>
      <c r="G498" s="12"/>
    </row>
    <row r="499" ht="15.75" customHeight="1">
      <c r="A499" s="12"/>
      <c r="B499" s="12"/>
      <c r="C499" s="12"/>
      <c r="D499" s="12"/>
      <c r="E499" s="12"/>
      <c r="F499" s="12"/>
      <c r="G499" s="12"/>
    </row>
    <row r="500" ht="15.75" customHeight="1">
      <c r="A500" s="12"/>
      <c r="B500" s="12"/>
      <c r="C500" s="12"/>
      <c r="D500" s="12"/>
      <c r="E500" s="12"/>
      <c r="F500" s="12"/>
      <c r="G500" s="12"/>
    </row>
    <row r="501" ht="15.75" customHeight="1">
      <c r="A501" s="12"/>
      <c r="B501" s="12"/>
      <c r="C501" s="12"/>
      <c r="D501" s="12"/>
      <c r="E501" s="12"/>
      <c r="F501" s="12"/>
      <c r="G501" s="12"/>
    </row>
    <row r="502" ht="15.75" customHeight="1">
      <c r="A502" s="12"/>
      <c r="B502" s="12"/>
      <c r="C502" s="12"/>
      <c r="D502" s="12"/>
      <c r="E502" s="12"/>
      <c r="F502" s="12"/>
      <c r="G502" s="12"/>
    </row>
    <row r="503" ht="15.75" customHeight="1">
      <c r="A503" s="12"/>
      <c r="B503" s="12"/>
      <c r="C503" s="12"/>
      <c r="D503" s="12"/>
      <c r="E503" s="12"/>
      <c r="F503" s="12"/>
      <c r="G503" s="12"/>
    </row>
    <row r="504" ht="15.75" customHeight="1">
      <c r="A504" s="12"/>
      <c r="B504" s="12"/>
      <c r="C504" s="12"/>
      <c r="D504" s="12"/>
      <c r="E504" s="12"/>
      <c r="F504" s="12"/>
      <c r="G504" s="12"/>
    </row>
    <row r="505" ht="15.75" customHeight="1">
      <c r="A505" s="12"/>
      <c r="B505" s="12"/>
      <c r="C505" s="12"/>
      <c r="D505" s="12"/>
      <c r="E505" s="12"/>
      <c r="F505" s="12"/>
      <c r="G505" s="12"/>
    </row>
    <row r="506" ht="15.75" customHeight="1">
      <c r="A506" s="12"/>
      <c r="B506" s="12"/>
      <c r="C506" s="12"/>
      <c r="D506" s="12"/>
      <c r="E506" s="12"/>
      <c r="F506" s="12"/>
      <c r="G506" s="12"/>
    </row>
    <row r="507" ht="15.75" customHeight="1">
      <c r="A507" s="12"/>
      <c r="B507" s="12"/>
      <c r="C507" s="12"/>
      <c r="D507" s="12"/>
      <c r="E507" s="12"/>
      <c r="F507" s="12"/>
      <c r="G507" s="12"/>
    </row>
    <row r="508" ht="15.75" customHeight="1">
      <c r="A508" s="12"/>
      <c r="B508" s="12"/>
      <c r="C508" s="12"/>
      <c r="D508" s="12"/>
      <c r="E508" s="12"/>
      <c r="F508" s="12"/>
      <c r="G508" s="12"/>
    </row>
    <row r="509" ht="15.75" customHeight="1">
      <c r="A509" s="12"/>
      <c r="B509" s="12"/>
      <c r="C509" s="12"/>
      <c r="D509" s="12"/>
      <c r="E509" s="12"/>
      <c r="F509" s="12"/>
      <c r="G509" s="12"/>
    </row>
    <row r="510" ht="15.75" customHeight="1">
      <c r="A510" s="12"/>
      <c r="B510" s="12"/>
      <c r="C510" s="12"/>
      <c r="D510" s="12"/>
      <c r="E510" s="12"/>
      <c r="F510" s="12"/>
      <c r="G510" s="12"/>
    </row>
    <row r="511" ht="15.75" customHeight="1">
      <c r="A511" s="12"/>
      <c r="B511" s="12"/>
      <c r="C511" s="12"/>
      <c r="D511" s="12"/>
      <c r="E511" s="12"/>
      <c r="F511" s="12"/>
      <c r="G511" s="12"/>
    </row>
    <row r="512" ht="15.75" customHeight="1">
      <c r="A512" s="12"/>
      <c r="B512" s="12"/>
      <c r="C512" s="12"/>
      <c r="D512" s="12"/>
      <c r="E512" s="12"/>
      <c r="F512" s="12"/>
      <c r="G512" s="12"/>
    </row>
    <row r="513" ht="15.75" customHeight="1">
      <c r="A513" s="12"/>
      <c r="B513" s="12"/>
      <c r="C513" s="12"/>
      <c r="D513" s="12"/>
      <c r="E513" s="12"/>
      <c r="F513" s="12"/>
      <c r="G513" s="12"/>
    </row>
    <row r="514" ht="15.75" customHeight="1">
      <c r="A514" s="12"/>
      <c r="B514" s="12"/>
      <c r="C514" s="12"/>
      <c r="D514" s="12"/>
      <c r="E514" s="12"/>
      <c r="F514" s="12"/>
      <c r="G514" s="12"/>
    </row>
    <row r="515" ht="15.75" customHeight="1">
      <c r="A515" s="12"/>
      <c r="B515" s="12"/>
      <c r="C515" s="12"/>
      <c r="D515" s="12"/>
      <c r="E515" s="12"/>
      <c r="F515" s="12"/>
      <c r="G515" s="12"/>
    </row>
    <row r="516" ht="15.75" customHeight="1">
      <c r="A516" s="12"/>
      <c r="B516" s="12"/>
      <c r="C516" s="12"/>
      <c r="D516" s="12"/>
      <c r="E516" s="12"/>
      <c r="F516" s="12"/>
      <c r="G516" s="12"/>
    </row>
    <row r="517" ht="15.75" customHeight="1">
      <c r="A517" s="12"/>
      <c r="B517" s="12"/>
      <c r="C517" s="12"/>
      <c r="D517" s="12"/>
      <c r="E517" s="12"/>
      <c r="F517" s="12"/>
      <c r="G517" s="12"/>
    </row>
    <row r="518" ht="15.75" customHeight="1">
      <c r="A518" s="12"/>
      <c r="B518" s="12"/>
      <c r="C518" s="12"/>
      <c r="D518" s="12"/>
      <c r="E518" s="12"/>
      <c r="F518" s="12"/>
      <c r="G518" s="12"/>
    </row>
    <row r="519" ht="15.75" customHeight="1">
      <c r="A519" s="12"/>
      <c r="B519" s="12"/>
      <c r="C519" s="12"/>
      <c r="D519" s="12"/>
      <c r="E519" s="12"/>
      <c r="F519" s="12"/>
      <c r="G519" s="12"/>
    </row>
    <row r="520" ht="15.75" customHeight="1">
      <c r="A520" s="12"/>
      <c r="B520" s="12"/>
      <c r="C520" s="12"/>
      <c r="D520" s="12"/>
      <c r="E520" s="12"/>
      <c r="F520" s="12"/>
      <c r="G520" s="12"/>
    </row>
    <row r="521" ht="15.75" customHeight="1">
      <c r="A521" s="12"/>
      <c r="B521" s="12"/>
      <c r="C521" s="12"/>
      <c r="D521" s="12"/>
      <c r="E521" s="12"/>
      <c r="F521" s="12"/>
      <c r="G521" s="12"/>
    </row>
    <row r="522" ht="15.75" customHeight="1">
      <c r="A522" s="12"/>
      <c r="B522" s="12"/>
      <c r="C522" s="12"/>
      <c r="D522" s="12"/>
      <c r="E522" s="12"/>
      <c r="F522" s="12"/>
      <c r="G522" s="12"/>
    </row>
    <row r="523" ht="15.75" customHeight="1">
      <c r="A523" s="12"/>
      <c r="B523" s="12"/>
      <c r="C523" s="12"/>
      <c r="D523" s="12"/>
      <c r="E523" s="12"/>
      <c r="F523" s="12"/>
      <c r="G523" s="12"/>
    </row>
    <row r="524" ht="15.75" customHeight="1">
      <c r="A524" s="12"/>
      <c r="B524" s="12"/>
      <c r="C524" s="12"/>
      <c r="D524" s="12"/>
      <c r="E524" s="12"/>
      <c r="F524" s="12"/>
      <c r="G524" s="12"/>
    </row>
    <row r="525" ht="15.75" customHeight="1">
      <c r="A525" s="12"/>
      <c r="B525" s="12"/>
      <c r="C525" s="12"/>
      <c r="D525" s="12"/>
      <c r="E525" s="12"/>
      <c r="F525" s="12"/>
      <c r="G525" s="12"/>
    </row>
    <row r="526" ht="15.75" customHeight="1">
      <c r="A526" s="12"/>
      <c r="B526" s="12"/>
      <c r="C526" s="12"/>
      <c r="D526" s="12"/>
      <c r="E526" s="12"/>
      <c r="F526" s="12"/>
      <c r="G526" s="12"/>
    </row>
    <row r="527" ht="15.75" customHeight="1">
      <c r="A527" s="12"/>
      <c r="B527" s="12"/>
      <c r="C527" s="12"/>
      <c r="D527" s="12"/>
      <c r="E527" s="12"/>
      <c r="F527" s="12"/>
      <c r="G527" s="12"/>
    </row>
    <row r="528" ht="15.75" customHeight="1">
      <c r="A528" s="12"/>
      <c r="B528" s="12"/>
      <c r="C528" s="12"/>
      <c r="D528" s="12"/>
      <c r="E528" s="12"/>
      <c r="F528" s="12"/>
      <c r="G528" s="12"/>
    </row>
    <row r="529" ht="15.75" customHeight="1">
      <c r="A529" s="12"/>
      <c r="B529" s="12"/>
      <c r="C529" s="12"/>
      <c r="D529" s="12"/>
      <c r="E529" s="12"/>
      <c r="F529" s="12"/>
      <c r="G529" s="12"/>
    </row>
    <row r="530" ht="15.75" customHeight="1">
      <c r="A530" s="12"/>
      <c r="B530" s="12"/>
      <c r="C530" s="12"/>
      <c r="D530" s="12"/>
      <c r="E530" s="12"/>
      <c r="F530" s="12"/>
      <c r="G530" s="12"/>
    </row>
    <row r="531" ht="15.75" customHeight="1">
      <c r="A531" s="12"/>
      <c r="B531" s="12"/>
      <c r="C531" s="12"/>
      <c r="D531" s="12"/>
      <c r="E531" s="12"/>
      <c r="F531" s="12"/>
      <c r="G531" s="12"/>
    </row>
    <row r="532" ht="15.75" customHeight="1">
      <c r="A532" s="12"/>
      <c r="B532" s="12"/>
      <c r="C532" s="12"/>
      <c r="D532" s="12"/>
      <c r="E532" s="12"/>
      <c r="F532" s="12"/>
      <c r="G532" s="12"/>
    </row>
    <row r="533" ht="15.75" customHeight="1">
      <c r="A533" s="12"/>
      <c r="B533" s="12"/>
      <c r="C533" s="12"/>
      <c r="D533" s="12"/>
      <c r="E533" s="12"/>
      <c r="F533" s="12"/>
      <c r="G533" s="12"/>
    </row>
    <row r="534" ht="15.75" customHeight="1">
      <c r="A534" s="12"/>
      <c r="B534" s="12"/>
      <c r="C534" s="12"/>
      <c r="D534" s="12"/>
      <c r="E534" s="12"/>
      <c r="F534" s="12"/>
      <c r="G534" s="12"/>
    </row>
    <row r="535" ht="15.75" customHeight="1">
      <c r="A535" s="12"/>
      <c r="B535" s="12"/>
      <c r="C535" s="12"/>
      <c r="D535" s="12"/>
      <c r="E535" s="12"/>
      <c r="F535" s="12"/>
      <c r="G535" s="12"/>
    </row>
    <row r="536" ht="15.75" customHeight="1">
      <c r="A536" s="12"/>
      <c r="B536" s="12"/>
      <c r="C536" s="12"/>
      <c r="D536" s="12"/>
      <c r="E536" s="12"/>
      <c r="F536" s="12"/>
      <c r="G536" s="12"/>
    </row>
    <row r="537" ht="15.75" customHeight="1">
      <c r="A537" s="12"/>
      <c r="B537" s="12"/>
      <c r="C537" s="12"/>
      <c r="D537" s="12"/>
      <c r="E537" s="12"/>
      <c r="F537" s="12"/>
      <c r="G537" s="12"/>
    </row>
    <row r="538" ht="15.75" customHeight="1">
      <c r="A538" s="12"/>
      <c r="B538" s="12"/>
      <c r="C538" s="12"/>
      <c r="D538" s="12"/>
      <c r="E538" s="12"/>
      <c r="F538" s="12"/>
      <c r="G538" s="12"/>
    </row>
    <row r="539" ht="15.75" customHeight="1">
      <c r="A539" s="12"/>
      <c r="B539" s="12"/>
      <c r="C539" s="12"/>
      <c r="D539" s="12"/>
      <c r="E539" s="12"/>
      <c r="F539" s="12"/>
      <c r="G539" s="12"/>
    </row>
    <row r="540" ht="15.75" customHeight="1">
      <c r="A540" s="12"/>
      <c r="B540" s="12"/>
      <c r="C540" s="12"/>
      <c r="D540" s="12"/>
      <c r="E540" s="12"/>
      <c r="F540" s="12"/>
      <c r="G540" s="12"/>
    </row>
    <row r="541" ht="15.75" customHeight="1">
      <c r="A541" s="12"/>
      <c r="B541" s="12"/>
      <c r="C541" s="12"/>
      <c r="D541" s="12"/>
      <c r="E541" s="12"/>
      <c r="F541" s="12"/>
      <c r="G541" s="12"/>
    </row>
    <row r="542" ht="15.75" customHeight="1">
      <c r="A542" s="12"/>
      <c r="B542" s="12"/>
      <c r="C542" s="12"/>
      <c r="D542" s="12"/>
      <c r="E542" s="12"/>
      <c r="F542" s="12"/>
      <c r="G542" s="12"/>
    </row>
    <row r="543" ht="15.75" customHeight="1">
      <c r="A543" s="12"/>
      <c r="B543" s="12"/>
      <c r="C543" s="12"/>
      <c r="D543" s="12"/>
      <c r="E543" s="12"/>
      <c r="F543" s="12"/>
      <c r="G543" s="12"/>
    </row>
    <row r="544" ht="15.75" customHeight="1">
      <c r="A544" s="12"/>
      <c r="B544" s="12"/>
      <c r="C544" s="12"/>
      <c r="D544" s="12"/>
      <c r="E544" s="12"/>
      <c r="F544" s="12"/>
      <c r="G544" s="12"/>
    </row>
    <row r="545" ht="15.75" customHeight="1">
      <c r="A545" s="12"/>
      <c r="B545" s="12"/>
      <c r="C545" s="12"/>
      <c r="D545" s="12"/>
      <c r="E545" s="12"/>
      <c r="F545" s="12"/>
      <c r="G545" s="12"/>
    </row>
    <row r="546" ht="15.75" customHeight="1">
      <c r="A546" s="12"/>
      <c r="B546" s="12"/>
      <c r="C546" s="12"/>
      <c r="D546" s="12"/>
      <c r="E546" s="12"/>
      <c r="F546" s="12"/>
      <c r="G546" s="12"/>
    </row>
    <row r="547" ht="15.75" customHeight="1">
      <c r="A547" s="12"/>
      <c r="B547" s="12"/>
      <c r="C547" s="12"/>
      <c r="D547" s="12"/>
      <c r="E547" s="12"/>
      <c r="F547" s="12"/>
      <c r="G547" s="12"/>
    </row>
    <row r="548" ht="15.75" customHeight="1">
      <c r="A548" s="12"/>
      <c r="B548" s="12"/>
      <c r="C548" s="12"/>
      <c r="D548" s="12"/>
      <c r="E548" s="12"/>
      <c r="F548" s="12"/>
      <c r="G548" s="12"/>
    </row>
    <row r="549" ht="15.75" customHeight="1">
      <c r="A549" s="12"/>
      <c r="B549" s="12"/>
      <c r="C549" s="12"/>
      <c r="D549" s="12"/>
      <c r="E549" s="12"/>
      <c r="F549" s="12"/>
      <c r="G549" s="12"/>
    </row>
    <row r="550" ht="15.75" customHeight="1">
      <c r="A550" s="12"/>
      <c r="B550" s="12"/>
      <c r="C550" s="12"/>
      <c r="D550" s="12"/>
      <c r="E550" s="12"/>
      <c r="F550" s="12"/>
      <c r="G550" s="12"/>
    </row>
    <row r="551" ht="15.75" customHeight="1">
      <c r="A551" s="12"/>
      <c r="B551" s="12"/>
      <c r="C551" s="12"/>
      <c r="D551" s="12"/>
      <c r="E551" s="12"/>
      <c r="F551" s="12"/>
      <c r="G551" s="12"/>
    </row>
    <row r="552" ht="15.75" customHeight="1">
      <c r="A552" s="12"/>
      <c r="B552" s="12"/>
      <c r="C552" s="12"/>
      <c r="D552" s="12"/>
      <c r="E552" s="12"/>
      <c r="F552" s="12"/>
      <c r="G552" s="12"/>
    </row>
    <row r="553" ht="15.75" customHeight="1">
      <c r="A553" s="12"/>
      <c r="B553" s="12"/>
      <c r="C553" s="12"/>
      <c r="D553" s="12"/>
      <c r="E553" s="12"/>
      <c r="F553" s="12"/>
      <c r="G553" s="12"/>
    </row>
    <row r="554" ht="15.75" customHeight="1">
      <c r="A554" s="12"/>
      <c r="B554" s="12"/>
      <c r="C554" s="12"/>
      <c r="D554" s="12"/>
      <c r="E554" s="12"/>
      <c r="F554" s="12"/>
      <c r="G554" s="12"/>
    </row>
    <row r="555" ht="15.75" customHeight="1">
      <c r="A555" s="12"/>
      <c r="B555" s="12"/>
      <c r="C555" s="12"/>
      <c r="D555" s="12"/>
      <c r="E555" s="12"/>
      <c r="F555" s="12"/>
      <c r="G555" s="12"/>
    </row>
    <row r="556" ht="15.75" customHeight="1">
      <c r="A556" s="12"/>
      <c r="B556" s="12"/>
      <c r="C556" s="12"/>
      <c r="D556" s="12"/>
      <c r="E556" s="12"/>
      <c r="F556" s="12"/>
      <c r="G556" s="12"/>
    </row>
    <row r="557" ht="15.75" customHeight="1">
      <c r="A557" s="12"/>
      <c r="B557" s="12"/>
      <c r="C557" s="12"/>
      <c r="D557" s="12"/>
      <c r="E557" s="12"/>
      <c r="F557" s="12"/>
      <c r="G557" s="12"/>
    </row>
    <row r="558" ht="15.75" customHeight="1">
      <c r="A558" s="12"/>
      <c r="B558" s="12"/>
      <c r="C558" s="12"/>
      <c r="D558" s="12"/>
      <c r="E558" s="12"/>
      <c r="F558" s="12"/>
      <c r="G558" s="12"/>
    </row>
    <row r="559" ht="15.75" customHeight="1">
      <c r="A559" s="12"/>
      <c r="B559" s="12"/>
      <c r="C559" s="12"/>
      <c r="D559" s="12"/>
      <c r="E559" s="12"/>
      <c r="F559" s="12"/>
      <c r="G559" s="12"/>
    </row>
    <row r="560" ht="15.75" customHeight="1">
      <c r="A560" s="12"/>
      <c r="B560" s="12"/>
      <c r="C560" s="12"/>
      <c r="D560" s="12"/>
      <c r="E560" s="12"/>
      <c r="F560" s="12"/>
      <c r="G560" s="12"/>
    </row>
    <row r="561" ht="15.75" customHeight="1">
      <c r="A561" s="12"/>
      <c r="B561" s="12"/>
      <c r="C561" s="12"/>
      <c r="D561" s="12"/>
      <c r="E561" s="12"/>
      <c r="F561" s="12"/>
      <c r="G561" s="12"/>
    </row>
    <row r="562" ht="15.75" customHeight="1">
      <c r="A562" s="12"/>
      <c r="B562" s="12"/>
      <c r="C562" s="12"/>
      <c r="D562" s="12"/>
      <c r="E562" s="12"/>
      <c r="F562" s="12"/>
      <c r="G562" s="12"/>
    </row>
    <row r="563" ht="15.75" customHeight="1">
      <c r="A563" s="12"/>
      <c r="B563" s="12"/>
      <c r="C563" s="12"/>
      <c r="D563" s="12"/>
      <c r="E563" s="12"/>
      <c r="F563" s="12"/>
      <c r="G563" s="12"/>
    </row>
    <row r="564" ht="15.75" customHeight="1">
      <c r="A564" s="12"/>
      <c r="B564" s="12"/>
      <c r="C564" s="12"/>
      <c r="D564" s="12"/>
      <c r="E564" s="12"/>
      <c r="F564" s="12"/>
      <c r="G564" s="12"/>
    </row>
    <row r="565" ht="15.75" customHeight="1">
      <c r="A565" s="12"/>
      <c r="B565" s="12"/>
      <c r="C565" s="12"/>
      <c r="D565" s="12"/>
      <c r="E565" s="12"/>
      <c r="F565" s="12"/>
      <c r="G565" s="12"/>
    </row>
    <row r="566" ht="15.75" customHeight="1">
      <c r="A566" s="12"/>
      <c r="B566" s="12"/>
      <c r="C566" s="12"/>
      <c r="D566" s="12"/>
      <c r="E566" s="12"/>
      <c r="F566" s="12"/>
      <c r="G566" s="12"/>
    </row>
    <row r="567" ht="15.75" customHeight="1">
      <c r="A567" s="12"/>
      <c r="B567" s="12"/>
      <c r="C567" s="12"/>
      <c r="D567" s="12"/>
      <c r="E567" s="12"/>
      <c r="F567" s="12"/>
      <c r="G567" s="12"/>
    </row>
    <row r="568" ht="15.75" customHeight="1">
      <c r="A568" s="12"/>
      <c r="B568" s="12"/>
      <c r="C568" s="12"/>
      <c r="D568" s="12"/>
      <c r="E568" s="12"/>
      <c r="F568" s="12"/>
      <c r="G568" s="12"/>
    </row>
    <row r="569" ht="15.75" customHeight="1">
      <c r="A569" s="12"/>
      <c r="B569" s="12"/>
      <c r="C569" s="12"/>
      <c r="D569" s="12"/>
      <c r="E569" s="12"/>
      <c r="F569" s="12"/>
      <c r="G569" s="12"/>
    </row>
    <row r="570" ht="15.75" customHeight="1">
      <c r="A570" s="12"/>
      <c r="B570" s="12"/>
      <c r="C570" s="12"/>
      <c r="D570" s="12"/>
      <c r="E570" s="12"/>
      <c r="F570" s="12"/>
      <c r="G570" s="12"/>
    </row>
    <row r="571" ht="15.75" customHeight="1">
      <c r="A571" s="12"/>
      <c r="B571" s="12"/>
      <c r="C571" s="12"/>
      <c r="D571" s="12"/>
      <c r="E571" s="12"/>
      <c r="F571" s="12"/>
      <c r="G571" s="12"/>
    </row>
    <row r="572" ht="15.75" customHeight="1">
      <c r="A572" s="12"/>
      <c r="B572" s="12"/>
      <c r="C572" s="12"/>
      <c r="D572" s="12"/>
      <c r="E572" s="12"/>
      <c r="F572" s="12"/>
      <c r="G572" s="12"/>
    </row>
    <row r="573" ht="15.75" customHeight="1">
      <c r="A573" s="12"/>
      <c r="B573" s="12"/>
      <c r="C573" s="12"/>
      <c r="D573" s="12"/>
      <c r="E573" s="12"/>
      <c r="F573" s="12"/>
      <c r="G573" s="12"/>
    </row>
    <row r="574" ht="15.75" customHeight="1">
      <c r="A574" s="12"/>
      <c r="B574" s="12"/>
      <c r="C574" s="12"/>
      <c r="D574" s="12"/>
      <c r="E574" s="12"/>
      <c r="F574" s="12"/>
      <c r="G574" s="12"/>
    </row>
    <row r="575" ht="15.75" customHeight="1">
      <c r="A575" s="12"/>
      <c r="B575" s="12"/>
      <c r="C575" s="12"/>
      <c r="D575" s="12"/>
      <c r="E575" s="12"/>
      <c r="F575" s="12"/>
      <c r="G575" s="12"/>
    </row>
    <row r="576" ht="15.75" customHeight="1">
      <c r="A576" s="12"/>
      <c r="B576" s="12"/>
      <c r="C576" s="12"/>
      <c r="D576" s="12"/>
      <c r="E576" s="12"/>
      <c r="F576" s="12"/>
      <c r="G576" s="12"/>
    </row>
    <row r="577" ht="15.75" customHeight="1">
      <c r="A577" s="12"/>
      <c r="B577" s="12"/>
      <c r="C577" s="12"/>
      <c r="D577" s="12"/>
      <c r="E577" s="12"/>
      <c r="F577" s="12"/>
      <c r="G577" s="12"/>
    </row>
    <row r="578" ht="15.75" customHeight="1">
      <c r="A578" s="12"/>
      <c r="B578" s="12"/>
      <c r="C578" s="12"/>
      <c r="D578" s="12"/>
      <c r="E578" s="12"/>
      <c r="F578" s="12"/>
      <c r="G578" s="12"/>
    </row>
    <row r="579" ht="15.75" customHeight="1">
      <c r="A579" s="12"/>
      <c r="B579" s="12"/>
      <c r="C579" s="12"/>
      <c r="D579" s="12"/>
      <c r="E579" s="12"/>
      <c r="F579" s="12"/>
      <c r="G579" s="12"/>
    </row>
    <row r="580" ht="15.75" customHeight="1">
      <c r="A580" s="12"/>
      <c r="B580" s="12"/>
      <c r="C580" s="12"/>
      <c r="D580" s="12"/>
      <c r="E580" s="12"/>
      <c r="F580" s="12"/>
      <c r="G580" s="12"/>
    </row>
    <row r="581" ht="15.75" customHeight="1">
      <c r="A581" s="12"/>
      <c r="B581" s="12"/>
      <c r="C581" s="12"/>
      <c r="D581" s="12"/>
      <c r="E581" s="12"/>
      <c r="F581" s="12"/>
      <c r="G581" s="12"/>
    </row>
    <row r="582" ht="15.75" customHeight="1">
      <c r="A582" s="12"/>
      <c r="B582" s="12"/>
      <c r="C582" s="12"/>
      <c r="D582" s="12"/>
      <c r="E582" s="12"/>
      <c r="F582" s="12"/>
      <c r="G582" s="12"/>
    </row>
    <row r="583" ht="15.75" customHeight="1">
      <c r="A583" s="12"/>
      <c r="B583" s="12"/>
      <c r="C583" s="12"/>
      <c r="D583" s="12"/>
      <c r="E583" s="12"/>
      <c r="F583" s="12"/>
      <c r="G583" s="12"/>
    </row>
    <row r="584" ht="15.75" customHeight="1">
      <c r="A584" s="12"/>
      <c r="B584" s="12"/>
      <c r="C584" s="12"/>
      <c r="D584" s="12"/>
      <c r="E584" s="12"/>
      <c r="F584" s="12"/>
      <c r="G584" s="12"/>
    </row>
    <row r="585" ht="15.75" customHeight="1">
      <c r="A585" s="12"/>
      <c r="B585" s="12"/>
      <c r="C585" s="12"/>
      <c r="D585" s="12"/>
      <c r="E585" s="12"/>
      <c r="F585" s="12"/>
      <c r="G585" s="12"/>
    </row>
    <row r="586" ht="15.75" customHeight="1">
      <c r="A586" s="12"/>
      <c r="B586" s="12"/>
      <c r="C586" s="12"/>
      <c r="D586" s="12"/>
      <c r="E586" s="12"/>
      <c r="F586" s="12"/>
      <c r="G586" s="12"/>
    </row>
    <row r="587" ht="15.75" customHeight="1">
      <c r="A587" s="12"/>
      <c r="B587" s="12"/>
      <c r="C587" s="12"/>
      <c r="D587" s="12"/>
      <c r="E587" s="12"/>
      <c r="F587" s="12"/>
      <c r="G587" s="12"/>
    </row>
    <row r="588" ht="15.75" customHeight="1">
      <c r="A588" s="12"/>
      <c r="B588" s="12"/>
      <c r="C588" s="12"/>
      <c r="D588" s="12"/>
      <c r="E588" s="12"/>
      <c r="F588" s="12"/>
      <c r="G588" s="12"/>
    </row>
    <row r="589" ht="15.75" customHeight="1">
      <c r="A589" s="12"/>
      <c r="B589" s="12"/>
      <c r="C589" s="12"/>
      <c r="D589" s="12"/>
      <c r="E589" s="12"/>
      <c r="F589" s="12"/>
      <c r="G589" s="12"/>
    </row>
    <row r="590" ht="15.75" customHeight="1">
      <c r="A590" s="12"/>
      <c r="B590" s="12"/>
      <c r="C590" s="12"/>
      <c r="D590" s="12"/>
      <c r="E590" s="12"/>
      <c r="F590" s="12"/>
      <c r="G590" s="12"/>
    </row>
    <row r="591" ht="15.75" customHeight="1">
      <c r="A591" s="12"/>
      <c r="B591" s="12"/>
      <c r="C591" s="12"/>
      <c r="D591" s="12"/>
      <c r="E591" s="12"/>
      <c r="F591" s="12"/>
      <c r="G591" s="12"/>
    </row>
    <row r="592" ht="15.75" customHeight="1">
      <c r="A592" s="12"/>
      <c r="B592" s="12"/>
      <c r="C592" s="12"/>
      <c r="D592" s="12"/>
      <c r="E592" s="12"/>
      <c r="F592" s="12"/>
      <c r="G592" s="12"/>
    </row>
    <row r="593" ht="15.75" customHeight="1">
      <c r="A593" s="12"/>
      <c r="B593" s="12"/>
      <c r="C593" s="12"/>
      <c r="D593" s="12"/>
      <c r="E593" s="12"/>
      <c r="F593" s="12"/>
      <c r="G593" s="12"/>
    </row>
    <row r="594" ht="15.75" customHeight="1">
      <c r="A594" s="12"/>
      <c r="B594" s="12"/>
      <c r="C594" s="12"/>
      <c r="D594" s="12"/>
      <c r="E594" s="12"/>
      <c r="F594" s="12"/>
      <c r="G594" s="12"/>
    </row>
    <row r="595" ht="15.75" customHeight="1">
      <c r="A595" s="12"/>
      <c r="B595" s="12"/>
      <c r="C595" s="12"/>
      <c r="D595" s="12"/>
      <c r="E595" s="12"/>
      <c r="F595" s="12"/>
      <c r="G595" s="12"/>
    </row>
    <row r="596" ht="15.75" customHeight="1">
      <c r="A596" s="12"/>
      <c r="B596" s="12"/>
      <c r="C596" s="12"/>
      <c r="D596" s="12"/>
      <c r="E596" s="12"/>
      <c r="F596" s="12"/>
      <c r="G596" s="12"/>
    </row>
    <row r="597" ht="15.75" customHeight="1">
      <c r="A597" s="12"/>
      <c r="B597" s="12"/>
      <c r="C597" s="12"/>
      <c r="D597" s="12"/>
      <c r="E597" s="12"/>
      <c r="F597" s="12"/>
      <c r="G597" s="12"/>
    </row>
    <row r="598" ht="15.75" customHeight="1">
      <c r="A598" s="12"/>
      <c r="B598" s="12"/>
      <c r="C598" s="12"/>
      <c r="D598" s="12"/>
      <c r="E598" s="12"/>
      <c r="F598" s="12"/>
      <c r="G598" s="12"/>
    </row>
    <row r="599" ht="15.75" customHeight="1">
      <c r="A599" s="12"/>
      <c r="B599" s="12"/>
      <c r="C599" s="12"/>
      <c r="D599" s="12"/>
      <c r="E599" s="12"/>
      <c r="F599" s="12"/>
      <c r="G599" s="12"/>
    </row>
    <row r="600" ht="15.75" customHeight="1">
      <c r="A600" s="12"/>
      <c r="B600" s="12"/>
      <c r="C600" s="12"/>
      <c r="D600" s="12"/>
      <c r="E600" s="12"/>
      <c r="F600" s="12"/>
      <c r="G600" s="12"/>
    </row>
    <row r="601" ht="15.75" customHeight="1">
      <c r="A601" s="12"/>
      <c r="B601" s="12"/>
      <c r="C601" s="12"/>
      <c r="D601" s="12"/>
      <c r="E601" s="12"/>
      <c r="F601" s="12"/>
      <c r="G601" s="12"/>
    </row>
    <row r="602" ht="15.75" customHeight="1">
      <c r="A602" s="12"/>
      <c r="B602" s="12"/>
      <c r="C602" s="12"/>
      <c r="D602" s="12"/>
      <c r="E602" s="12"/>
      <c r="F602" s="12"/>
      <c r="G602" s="12"/>
    </row>
    <row r="603" ht="15.75" customHeight="1">
      <c r="A603" s="12"/>
      <c r="B603" s="12"/>
      <c r="C603" s="12"/>
      <c r="D603" s="12"/>
      <c r="E603" s="12"/>
      <c r="F603" s="12"/>
      <c r="G603" s="12"/>
    </row>
    <row r="604" ht="15.75" customHeight="1">
      <c r="A604" s="12"/>
      <c r="B604" s="12"/>
      <c r="C604" s="12"/>
      <c r="D604" s="12"/>
      <c r="E604" s="12"/>
      <c r="F604" s="12"/>
      <c r="G604" s="12"/>
    </row>
    <row r="605" ht="15.75" customHeight="1">
      <c r="A605" s="12"/>
      <c r="B605" s="12"/>
      <c r="C605" s="12"/>
      <c r="D605" s="12"/>
      <c r="E605" s="12"/>
      <c r="F605" s="12"/>
      <c r="G605" s="12"/>
    </row>
    <row r="606" ht="15.75" customHeight="1">
      <c r="A606" s="12"/>
      <c r="B606" s="12"/>
      <c r="C606" s="12"/>
      <c r="D606" s="12"/>
      <c r="E606" s="12"/>
      <c r="F606" s="12"/>
      <c r="G606" s="12"/>
    </row>
    <row r="607" ht="15.75" customHeight="1">
      <c r="A607" s="12"/>
      <c r="B607" s="12"/>
      <c r="C607" s="12"/>
      <c r="D607" s="12"/>
      <c r="E607" s="12"/>
      <c r="F607" s="12"/>
      <c r="G607" s="12"/>
    </row>
    <row r="608" ht="15.75" customHeight="1">
      <c r="A608" s="12"/>
      <c r="B608" s="12"/>
      <c r="C608" s="12"/>
      <c r="D608" s="12"/>
      <c r="E608" s="12"/>
      <c r="F608" s="12"/>
      <c r="G608" s="12"/>
    </row>
    <row r="609" ht="15.75" customHeight="1">
      <c r="A609" s="12"/>
      <c r="B609" s="12"/>
      <c r="C609" s="12"/>
      <c r="D609" s="12"/>
      <c r="E609" s="12"/>
      <c r="F609" s="12"/>
      <c r="G609" s="12"/>
    </row>
    <row r="610" ht="15.75" customHeight="1">
      <c r="A610" s="12"/>
      <c r="B610" s="12"/>
      <c r="C610" s="12"/>
      <c r="D610" s="12"/>
      <c r="E610" s="12"/>
      <c r="F610" s="12"/>
      <c r="G610" s="12"/>
    </row>
    <row r="611" ht="15.75" customHeight="1">
      <c r="A611" s="12"/>
      <c r="B611" s="12"/>
      <c r="C611" s="12"/>
      <c r="D611" s="12"/>
      <c r="E611" s="12"/>
      <c r="F611" s="12"/>
      <c r="G611" s="12"/>
    </row>
    <row r="612" ht="15.75" customHeight="1">
      <c r="A612" s="12"/>
      <c r="B612" s="12"/>
      <c r="C612" s="12"/>
      <c r="D612" s="12"/>
      <c r="E612" s="12"/>
      <c r="F612" s="12"/>
      <c r="G612" s="12"/>
    </row>
    <row r="613" ht="15.75" customHeight="1">
      <c r="A613" s="12"/>
      <c r="B613" s="12"/>
      <c r="C613" s="12"/>
      <c r="D613" s="12"/>
      <c r="E613" s="12"/>
      <c r="F613" s="12"/>
      <c r="G613" s="12"/>
    </row>
    <row r="614" ht="15.75" customHeight="1">
      <c r="A614" s="12"/>
      <c r="B614" s="12"/>
      <c r="C614" s="12"/>
      <c r="D614" s="12"/>
      <c r="E614" s="12"/>
      <c r="F614" s="12"/>
      <c r="G614" s="12"/>
    </row>
    <row r="615" ht="15.75" customHeight="1">
      <c r="A615" s="12"/>
      <c r="B615" s="12"/>
      <c r="C615" s="12"/>
      <c r="D615" s="12"/>
      <c r="E615" s="12"/>
      <c r="F615" s="12"/>
      <c r="G615" s="12"/>
    </row>
    <row r="616" ht="15.75" customHeight="1">
      <c r="A616" s="12"/>
      <c r="B616" s="12"/>
      <c r="C616" s="12"/>
      <c r="D616" s="12"/>
      <c r="E616" s="12"/>
      <c r="F616" s="12"/>
      <c r="G616" s="12"/>
    </row>
    <row r="617" ht="15.75" customHeight="1">
      <c r="A617" s="12"/>
      <c r="B617" s="12"/>
      <c r="C617" s="12"/>
      <c r="D617" s="12"/>
      <c r="E617" s="12"/>
      <c r="F617" s="12"/>
      <c r="G617" s="12"/>
    </row>
    <row r="618" ht="15.75" customHeight="1">
      <c r="A618" s="12"/>
      <c r="B618" s="12"/>
      <c r="C618" s="12"/>
      <c r="D618" s="12"/>
      <c r="E618" s="12"/>
      <c r="F618" s="12"/>
      <c r="G618" s="12"/>
    </row>
    <row r="619" ht="15.75" customHeight="1">
      <c r="A619" s="12"/>
      <c r="B619" s="12"/>
      <c r="C619" s="12"/>
      <c r="D619" s="12"/>
      <c r="E619" s="12"/>
      <c r="F619" s="12"/>
      <c r="G619" s="12"/>
    </row>
    <row r="620" ht="15.75" customHeight="1">
      <c r="A620" s="12"/>
      <c r="B620" s="12"/>
      <c r="C620" s="12"/>
      <c r="D620" s="12"/>
      <c r="E620" s="12"/>
      <c r="F620" s="12"/>
      <c r="G620" s="12"/>
    </row>
    <row r="621" ht="15.75" customHeight="1">
      <c r="A621" s="12"/>
      <c r="B621" s="12"/>
      <c r="C621" s="12"/>
      <c r="D621" s="12"/>
      <c r="E621" s="12"/>
      <c r="F621" s="12"/>
      <c r="G621" s="12"/>
    </row>
    <row r="622" ht="15.75" customHeight="1">
      <c r="A622" s="12"/>
      <c r="B622" s="12"/>
      <c r="C622" s="12"/>
      <c r="D622" s="12"/>
      <c r="E622" s="12"/>
      <c r="F622" s="12"/>
      <c r="G622" s="12"/>
    </row>
    <row r="623" ht="15.75" customHeight="1">
      <c r="A623" s="12"/>
      <c r="B623" s="12"/>
      <c r="C623" s="12"/>
      <c r="D623" s="12"/>
      <c r="E623" s="12"/>
      <c r="F623" s="12"/>
      <c r="G623" s="12"/>
    </row>
    <row r="624" ht="15.75" customHeight="1">
      <c r="A624" s="12"/>
      <c r="B624" s="12"/>
      <c r="C624" s="12"/>
      <c r="D624" s="12"/>
      <c r="E624" s="12"/>
      <c r="F624" s="12"/>
      <c r="G624" s="12"/>
    </row>
    <row r="625" ht="15.75" customHeight="1">
      <c r="A625" s="12"/>
      <c r="B625" s="12"/>
      <c r="C625" s="12"/>
      <c r="D625" s="12"/>
      <c r="E625" s="12"/>
      <c r="F625" s="12"/>
      <c r="G625" s="12"/>
    </row>
    <row r="626" ht="15.75" customHeight="1">
      <c r="A626" s="12"/>
      <c r="B626" s="12"/>
      <c r="C626" s="12"/>
      <c r="D626" s="12"/>
      <c r="E626" s="12"/>
      <c r="F626" s="12"/>
      <c r="G626" s="12"/>
    </row>
    <row r="627" ht="15.75" customHeight="1">
      <c r="A627" s="12"/>
      <c r="B627" s="12"/>
      <c r="C627" s="12"/>
      <c r="D627" s="12"/>
      <c r="E627" s="12"/>
      <c r="F627" s="12"/>
      <c r="G627" s="12"/>
    </row>
    <row r="628" ht="15.75" customHeight="1">
      <c r="A628" s="12"/>
      <c r="B628" s="12"/>
      <c r="C628" s="12"/>
      <c r="D628" s="12"/>
      <c r="E628" s="12"/>
      <c r="F628" s="12"/>
      <c r="G628" s="12"/>
    </row>
    <row r="629" ht="15.75" customHeight="1">
      <c r="A629" s="12"/>
      <c r="B629" s="12"/>
      <c r="C629" s="12"/>
      <c r="D629" s="12"/>
      <c r="E629" s="12"/>
      <c r="F629" s="12"/>
      <c r="G629" s="12"/>
    </row>
    <row r="630" ht="15.75" customHeight="1">
      <c r="A630" s="12"/>
      <c r="B630" s="12"/>
      <c r="C630" s="12"/>
      <c r="D630" s="12"/>
      <c r="E630" s="12"/>
      <c r="F630" s="12"/>
      <c r="G630" s="12"/>
    </row>
    <row r="631" ht="15.75" customHeight="1">
      <c r="A631" s="12"/>
      <c r="B631" s="12"/>
      <c r="C631" s="12"/>
      <c r="D631" s="12"/>
      <c r="E631" s="12"/>
      <c r="F631" s="12"/>
      <c r="G631" s="12"/>
    </row>
    <row r="632" ht="15.75" customHeight="1">
      <c r="A632" s="12"/>
      <c r="B632" s="12"/>
      <c r="C632" s="12"/>
      <c r="D632" s="12"/>
      <c r="E632" s="12"/>
      <c r="F632" s="12"/>
      <c r="G632" s="12"/>
    </row>
    <row r="633" ht="15.75" customHeight="1">
      <c r="A633" s="12"/>
      <c r="B633" s="12"/>
      <c r="C633" s="12"/>
      <c r="D633" s="12"/>
      <c r="E633" s="12"/>
      <c r="F633" s="12"/>
      <c r="G633" s="12"/>
    </row>
    <row r="634" ht="15.75" customHeight="1">
      <c r="A634" s="12"/>
      <c r="B634" s="12"/>
      <c r="C634" s="12"/>
      <c r="D634" s="12"/>
      <c r="E634" s="12"/>
      <c r="F634" s="12"/>
      <c r="G634" s="12"/>
    </row>
    <row r="635" ht="15.75" customHeight="1">
      <c r="A635" s="12"/>
      <c r="B635" s="12"/>
      <c r="C635" s="12"/>
      <c r="D635" s="12"/>
      <c r="E635" s="12"/>
      <c r="F635" s="12"/>
      <c r="G635" s="12"/>
    </row>
    <row r="636" ht="15.75" customHeight="1">
      <c r="A636" s="12"/>
      <c r="B636" s="12"/>
      <c r="C636" s="12"/>
      <c r="D636" s="12"/>
      <c r="E636" s="12"/>
      <c r="F636" s="12"/>
      <c r="G636" s="12"/>
    </row>
    <row r="637" ht="15.75" customHeight="1">
      <c r="A637" s="12"/>
      <c r="B637" s="12"/>
      <c r="C637" s="12"/>
      <c r="D637" s="12"/>
      <c r="E637" s="12"/>
      <c r="F637" s="12"/>
      <c r="G637" s="12"/>
    </row>
    <row r="638" ht="15.75" customHeight="1">
      <c r="A638" s="12"/>
      <c r="B638" s="12"/>
      <c r="C638" s="12"/>
      <c r="D638" s="12"/>
      <c r="E638" s="12"/>
      <c r="F638" s="12"/>
      <c r="G638" s="12"/>
    </row>
    <row r="639" ht="15.75" customHeight="1">
      <c r="A639" s="12"/>
      <c r="B639" s="12"/>
      <c r="C639" s="12"/>
      <c r="D639" s="12"/>
      <c r="E639" s="12"/>
      <c r="F639" s="12"/>
      <c r="G639" s="12"/>
    </row>
    <row r="640" ht="15.75" customHeight="1">
      <c r="A640" s="12"/>
      <c r="B640" s="12"/>
      <c r="C640" s="12"/>
      <c r="D640" s="12"/>
      <c r="E640" s="12"/>
      <c r="F640" s="12"/>
      <c r="G640" s="12"/>
    </row>
    <row r="641" ht="15.75" customHeight="1">
      <c r="A641" s="12"/>
      <c r="B641" s="12"/>
      <c r="C641" s="12"/>
      <c r="D641" s="12"/>
      <c r="E641" s="12"/>
      <c r="F641" s="12"/>
      <c r="G641" s="12"/>
    </row>
    <row r="642" ht="15.75" customHeight="1">
      <c r="A642" s="12"/>
      <c r="B642" s="12"/>
      <c r="C642" s="12"/>
      <c r="D642" s="12"/>
      <c r="E642" s="12"/>
      <c r="F642" s="12"/>
      <c r="G642" s="12"/>
    </row>
    <row r="643" ht="15.75" customHeight="1">
      <c r="A643" s="12"/>
      <c r="B643" s="12"/>
      <c r="C643" s="12"/>
      <c r="D643" s="12"/>
      <c r="E643" s="12"/>
      <c r="F643" s="12"/>
      <c r="G643" s="12"/>
    </row>
    <row r="644" ht="15.75" customHeight="1">
      <c r="A644" s="12"/>
      <c r="B644" s="12"/>
      <c r="C644" s="12"/>
      <c r="D644" s="12"/>
      <c r="E644" s="12"/>
      <c r="F644" s="12"/>
      <c r="G644" s="12"/>
    </row>
    <row r="645" ht="15.75" customHeight="1">
      <c r="A645" s="12"/>
      <c r="B645" s="12"/>
      <c r="C645" s="12"/>
      <c r="D645" s="12"/>
      <c r="E645" s="12"/>
      <c r="F645" s="12"/>
      <c r="G645" s="12"/>
    </row>
    <row r="646" ht="15.75" customHeight="1">
      <c r="A646" s="12"/>
      <c r="B646" s="12"/>
      <c r="C646" s="12"/>
      <c r="D646" s="12"/>
      <c r="E646" s="12"/>
      <c r="F646" s="12"/>
      <c r="G646" s="12"/>
    </row>
    <row r="647" ht="15.75" customHeight="1">
      <c r="A647" s="12"/>
      <c r="B647" s="12"/>
      <c r="C647" s="12"/>
      <c r="D647" s="12"/>
      <c r="E647" s="12"/>
      <c r="F647" s="12"/>
      <c r="G647" s="12"/>
    </row>
    <row r="648" ht="15.75" customHeight="1">
      <c r="A648" s="12"/>
      <c r="B648" s="12"/>
      <c r="C648" s="12"/>
      <c r="D648" s="12"/>
      <c r="E648" s="12"/>
      <c r="F648" s="12"/>
      <c r="G648" s="12"/>
    </row>
    <row r="649" ht="15.75" customHeight="1">
      <c r="A649" s="12"/>
      <c r="B649" s="12"/>
      <c r="C649" s="12"/>
      <c r="D649" s="12"/>
      <c r="E649" s="12"/>
      <c r="F649" s="12"/>
      <c r="G649" s="12"/>
    </row>
    <row r="650" ht="15.75" customHeight="1">
      <c r="A650" s="12"/>
      <c r="B650" s="12"/>
      <c r="C650" s="12"/>
      <c r="D650" s="12"/>
      <c r="E650" s="12"/>
      <c r="F650" s="12"/>
      <c r="G650" s="12"/>
    </row>
    <row r="651" ht="15.75" customHeight="1">
      <c r="A651" s="12"/>
      <c r="B651" s="12"/>
      <c r="C651" s="12"/>
      <c r="D651" s="12"/>
      <c r="E651" s="12"/>
      <c r="F651" s="12"/>
      <c r="G651" s="12"/>
    </row>
    <row r="652" ht="15.75" customHeight="1">
      <c r="A652" s="12"/>
      <c r="B652" s="12"/>
      <c r="C652" s="12"/>
      <c r="D652" s="12"/>
      <c r="E652" s="12"/>
      <c r="F652" s="12"/>
      <c r="G652" s="12"/>
    </row>
    <row r="653" ht="15.75" customHeight="1">
      <c r="A653" s="12"/>
      <c r="B653" s="12"/>
      <c r="C653" s="12"/>
      <c r="D653" s="12"/>
      <c r="E653" s="12"/>
      <c r="F653" s="12"/>
      <c r="G653" s="12"/>
    </row>
    <row r="654" ht="15.75" customHeight="1">
      <c r="A654" s="12"/>
      <c r="B654" s="12"/>
      <c r="C654" s="12"/>
      <c r="D654" s="12"/>
      <c r="E654" s="12"/>
      <c r="F654" s="12"/>
      <c r="G654" s="12"/>
    </row>
    <row r="655" ht="15.75" customHeight="1">
      <c r="A655" s="12"/>
      <c r="B655" s="12"/>
      <c r="C655" s="12"/>
      <c r="D655" s="12"/>
      <c r="E655" s="12"/>
      <c r="F655" s="12"/>
      <c r="G655" s="12"/>
    </row>
    <row r="656" ht="15.75" customHeight="1">
      <c r="A656" s="12"/>
      <c r="B656" s="12"/>
      <c r="C656" s="12"/>
      <c r="D656" s="12"/>
      <c r="E656" s="12"/>
      <c r="F656" s="12"/>
      <c r="G656" s="12"/>
    </row>
    <row r="657" ht="15.75" customHeight="1">
      <c r="A657" s="12"/>
      <c r="B657" s="12"/>
      <c r="C657" s="12"/>
      <c r="D657" s="12"/>
      <c r="E657" s="12"/>
      <c r="F657" s="12"/>
      <c r="G657" s="12"/>
    </row>
    <row r="658" ht="15.75" customHeight="1">
      <c r="A658" s="12"/>
      <c r="B658" s="12"/>
      <c r="C658" s="12"/>
      <c r="D658" s="12"/>
      <c r="E658" s="12"/>
      <c r="F658" s="12"/>
      <c r="G658" s="12"/>
    </row>
    <row r="659" ht="15.75" customHeight="1">
      <c r="A659" s="12"/>
      <c r="B659" s="12"/>
      <c r="C659" s="12"/>
      <c r="D659" s="12"/>
      <c r="E659" s="12"/>
      <c r="F659" s="12"/>
      <c r="G659" s="12"/>
    </row>
    <row r="660" ht="15.75" customHeight="1">
      <c r="A660" s="12"/>
      <c r="B660" s="12"/>
      <c r="C660" s="12"/>
      <c r="D660" s="12"/>
      <c r="E660" s="12"/>
      <c r="F660" s="12"/>
      <c r="G660" s="12"/>
    </row>
    <row r="661" ht="15.75" customHeight="1">
      <c r="A661" s="12"/>
      <c r="B661" s="12"/>
      <c r="C661" s="12"/>
      <c r="D661" s="12"/>
      <c r="E661" s="12"/>
      <c r="F661" s="12"/>
      <c r="G661" s="12"/>
    </row>
    <row r="662" ht="15.75" customHeight="1">
      <c r="A662" s="12"/>
      <c r="B662" s="12"/>
      <c r="C662" s="12"/>
      <c r="D662" s="12"/>
      <c r="E662" s="12"/>
      <c r="F662" s="12"/>
      <c r="G662" s="12"/>
    </row>
    <row r="663" ht="15.75" customHeight="1">
      <c r="A663" s="12"/>
      <c r="B663" s="12"/>
      <c r="C663" s="12"/>
      <c r="D663" s="12"/>
      <c r="E663" s="12"/>
      <c r="F663" s="12"/>
      <c r="G663" s="12"/>
    </row>
    <row r="664" ht="15.75" customHeight="1">
      <c r="A664" s="12"/>
      <c r="B664" s="12"/>
      <c r="C664" s="12"/>
      <c r="D664" s="12"/>
      <c r="E664" s="12"/>
      <c r="F664" s="12"/>
      <c r="G664" s="12"/>
    </row>
    <row r="665" ht="15.75" customHeight="1">
      <c r="A665" s="12"/>
      <c r="B665" s="12"/>
      <c r="C665" s="12"/>
      <c r="D665" s="12"/>
      <c r="E665" s="12"/>
      <c r="F665" s="12"/>
      <c r="G665" s="12"/>
    </row>
    <row r="666" ht="15.75" customHeight="1">
      <c r="A666" s="12"/>
      <c r="B666" s="12"/>
      <c r="C666" s="12"/>
      <c r="D666" s="12"/>
      <c r="E666" s="12"/>
      <c r="F666" s="12"/>
      <c r="G666" s="12"/>
    </row>
    <row r="667" ht="15.75" customHeight="1">
      <c r="A667" s="12"/>
      <c r="B667" s="12"/>
      <c r="C667" s="12"/>
      <c r="D667" s="12"/>
      <c r="E667" s="12"/>
      <c r="F667" s="12"/>
      <c r="G667" s="12"/>
    </row>
    <row r="668" ht="15.75" customHeight="1">
      <c r="A668" s="12"/>
      <c r="B668" s="12"/>
      <c r="C668" s="12"/>
      <c r="D668" s="12"/>
      <c r="E668" s="12"/>
      <c r="F668" s="12"/>
      <c r="G668" s="12"/>
    </row>
    <row r="669" ht="15.75" customHeight="1">
      <c r="A669" s="12"/>
      <c r="B669" s="12"/>
      <c r="C669" s="12"/>
      <c r="D669" s="12"/>
      <c r="E669" s="12"/>
      <c r="F669" s="12"/>
      <c r="G669" s="12"/>
    </row>
    <row r="670" ht="15.75" customHeight="1">
      <c r="A670" s="12"/>
      <c r="B670" s="12"/>
      <c r="C670" s="12"/>
      <c r="D670" s="12"/>
      <c r="E670" s="12"/>
      <c r="F670" s="12"/>
      <c r="G670" s="12"/>
    </row>
    <row r="671" ht="15.75" customHeight="1">
      <c r="A671" s="12"/>
      <c r="B671" s="12"/>
      <c r="C671" s="12"/>
      <c r="D671" s="12"/>
      <c r="E671" s="12"/>
      <c r="F671" s="12"/>
      <c r="G671" s="12"/>
    </row>
    <row r="672" ht="15.75" customHeight="1">
      <c r="A672" s="12"/>
      <c r="B672" s="12"/>
      <c r="C672" s="12"/>
      <c r="D672" s="12"/>
      <c r="E672" s="12"/>
      <c r="F672" s="12"/>
      <c r="G672" s="12"/>
    </row>
    <row r="673" ht="15.75" customHeight="1">
      <c r="A673" s="12"/>
      <c r="B673" s="12"/>
      <c r="C673" s="12"/>
      <c r="D673" s="12"/>
      <c r="E673" s="12"/>
      <c r="F673" s="12"/>
      <c r="G673" s="12"/>
    </row>
    <row r="674" ht="15.75" customHeight="1">
      <c r="A674" s="12"/>
      <c r="B674" s="12"/>
      <c r="C674" s="12"/>
      <c r="D674" s="12"/>
      <c r="E674" s="12"/>
      <c r="F674" s="12"/>
      <c r="G674" s="12"/>
    </row>
    <row r="675" ht="15.75" customHeight="1">
      <c r="A675" s="12"/>
      <c r="B675" s="12"/>
      <c r="C675" s="12"/>
      <c r="D675" s="12"/>
      <c r="E675" s="12"/>
      <c r="F675" s="12"/>
      <c r="G675" s="12"/>
    </row>
    <row r="676" ht="15.75" customHeight="1">
      <c r="A676" s="12"/>
      <c r="B676" s="12"/>
      <c r="C676" s="12"/>
      <c r="D676" s="12"/>
      <c r="E676" s="12"/>
      <c r="F676" s="12"/>
      <c r="G676" s="12"/>
    </row>
    <row r="677" ht="15.75" customHeight="1">
      <c r="A677" s="12"/>
      <c r="B677" s="12"/>
      <c r="C677" s="12"/>
      <c r="D677" s="12"/>
      <c r="E677" s="12"/>
      <c r="F677" s="12"/>
      <c r="G677" s="12"/>
    </row>
    <row r="678" ht="15.75" customHeight="1">
      <c r="A678" s="12"/>
      <c r="B678" s="12"/>
      <c r="C678" s="12"/>
      <c r="D678" s="12"/>
      <c r="E678" s="12"/>
      <c r="F678" s="12"/>
      <c r="G678" s="12"/>
    </row>
    <row r="679" ht="15.75" customHeight="1">
      <c r="A679" s="12"/>
      <c r="B679" s="12"/>
      <c r="C679" s="12"/>
      <c r="D679" s="12"/>
      <c r="E679" s="12"/>
      <c r="F679" s="12"/>
      <c r="G679" s="12"/>
    </row>
    <row r="680" ht="15.75" customHeight="1">
      <c r="A680" s="12"/>
      <c r="B680" s="12"/>
      <c r="C680" s="12"/>
      <c r="D680" s="12"/>
      <c r="E680" s="12"/>
      <c r="F680" s="12"/>
      <c r="G680" s="12"/>
    </row>
    <row r="681" ht="15.75" customHeight="1">
      <c r="A681" s="12"/>
      <c r="B681" s="12"/>
      <c r="C681" s="12"/>
      <c r="D681" s="12"/>
      <c r="E681" s="12"/>
      <c r="F681" s="12"/>
      <c r="G681" s="12"/>
    </row>
    <row r="682" ht="15.75" customHeight="1">
      <c r="A682" s="12"/>
      <c r="B682" s="12"/>
      <c r="C682" s="12"/>
      <c r="D682" s="12"/>
      <c r="E682" s="12"/>
      <c r="F682" s="12"/>
      <c r="G682" s="12"/>
    </row>
    <row r="683" ht="15.75" customHeight="1">
      <c r="A683" s="12"/>
      <c r="B683" s="12"/>
      <c r="C683" s="12"/>
      <c r="D683" s="12"/>
      <c r="E683" s="12"/>
      <c r="F683" s="12"/>
      <c r="G683" s="12"/>
    </row>
    <row r="684" ht="15.75" customHeight="1">
      <c r="A684" s="12"/>
      <c r="B684" s="12"/>
      <c r="C684" s="12"/>
      <c r="D684" s="12"/>
      <c r="E684" s="12"/>
      <c r="F684" s="12"/>
      <c r="G684" s="12"/>
    </row>
    <row r="685" ht="15.75" customHeight="1">
      <c r="A685" s="12"/>
      <c r="B685" s="12"/>
      <c r="C685" s="12"/>
      <c r="D685" s="12"/>
      <c r="E685" s="12"/>
      <c r="F685" s="12"/>
      <c r="G685" s="12"/>
    </row>
    <row r="686" ht="15.75" customHeight="1">
      <c r="A686" s="12"/>
      <c r="B686" s="12"/>
      <c r="C686" s="12"/>
      <c r="D686" s="12"/>
      <c r="E686" s="12"/>
      <c r="F686" s="12"/>
      <c r="G686" s="12"/>
    </row>
    <row r="687" ht="15.75" customHeight="1">
      <c r="A687" s="12"/>
      <c r="B687" s="12"/>
      <c r="C687" s="12"/>
      <c r="D687" s="12"/>
      <c r="E687" s="12"/>
      <c r="F687" s="12"/>
      <c r="G687" s="12"/>
    </row>
    <row r="688" ht="15.75" customHeight="1">
      <c r="A688" s="12"/>
      <c r="B688" s="12"/>
      <c r="C688" s="12"/>
      <c r="D688" s="12"/>
      <c r="E688" s="12"/>
      <c r="F688" s="12"/>
      <c r="G688" s="12"/>
    </row>
    <row r="689" ht="15.75" customHeight="1">
      <c r="A689" s="12"/>
      <c r="B689" s="12"/>
      <c r="C689" s="12"/>
      <c r="D689" s="12"/>
      <c r="E689" s="12"/>
      <c r="F689" s="12"/>
      <c r="G689" s="12"/>
    </row>
    <row r="690" ht="15.75" customHeight="1">
      <c r="A690" s="12"/>
      <c r="B690" s="12"/>
      <c r="C690" s="12"/>
      <c r="D690" s="12"/>
      <c r="E690" s="12"/>
      <c r="F690" s="12"/>
      <c r="G690" s="12"/>
    </row>
    <row r="691" ht="15.75" customHeight="1">
      <c r="A691" s="12"/>
      <c r="B691" s="12"/>
      <c r="C691" s="12"/>
      <c r="D691" s="12"/>
      <c r="E691" s="12"/>
      <c r="F691" s="12"/>
      <c r="G691" s="12"/>
    </row>
    <row r="692" ht="15.75" customHeight="1">
      <c r="A692" s="12"/>
      <c r="B692" s="12"/>
      <c r="C692" s="12"/>
      <c r="D692" s="12"/>
      <c r="E692" s="12"/>
      <c r="F692" s="12"/>
      <c r="G692" s="12"/>
    </row>
    <row r="693" ht="15.75" customHeight="1">
      <c r="A693" s="12"/>
      <c r="B693" s="12"/>
      <c r="C693" s="12"/>
      <c r="D693" s="12"/>
      <c r="E693" s="12"/>
      <c r="F693" s="12"/>
      <c r="G693" s="12"/>
    </row>
    <row r="694" ht="15.75" customHeight="1">
      <c r="A694" s="12"/>
      <c r="B694" s="12"/>
      <c r="C694" s="12"/>
      <c r="D694" s="12"/>
      <c r="E694" s="12"/>
      <c r="F694" s="12"/>
      <c r="G694" s="12"/>
    </row>
    <row r="695" ht="15.75" customHeight="1">
      <c r="A695" s="12"/>
      <c r="B695" s="12"/>
      <c r="C695" s="12"/>
      <c r="D695" s="12"/>
      <c r="E695" s="12"/>
      <c r="F695" s="12"/>
      <c r="G695" s="12"/>
    </row>
    <row r="696" ht="15.75" customHeight="1">
      <c r="A696" s="12"/>
      <c r="B696" s="12"/>
      <c r="C696" s="12"/>
      <c r="D696" s="12"/>
      <c r="E696" s="12"/>
      <c r="F696" s="12"/>
      <c r="G696" s="12"/>
    </row>
    <row r="697" ht="15.75" customHeight="1">
      <c r="A697" s="12"/>
      <c r="B697" s="12"/>
      <c r="C697" s="12"/>
      <c r="D697" s="12"/>
      <c r="E697" s="12"/>
      <c r="F697" s="12"/>
      <c r="G697" s="12"/>
    </row>
    <row r="698" ht="15.75" customHeight="1">
      <c r="A698" s="12"/>
      <c r="B698" s="12"/>
      <c r="C698" s="12"/>
      <c r="D698" s="12"/>
      <c r="E698" s="12"/>
      <c r="F698" s="12"/>
      <c r="G698" s="12"/>
    </row>
    <row r="699" ht="15.75" customHeight="1">
      <c r="A699" s="12"/>
      <c r="B699" s="12"/>
      <c r="C699" s="12"/>
      <c r="D699" s="12"/>
      <c r="E699" s="12"/>
      <c r="F699" s="12"/>
      <c r="G699" s="12"/>
    </row>
    <row r="700" ht="15.75" customHeight="1">
      <c r="A700" s="12"/>
      <c r="B700" s="12"/>
      <c r="C700" s="12"/>
      <c r="D700" s="12"/>
      <c r="E700" s="12"/>
      <c r="F700" s="12"/>
      <c r="G700" s="12"/>
    </row>
    <row r="701" ht="15.75" customHeight="1">
      <c r="A701" s="12"/>
      <c r="B701" s="12"/>
      <c r="C701" s="12"/>
      <c r="D701" s="12"/>
      <c r="E701" s="12"/>
      <c r="F701" s="12"/>
      <c r="G701" s="12"/>
    </row>
    <row r="702" ht="15.75" customHeight="1">
      <c r="A702" s="12"/>
      <c r="B702" s="12"/>
      <c r="C702" s="12"/>
      <c r="D702" s="12"/>
      <c r="E702" s="12"/>
      <c r="F702" s="12"/>
      <c r="G702" s="12"/>
    </row>
    <row r="703" ht="15.75" customHeight="1">
      <c r="A703" s="12"/>
      <c r="B703" s="12"/>
      <c r="C703" s="12"/>
      <c r="D703" s="12"/>
      <c r="E703" s="12"/>
      <c r="F703" s="12"/>
      <c r="G703" s="12"/>
    </row>
    <row r="704" ht="15.75" customHeight="1">
      <c r="A704" s="12"/>
      <c r="B704" s="12"/>
      <c r="C704" s="12"/>
      <c r="D704" s="12"/>
      <c r="E704" s="12"/>
      <c r="F704" s="12"/>
      <c r="G704" s="12"/>
    </row>
    <row r="705" ht="15.75" customHeight="1">
      <c r="A705" s="12"/>
      <c r="B705" s="12"/>
      <c r="C705" s="12"/>
      <c r="D705" s="12"/>
      <c r="E705" s="12"/>
      <c r="F705" s="12"/>
      <c r="G705" s="12"/>
    </row>
    <row r="706" ht="15.75" customHeight="1">
      <c r="A706" s="12"/>
      <c r="B706" s="12"/>
      <c r="C706" s="12"/>
      <c r="D706" s="12"/>
      <c r="E706" s="12"/>
      <c r="F706" s="12"/>
      <c r="G706" s="12"/>
    </row>
    <row r="707" ht="15.75" customHeight="1">
      <c r="A707" s="12"/>
      <c r="B707" s="12"/>
      <c r="C707" s="12"/>
      <c r="D707" s="12"/>
      <c r="E707" s="12"/>
      <c r="F707" s="12"/>
      <c r="G707" s="12"/>
    </row>
    <row r="708" ht="15.75" customHeight="1">
      <c r="A708" s="12"/>
      <c r="B708" s="12"/>
      <c r="C708" s="12"/>
      <c r="D708" s="12"/>
      <c r="E708" s="12"/>
      <c r="F708" s="12"/>
      <c r="G708" s="12"/>
    </row>
    <row r="709" ht="15.75" customHeight="1">
      <c r="A709" s="12"/>
      <c r="B709" s="12"/>
      <c r="C709" s="12"/>
      <c r="D709" s="12"/>
      <c r="E709" s="12"/>
      <c r="F709" s="12"/>
      <c r="G709" s="12"/>
    </row>
    <row r="710" ht="15.75" customHeight="1">
      <c r="A710" s="12"/>
      <c r="B710" s="12"/>
      <c r="C710" s="12"/>
      <c r="D710" s="12"/>
      <c r="E710" s="12"/>
      <c r="F710" s="12"/>
      <c r="G710" s="12"/>
    </row>
    <row r="711" ht="15.75" customHeight="1">
      <c r="A711" s="12"/>
      <c r="B711" s="12"/>
      <c r="C711" s="12"/>
      <c r="D711" s="12"/>
      <c r="E711" s="12"/>
      <c r="F711" s="12"/>
      <c r="G711" s="12"/>
    </row>
    <row r="712" ht="15.75" customHeight="1">
      <c r="A712" s="12"/>
      <c r="B712" s="12"/>
      <c r="C712" s="12"/>
      <c r="D712" s="12"/>
      <c r="E712" s="12"/>
      <c r="F712" s="12"/>
      <c r="G712" s="12"/>
    </row>
    <row r="713" ht="15.75" customHeight="1">
      <c r="A713" s="12"/>
      <c r="B713" s="12"/>
      <c r="C713" s="12"/>
      <c r="D713" s="12"/>
      <c r="E713" s="12"/>
      <c r="F713" s="12"/>
      <c r="G713" s="12"/>
    </row>
    <row r="714" ht="15.75" customHeight="1">
      <c r="A714" s="12"/>
      <c r="B714" s="12"/>
      <c r="C714" s="12"/>
      <c r="D714" s="12"/>
      <c r="E714" s="12"/>
      <c r="F714" s="12"/>
      <c r="G714" s="12"/>
    </row>
    <row r="715" ht="15.75" customHeight="1">
      <c r="A715" s="12"/>
      <c r="B715" s="12"/>
      <c r="C715" s="12"/>
      <c r="D715" s="12"/>
      <c r="E715" s="12"/>
      <c r="F715" s="12"/>
      <c r="G715" s="12"/>
    </row>
    <row r="716" ht="15.75" customHeight="1">
      <c r="A716" s="12"/>
      <c r="B716" s="12"/>
      <c r="C716" s="12"/>
      <c r="D716" s="12"/>
      <c r="E716" s="12"/>
      <c r="F716" s="12"/>
      <c r="G716" s="12"/>
    </row>
    <row r="717" ht="15.75" customHeight="1">
      <c r="A717" s="12"/>
      <c r="B717" s="12"/>
      <c r="C717" s="12"/>
      <c r="D717" s="12"/>
      <c r="E717" s="12"/>
      <c r="F717" s="12"/>
      <c r="G717" s="12"/>
    </row>
    <row r="718" ht="15.75" customHeight="1">
      <c r="A718" s="12"/>
      <c r="B718" s="12"/>
      <c r="C718" s="12"/>
      <c r="D718" s="12"/>
      <c r="E718" s="12"/>
      <c r="F718" s="12"/>
      <c r="G718" s="12"/>
    </row>
    <row r="719" ht="15.75" customHeight="1">
      <c r="A719" s="12"/>
      <c r="B719" s="12"/>
      <c r="C719" s="12"/>
      <c r="D719" s="12"/>
      <c r="E719" s="12"/>
      <c r="F719" s="12"/>
      <c r="G719" s="12"/>
    </row>
    <row r="720" ht="15.75" customHeight="1">
      <c r="A720" s="12"/>
      <c r="B720" s="12"/>
      <c r="C720" s="12"/>
      <c r="D720" s="12"/>
      <c r="E720" s="12"/>
      <c r="F720" s="12"/>
      <c r="G720" s="12"/>
    </row>
    <row r="721" ht="15.75" customHeight="1">
      <c r="A721" s="12"/>
      <c r="B721" s="12"/>
      <c r="C721" s="12"/>
      <c r="D721" s="12"/>
      <c r="E721" s="12"/>
      <c r="F721" s="12"/>
      <c r="G721" s="12"/>
    </row>
    <row r="722" ht="15.75" customHeight="1">
      <c r="A722" s="12"/>
      <c r="B722" s="12"/>
      <c r="C722" s="12"/>
      <c r="D722" s="12"/>
      <c r="E722" s="12"/>
      <c r="F722" s="12"/>
      <c r="G722" s="12"/>
    </row>
    <row r="723" ht="15.75" customHeight="1">
      <c r="A723" s="12"/>
      <c r="B723" s="12"/>
      <c r="C723" s="12"/>
      <c r="D723" s="12"/>
      <c r="E723" s="12"/>
      <c r="F723" s="12"/>
      <c r="G723" s="12"/>
    </row>
    <row r="724" ht="15.75" customHeight="1">
      <c r="A724" s="12"/>
      <c r="B724" s="12"/>
      <c r="C724" s="12"/>
      <c r="D724" s="12"/>
      <c r="E724" s="12"/>
      <c r="F724" s="12"/>
      <c r="G724" s="12"/>
    </row>
    <row r="725" ht="15.75" customHeight="1">
      <c r="A725" s="12"/>
      <c r="B725" s="12"/>
      <c r="C725" s="12"/>
      <c r="D725" s="12"/>
      <c r="E725" s="12"/>
      <c r="F725" s="12"/>
      <c r="G725" s="12"/>
    </row>
    <row r="726" ht="15.75" customHeight="1">
      <c r="A726" s="12"/>
      <c r="B726" s="12"/>
      <c r="C726" s="12"/>
      <c r="D726" s="12"/>
      <c r="E726" s="12"/>
      <c r="F726" s="12"/>
      <c r="G726" s="12"/>
    </row>
    <row r="727" ht="15.75" customHeight="1">
      <c r="A727" s="12"/>
      <c r="B727" s="12"/>
      <c r="C727" s="12"/>
      <c r="D727" s="12"/>
      <c r="E727" s="12"/>
      <c r="F727" s="12"/>
      <c r="G727" s="12"/>
    </row>
    <row r="728" ht="15.75" customHeight="1">
      <c r="A728" s="12"/>
      <c r="B728" s="12"/>
      <c r="C728" s="12"/>
      <c r="D728" s="12"/>
      <c r="E728" s="12"/>
      <c r="F728" s="12"/>
      <c r="G728" s="12"/>
    </row>
    <row r="729" ht="15.75" customHeight="1">
      <c r="A729" s="12"/>
      <c r="B729" s="12"/>
      <c r="C729" s="12"/>
      <c r="D729" s="12"/>
      <c r="E729" s="12"/>
      <c r="F729" s="12"/>
      <c r="G729" s="12"/>
    </row>
    <row r="730" ht="15.75" customHeight="1">
      <c r="A730" s="12"/>
      <c r="B730" s="12"/>
      <c r="C730" s="12"/>
      <c r="D730" s="12"/>
      <c r="E730" s="12"/>
      <c r="F730" s="12"/>
      <c r="G730" s="12"/>
    </row>
    <row r="731" ht="15.75" customHeight="1">
      <c r="A731" s="12"/>
      <c r="B731" s="12"/>
      <c r="C731" s="12"/>
      <c r="D731" s="12"/>
      <c r="E731" s="12"/>
      <c r="F731" s="12"/>
      <c r="G731" s="12"/>
    </row>
    <row r="732" ht="15.75" customHeight="1">
      <c r="A732" s="12"/>
      <c r="B732" s="12"/>
      <c r="C732" s="12"/>
      <c r="D732" s="12"/>
      <c r="E732" s="12"/>
      <c r="F732" s="12"/>
      <c r="G732" s="12"/>
    </row>
    <row r="733" ht="15.75" customHeight="1">
      <c r="A733" s="12"/>
      <c r="B733" s="12"/>
      <c r="C733" s="12"/>
      <c r="D733" s="12"/>
      <c r="E733" s="12"/>
      <c r="F733" s="12"/>
      <c r="G733" s="12"/>
    </row>
    <row r="734" ht="15.75" customHeight="1">
      <c r="A734" s="12"/>
      <c r="B734" s="12"/>
      <c r="C734" s="12"/>
      <c r="D734" s="12"/>
      <c r="E734" s="12"/>
      <c r="F734" s="12"/>
      <c r="G734" s="12"/>
    </row>
    <row r="735" ht="15.75" customHeight="1">
      <c r="A735" s="12"/>
      <c r="B735" s="12"/>
      <c r="C735" s="12"/>
      <c r="D735" s="12"/>
      <c r="E735" s="12"/>
      <c r="F735" s="12"/>
      <c r="G735" s="12"/>
    </row>
    <row r="736" ht="15.75" customHeight="1">
      <c r="A736" s="12"/>
      <c r="B736" s="12"/>
      <c r="C736" s="12"/>
      <c r="D736" s="12"/>
      <c r="E736" s="12"/>
      <c r="F736" s="12"/>
      <c r="G736" s="12"/>
    </row>
    <row r="737" ht="15.75" customHeight="1">
      <c r="A737" s="12"/>
      <c r="B737" s="12"/>
      <c r="C737" s="12"/>
      <c r="D737" s="12"/>
      <c r="E737" s="12"/>
      <c r="F737" s="12"/>
      <c r="G737" s="12"/>
    </row>
    <row r="738" ht="15.75" customHeight="1">
      <c r="A738" s="12"/>
      <c r="B738" s="12"/>
      <c r="C738" s="12"/>
      <c r="D738" s="12"/>
      <c r="E738" s="12"/>
      <c r="F738" s="12"/>
      <c r="G738" s="12"/>
    </row>
    <row r="739" ht="15.75" customHeight="1">
      <c r="A739" s="12"/>
      <c r="B739" s="12"/>
      <c r="C739" s="12"/>
      <c r="D739" s="12"/>
      <c r="E739" s="12"/>
      <c r="F739" s="12"/>
      <c r="G739" s="12"/>
    </row>
    <row r="740" ht="15.75" customHeight="1">
      <c r="A740" s="12"/>
      <c r="B740" s="12"/>
      <c r="C740" s="12"/>
      <c r="D740" s="12"/>
      <c r="E740" s="12"/>
      <c r="F740" s="12"/>
      <c r="G740" s="12"/>
    </row>
    <row r="741" ht="15.75" customHeight="1">
      <c r="A741" s="12"/>
      <c r="B741" s="12"/>
      <c r="C741" s="12"/>
      <c r="D741" s="12"/>
      <c r="E741" s="12"/>
      <c r="F741" s="12"/>
      <c r="G741" s="12"/>
    </row>
    <row r="742" ht="15.75" customHeight="1">
      <c r="A742" s="12"/>
      <c r="B742" s="12"/>
      <c r="C742" s="12"/>
      <c r="D742" s="12"/>
      <c r="E742" s="12"/>
      <c r="F742" s="12"/>
      <c r="G742" s="12"/>
    </row>
    <row r="743" ht="15.75" customHeight="1">
      <c r="A743" s="12"/>
      <c r="B743" s="12"/>
      <c r="C743" s="12"/>
      <c r="D743" s="12"/>
      <c r="E743" s="12"/>
      <c r="F743" s="12"/>
      <c r="G743" s="12"/>
    </row>
    <row r="744" ht="15.75" customHeight="1">
      <c r="A744" s="12"/>
      <c r="B744" s="12"/>
      <c r="C744" s="12"/>
      <c r="D744" s="12"/>
      <c r="E744" s="12"/>
      <c r="F744" s="12"/>
      <c r="G744" s="12"/>
    </row>
    <row r="745" ht="15.75" customHeight="1">
      <c r="A745" s="12"/>
      <c r="B745" s="12"/>
      <c r="C745" s="12"/>
      <c r="D745" s="12"/>
      <c r="E745" s="12"/>
      <c r="F745" s="12"/>
      <c r="G745" s="12"/>
    </row>
    <row r="746" ht="15.75" customHeight="1">
      <c r="A746" s="12"/>
      <c r="B746" s="12"/>
      <c r="C746" s="12"/>
      <c r="D746" s="12"/>
      <c r="E746" s="12"/>
      <c r="F746" s="12"/>
      <c r="G746" s="12"/>
    </row>
    <row r="747" ht="15.75" customHeight="1">
      <c r="A747" s="12"/>
      <c r="B747" s="12"/>
      <c r="C747" s="12"/>
      <c r="D747" s="12"/>
      <c r="E747" s="12"/>
      <c r="F747" s="12"/>
      <c r="G747" s="12"/>
    </row>
    <row r="748" ht="15.75" customHeight="1">
      <c r="A748" s="12"/>
      <c r="B748" s="12"/>
      <c r="C748" s="12"/>
      <c r="D748" s="12"/>
      <c r="E748" s="12"/>
      <c r="F748" s="12"/>
      <c r="G748" s="12"/>
    </row>
    <row r="749" ht="15.75" customHeight="1">
      <c r="A749" s="12"/>
      <c r="B749" s="12"/>
      <c r="C749" s="12"/>
      <c r="D749" s="12"/>
      <c r="E749" s="12"/>
      <c r="F749" s="12"/>
      <c r="G749" s="12"/>
    </row>
    <row r="750" ht="15.75" customHeight="1">
      <c r="A750" s="12"/>
      <c r="B750" s="12"/>
      <c r="C750" s="12"/>
      <c r="D750" s="12"/>
      <c r="E750" s="12"/>
      <c r="F750" s="12"/>
      <c r="G750" s="12"/>
    </row>
    <row r="751" ht="15.75" customHeight="1">
      <c r="A751" s="12"/>
      <c r="B751" s="12"/>
      <c r="C751" s="12"/>
      <c r="D751" s="12"/>
      <c r="E751" s="12"/>
      <c r="F751" s="12"/>
      <c r="G751" s="12"/>
    </row>
    <row r="752" ht="15.75" customHeight="1">
      <c r="A752" s="12"/>
      <c r="B752" s="12"/>
      <c r="C752" s="12"/>
      <c r="D752" s="12"/>
      <c r="E752" s="12"/>
      <c r="F752" s="12"/>
      <c r="G752" s="12"/>
    </row>
    <row r="753" ht="15.75" customHeight="1">
      <c r="A753" s="12"/>
      <c r="B753" s="12"/>
      <c r="C753" s="12"/>
      <c r="D753" s="12"/>
      <c r="E753" s="12"/>
      <c r="F753" s="12"/>
      <c r="G753" s="12"/>
    </row>
    <row r="754" ht="15.75" customHeight="1">
      <c r="A754" s="12"/>
      <c r="B754" s="12"/>
      <c r="C754" s="12"/>
      <c r="D754" s="12"/>
      <c r="E754" s="12"/>
      <c r="F754" s="12"/>
      <c r="G754" s="12"/>
    </row>
    <row r="755" ht="15.75" customHeight="1">
      <c r="A755" s="12"/>
      <c r="B755" s="12"/>
      <c r="C755" s="12"/>
      <c r="D755" s="12"/>
      <c r="E755" s="12"/>
      <c r="F755" s="12"/>
      <c r="G755" s="12"/>
    </row>
    <row r="756" ht="15.75" customHeight="1">
      <c r="A756" s="12"/>
      <c r="B756" s="12"/>
      <c r="C756" s="12"/>
      <c r="D756" s="12"/>
      <c r="E756" s="12"/>
      <c r="F756" s="12"/>
      <c r="G756" s="12"/>
    </row>
    <row r="757" ht="15.75" customHeight="1">
      <c r="A757" s="12"/>
      <c r="B757" s="12"/>
      <c r="C757" s="12"/>
      <c r="D757" s="12"/>
      <c r="E757" s="12"/>
      <c r="F757" s="12"/>
      <c r="G757" s="12"/>
    </row>
    <row r="758" ht="15.75" customHeight="1">
      <c r="A758" s="12"/>
      <c r="B758" s="12"/>
      <c r="C758" s="12"/>
      <c r="D758" s="12"/>
      <c r="E758" s="12"/>
      <c r="F758" s="12"/>
      <c r="G758" s="12"/>
    </row>
    <row r="759" ht="15.75" customHeight="1">
      <c r="A759" s="12"/>
      <c r="B759" s="12"/>
      <c r="C759" s="12"/>
      <c r="D759" s="12"/>
      <c r="E759" s="12"/>
      <c r="F759" s="12"/>
      <c r="G759" s="12"/>
    </row>
    <row r="760" ht="15.75" customHeight="1">
      <c r="A760" s="12"/>
      <c r="B760" s="12"/>
      <c r="C760" s="12"/>
      <c r="D760" s="12"/>
      <c r="E760" s="12"/>
      <c r="F760" s="12"/>
      <c r="G760" s="12"/>
    </row>
    <row r="761" ht="15.75" customHeight="1">
      <c r="A761" s="12"/>
      <c r="B761" s="12"/>
      <c r="C761" s="12"/>
      <c r="D761" s="12"/>
      <c r="E761" s="12"/>
      <c r="F761" s="12"/>
      <c r="G761" s="12"/>
    </row>
    <row r="762" ht="15.75" customHeight="1">
      <c r="A762" s="12"/>
      <c r="B762" s="12"/>
      <c r="C762" s="12"/>
      <c r="D762" s="12"/>
      <c r="E762" s="12"/>
      <c r="F762" s="12"/>
      <c r="G762" s="12"/>
    </row>
    <row r="763" ht="15.75" customHeight="1">
      <c r="A763" s="12"/>
      <c r="B763" s="12"/>
      <c r="C763" s="12"/>
      <c r="D763" s="12"/>
      <c r="E763" s="12"/>
      <c r="F763" s="12"/>
      <c r="G763" s="12"/>
    </row>
    <row r="764" ht="15.75" customHeight="1">
      <c r="A764" s="12"/>
      <c r="B764" s="12"/>
      <c r="C764" s="12"/>
      <c r="D764" s="12"/>
      <c r="E764" s="12"/>
      <c r="F764" s="12"/>
      <c r="G764" s="12"/>
    </row>
    <row r="765" ht="15.75" customHeight="1">
      <c r="A765" s="12"/>
      <c r="B765" s="12"/>
      <c r="C765" s="12"/>
      <c r="D765" s="12"/>
      <c r="E765" s="12"/>
      <c r="F765" s="12"/>
      <c r="G765" s="12"/>
    </row>
    <row r="766" ht="15.75" customHeight="1">
      <c r="A766" s="12"/>
      <c r="B766" s="12"/>
      <c r="C766" s="12"/>
      <c r="D766" s="12"/>
      <c r="E766" s="12"/>
      <c r="F766" s="12"/>
      <c r="G766" s="12"/>
    </row>
    <row r="767" ht="15.75" customHeight="1">
      <c r="A767" s="12"/>
      <c r="B767" s="12"/>
      <c r="C767" s="12"/>
      <c r="D767" s="12"/>
      <c r="E767" s="12"/>
      <c r="F767" s="12"/>
      <c r="G767" s="12"/>
    </row>
    <row r="768" ht="15.75" customHeight="1">
      <c r="A768" s="12"/>
      <c r="B768" s="12"/>
      <c r="C768" s="12"/>
      <c r="D768" s="12"/>
      <c r="E768" s="12"/>
      <c r="F768" s="12"/>
      <c r="G768" s="12"/>
    </row>
    <row r="769" ht="15.75" customHeight="1">
      <c r="A769" s="12"/>
      <c r="B769" s="12"/>
      <c r="C769" s="12"/>
      <c r="D769" s="12"/>
      <c r="E769" s="12"/>
      <c r="F769" s="12"/>
      <c r="G769" s="12"/>
    </row>
    <row r="770" ht="15.75" customHeight="1">
      <c r="A770" s="12"/>
      <c r="B770" s="12"/>
      <c r="C770" s="12"/>
      <c r="D770" s="12"/>
      <c r="E770" s="12"/>
      <c r="F770" s="12"/>
      <c r="G770" s="12"/>
    </row>
    <row r="771" ht="15.75" customHeight="1">
      <c r="A771" s="12"/>
      <c r="B771" s="12"/>
      <c r="C771" s="12"/>
      <c r="D771" s="12"/>
      <c r="E771" s="12"/>
      <c r="F771" s="12"/>
      <c r="G771" s="12"/>
    </row>
    <row r="772" ht="15.75" customHeight="1">
      <c r="A772" s="12"/>
      <c r="B772" s="12"/>
      <c r="C772" s="12"/>
      <c r="D772" s="12"/>
      <c r="E772" s="12"/>
      <c r="F772" s="12"/>
      <c r="G772" s="12"/>
    </row>
    <row r="773" ht="15.75" customHeight="1">
      <c r="A773" s="12"/>
      <c r="B773" s="12"/>
      <c r="C773" s="12"/>
      <c r="D773" s="12"/>
      <c r="E773" s="12"/>
      <c r="F773" s="12"/>
      <c r="G773" s="12"/>
    </row>
    <row r="774" ht="15.75" customHeight="1">
      <c r="A774" s="12"/>
      <c r="B774" s="12"/>
      <c r="C774" s="12"/>
      <c r="D774" s="12"/>
      <c r="E774" s="12"/>
      <c r="F774" s="12"/>
      <c r="G774" s="12"/>
    </row>
    <row r="775" ht="15.75" customHeight="1">
      <c r="A775" s="12"/>
      <c r="B775" s="12"/>
      <c r="C775" s="12"/>
      <c r="D775" s="12"/>
      <c r="E775" s="12"/>
      <c r="F775" s="12"/>
      <c r="G775" s="12"/>
    </row>
    <row r="776" ht="15.75" customHeight="1">
      <c r="A776" s="12"/>
      <c r="B776" s="12"/>
      <c r="C776" s="12"/>
      <c r="D776" s="12"/>
      <c r="E776" s="12"/>
      <c r="F776" s="12"/>
      <c r="G776" s="12"/>
    </row>
    <row r="777" ht="15.75" customHeight="1">
      <c r="A777" s="12"/>
      <c r="B777" s="12"/>
      <c r="C777" s="12"/>
      <c r="D777" s="12"/>
      <c r="E777" s="12"/>
      <c r="F777" s="12"/>
      <c r="G777" s="12"/>
    </row>
    <row r="778" ht="15.75" customHeight="1">
      <c r="A778" s="12"/>
      <c r="B778" s="12"/>
      <c r="C778" s="12"/>
      <c r="D778" s="12"/>
      <c r="E778" s="12"/>
      <c r="F778" s="12"/>
      <c r="G778" s="12"/>
    </row>
    <row r="779" ht="15.75" customHeight="1">
      <c r="A779" s="12"/>
      <c r="B779" s="12"/>
      <c r="C779" s="12"/>
      <c r="D779" s="12"/>
      <c r="E779" s="12"/>
      <c r="F779" s="12"/>
      <c r="G779" s="12"/>
    </row>
    <row r="780" ht="15.75" customHeight="1">
      <c r="A780" s="12"/>
      <c r="B780" s="12"/>
      <c r="C780" s="12"/>
      <c r="D780" s="12"/>
      <c r="E780" s="12"/>
      <c r="F780" s="12"/>
      <c r="G780" s="12"/>
    </row>
    <row r="781" ht="15.75" customHeight="1">
      <c r="A781" s="12"/>
      <c r="B781" s="12"/>
      <c r="C781" s="12"/>
      <c r="D781" s="12"/>
      <c r="E781" s="12"/>
      <c r="F781" s="12"/>
      <c r="G781" s="12"/>
    </row>
    <row r="782" ht="15.75" customHeight="1">
      <c r="A782" s="12"/>
      <c r="B782" s="12"/>
      <c r="C782" s="12"/>
      <c r="D782" s="12"/>
      <c r="E782" s="12"/>
      <c r="F782" s="12"/>
      <c r="G782" s="12"/>
    </row>
    <row r="783" ht="15.75" customHeight="1">
      <c r="A783" s="12"/>
      <c r="B783" s="12"/>
      <c r="C783" s="12"/>
      <c r="D783" s="12"/>
      <c r="E783" s="12"/>
      <c r="F783" s="12"/>
      <c r="G783" s="12"/>
    </row>
    <row r="784" ht="15.75" customHeight="1">
      <c r="A784" s="12"/>
      <c r="B784" s="12"/>
      <c r="C784" s="12"/>
      <c r="D784" s="12"/>
      <c r="E784" s="12"/>
      <c r="F784" s="12"/>
      <c r="G784" s="12"/>
    </row>
    <row r="785" ht="15.75" customHeight="1">
      <c r="A785" s="12"/>
      <c r="B785" s="12"/>
      <c r="C785" s="12"/>
      <c r="D785" s="12"/>
      <c r="E785" s="12"/>
      <c r="F785" s="12"/>
      <c r="G785" s="12"/>
    </row>
    <row r="786" ht="15.75" customHeight="1">
      <c r="A786" s="12"/>
      <c r="B786" s="12"/>
      <c r="C786" s="12"/>
      <c r="D786" s="12"/>
      <c r="E786" s="12"/>
      <c r="F786" s="12"/>
      <c r="G786" s="12"/>
    </row>
    <row r="787" ht="15.75" customHeight="1">
      <c r="A787" s="12"/>
      <c r="B787" s="12"/>
      <c r="C787" s="12"/>
      <c r="D787" s="12"/>
      <c r="E787" s="12"/>
      <c r="F787" s="12"/>
      <c r="G787" s="12"/>
    </row>
    <row r="788" ht="15.75" customHeight="1">
      <c r="A788" s="12"/>
      <c r="B788" s="12"/>
      <c r="C788" s="12"/>
      <c r="D788" s="12"/>
      <c r="E788" s="12"/>
      <c r="F788" s="12"/>
      <c r="G788" s="12"/>
    </row>
    <row r="789" ht="15.75" customHeight="1">
      <c r="A789" s="12"/>
      <c r="B789" s="12"/>
      <c r="C789" s="12"/>
      <c r="D789" s="12"/>
      <c r="E789" s="12"/>
      <c r="F789" s="12"/>
      <c r="G789" s="12"/>
    </row>
    <row r="790" ht="15.75" customHeight="1">
      <c r="A790" s="12"/>
      <c r="B790" s="12"/>
      <c r="C790" s="12"/>
      <c r="D790" s="12"/>
      <c r="E790" s="12"/>
      <c r="F790" s="12"/>
      <c r="G790" s="12"/>
    </row>
    <row r="791" ht="15.75" customHeight="1">
      <c r="A791" s="12"/>
      <c r="B791" s="12"/>
      <c r="C791" s="12"/>
      <c r="D791" s="12"/>
      <c r="E791" s="12"/>
      <c r="F791" s="12"/>
      <c r="G791" s="12"/>
    </row>
    <row r="792" ht="15.75" customHeight="1">
      <c r="A792" s="12"/>
      <c r="B792" s="12"/>
      <c r="C792" s="12"/>
      <c r="D792" s="12"/>
      <c r="E792" s="12"/>
      <c r="F792" s="12"/>
      <c r="G792" s="12"/>
    </row>
    <row r="793" ht="15.75" customHeight="1">
      <c r="A793" s="12"/>
      <c r="B793" s="12"/>
      <c r="C793" s="12"/>
      <c r="D793" s="12"/>
      <c r="E793" s="12"/>
      <c r="F793" s="12"/>
      <c r="G793" s="12"/>
    </row>
    <row r="794" ht="15.75" customHeight="1">
      <c r="A794" s="12"/>
      <c r="B794" s="12"/>
      <c r="C794" s="12"/>
      <c r="D794" s="12"/>
      <c r="E794" s="12"/>
      <c r="F794" s="12"/>
      <c r="G794" s="12"/>
    </row>
    <row r="795" ht="15.75" customHeight="1">
      <c r="A795" s="12"/>
      <c r="B795" s="12"/>
      <c r="C795" s="12"/>
      <c r="D795" s="12"/>
      <c r="E795" s="12"/>
      <c r="F795" s="12"/>
      <c r="G795" s="12"/>
    </row>
    <row r="796" ht="15.75" customHeight="1">
      <c r="A796" s="12"/>
      <c r="B796" s="12"/>
      <c r="C796" s="12"/>
      <c r="D796" s="12"/>
      <c r="E796" s="12"/>
      <c r="F796" s="12"/>
      <c r="G796" s="12"/>
    </row>
    <row r="797" ht="15.75" customHeight="1">
      <c r="A797" s="12"/>
      <c r="B797" s="12"/>
      <c r="C797" s="12"/>
      <c r="D797" s="12"/>
      <c r="E797" s="12"/>
      <c r="F797" s="12"/>
      <c r="G797" s="12"/>
    </row>
    <row r="798" ht="15.75" customHeight="1">
      <c r="A798" s="12"/>
      <c r="B798" s="12"/>
      <c r="C798" s="12"/>
      <c r="D798" s="12"/>
      <c r="E798" s="12"/>
      <c r="F798" s="12"/>
      <c r="G798" s="12"/>
    </row>
    <row r="799" ht="15.75" customHeight="1">
      <c r="A799" s="12"/>
      <c r="B799" s="12"/>
      <c r="C799" s="12"/>
      <c r="D799" s="12"/>
      <c r="E799" s="12"/>
      <c r="F799" s="12"/>
      <c r="G799" s="12"/>
    </row>
    <row r="800" ht="15.75" customHeight="1">
      <c r="A800" s="12"/>
      <c r="B800" s="12"/>
      <c r="C800" s="12"/>
      <c r="D800" s="12"/>
      <c r="E800" s="12"/>
      <c r="F800" s="12"/>
      <c r="G800" s="12"/>
    </row>
    <row r="801" ht="15.75" customHeight="1">
      <c r="A801" s="12"/>
      <c r="B801" s="12"/>
      <c r="C801" s="12"/>
      <c r="D801" s="12"/>
      <c r="E801" s="12"/>
      <c r="F801" s="12"/>
      <c r="G801" s="12"/>
    </row>
    <row r="802" ht="15.75" customHeight="1">
      <c r="A802" s="12"/>
      <c r="B802" s="12"/>
      <c r="C802" s="12"/>
      <c r="D802" s="12"/>
      <c r="E802" s="12"/>
      <c r="F802" s="12"/>
      <c r="G802" s="12"/>
    </row>
    <row r="803" ht="15.75" customHeight="1">
      <c r="A803" s="12"/>
      <c r="B803" s="12"/>
      <c r="C803" s="12"/>
      <c r="D803" s="12"/>
      <c r="E803" s="12"/>
      <c r="F803" s="12"/>
      <c r="G803" s="12"/>
    </row>
    <row r="804" ht="15.75" customHeight="1">
      <c r="A804" s="12"/>
      <c r="B804" s="12"/>
      <c r="C804" s="12"/>
      <c r="D804" s="12"/>
      <c r="E804" s="12"/>
      <c r="F804" s="12"/>
      <c r="G804" s="12"/>
    </row>
    <row r="805" ht="15.75" customHeight="1">
      <c r="A805" s="12"/>
      <c r="B805" s="12"/>
      <c r="C805" s="12"/>
      <c r="D805" s="12"/>
      <c r="E805" s="12"/>
      <c r="F805" s="12"/>
      <c r="G805" s="12"/>
    </row>
    <row r="806" ht="15.75" customHeight="1">
      <c r="A806" s="12"/>
      <c r="B806" s="12"/>
      <c r="C806" s="12"/>
      <c r="D806" s="12"/>
      <c r="E806" s="12"/>
      <c r="F806" s="12"/>
      <c r="G806" s="12"/>
    </row>
    <row r="807" ht="15.75" customHeight="1">
      <c r="A807" s="12"/>
      <c r="B807" s="12"/>
      <c r="C807" s="12"/>
      <c r="D807" s="12"/>
      <c r="E807" s="12"/>
      <c r="F807" s="12"/>
      <c r="G807" s="12"/>
    </row>
    <row r="808" ht="15.75" customHeight="1">
      <c r="A808" s="12"/>
      <c r="B808" s="12"/>
      <c r="C808" s="12"/>
      <c r="D808" s="12"/>
      <c r="E808" s="12"/>
      <c r="F808" s="12"/>
      <c r="G808" s="12"/>
    </row>
    <row r="809" ht="15.75" customHeight="1">
      <c r="A809" s="12"/>
      <c r="B809" s="12"/>
      <c r="C809" s="12"/>
      <c r="D809" s="12"/>
      <c r="E809" s="12"/>
      <c r="F809" s="12"/>
      <c r="G809" s="12"/>
    </row>
    <row r="810" ht="15.75" customHeight="1">
      <c r="A810" s="12"/>
      <c r="B810" s="12"/>
      <c r="C810" s="12"/>
      <c r="D810" s="12"/>
      <c r="E810" s="12"/>
      <c r="F810" s="12"/>
      <c r="G810" s="12"/>
    </row>
    <row r="811" ht="15.75" customHeight="1">
      <c r="A811" s="12"/>
      <c r="B811" s="12"/>
      <c r="C811" s="12"/>
      <c r="D811" s="12"/>
      <c r="E811" s="12"/>
      <c r="F811" s="12"/>
      <c r="G811" s="12"/>
    </row>
    <row r="812" ht="15.75" customHeight="1">
      <c r="A812" s="12"/>
      <c r="B812" s="12"/>
      <c r="C812" s="12"/>
      <c r="D812" s="12"/>
      <c r="E812" s="12"/>
      <c r="F812" s="12"/>
      <c r="G812" s="12"/>
    </row>
    <row r="813" ht="15.75" customHeight="1">
      <c r="A813" s="12"/>
      <c r="B813" s="12"/>
      <c r="C813" s="12"/>
      <c r="D813" s="12"/>
      <c r="E813" s="12"/>
      <c r="F813" s="12"/>
      <c r="G813" s="12"/>
    </row>
    <row r="814" ht="15.75" customHeight="1">
      <c r="A814" s="12"/>
      <c r="B814" s="12"/>
      <c r="C814" s="12"/>
      <c r="D814" s="12"/>
      <c r="E814" s="12"/>
      <c r="F814" s="12"/>
      <c r="G814" s="12"/>
    </row>
    <row r="815" ht="15.75" customHeight="1">
      <c r="A815" s="12"/>
      <c r="B815" s="12"/>
      <c r="C815" s="12"/>
      <c r="D815" s="12"/>
      <c r="E815" s="12"/>
      <c r="F815" s="12"/>
      <c r="G815" s="12"/>
    </row>
    <row r="816" ht="15.75" customHeight="1">
      <c r="A816" s="12"/>
      <c r="B816" s="12"/>
      <c r="C816" s="12"/>
      <c r="D816" s="12"/>
      <c r="E816" s="12"/>
      <c r="F816" s="12"/>
      <c r="G816" s="12"/>
    </row>
    <row r="817" ht="15.75" customHeight="1">
      <c r="A817" s="12"/>
      <c r="B817" s="12"/>
      <c r="C817" s="12"/>
      <c r="D817" s="12"/>
      <c r="E817" s="12"/>
      <c r="F817" s="12"/>
      <c r="G817" s="12"/>
    </row>
    <row r="818" ht="15.75" customHeight="1">
      <c r="A818" s="12"/>
      <c r="B818" s="12"/>
      <c r="C818" s="12"/>
      <c r="D818" s="12"/>
      <c r="E818" s="12"/>
      <c r="F818" s="12"/>
      <c r="G818" s="12"/>
    </row>
    <row r="819" ht="15.75" customHeight="1">
      <c r="A819" s="12"/>
      <c r="B819" s="12"/>
      <c r="C819" s="12"/>
      <c r="D819" s="12"/>
      <c r="E819" s="12"/>
      <c r="F819" s="12"/>
      <c r="G819" s="12"/>
    </row>
    <row r="820" ht="15.75" customHeight="1">
      <c r="A820" s="12"/>
      <c r="B820" s="12"/>
      <c r="C820" s="12"/>
      <c r="D820" s="12"/>
      <c r="E820" s="12"/>
      <c r="F820" s="12"/>
      <c r="G820" s="12"/>
    </row>
    <row r="821" ht="15.75" customHeight="1">
      <c r="A821" s="12"/>
      <c r="B821" s="12"/>
      <c r="C821" s="12"/>
      <c r="D821" s="12"/>
      <c r="E821" s="12"/>
      <c r="F821" s="12"/>
      <c r="G821" s="12"/>
    </row>
    <row r="822" ht="15.75" customHeight="1">
      <c r="A822" s="12"/>
      <c r="B822" s="12"/>
      <c r="C822" s="12"/>
      <c r="D822" s="12"/>
      <c r="E822" s="12"/>
      <c r="F822" s="12"/>
      <c r="G822" s="12"/>
    </row>
    <row r="823" ht="15.75" customHeight="1">
      <c r="A823" s="12"/>
      <c r="B823" s="12"/>
      <c r="C823" s="12"/>
      <c r="D823" s="12"/>
      <c r="E823" s="12"/>
      <c r="F823" s="12"/>
      <c r="G823" s="12"/>
    </row>
    <row r="824" ht="15.75" customHeight="1">
      <c r="A824" s="12"/>
      <c r="B824" s="12"/>
      <c r="C824" s="12"/>
      <c r="D824" s="12"/>
      <c r="E824" s="12"/>
      <c r="F824" s="12"/>
      <c r="G824" s="12"/>
    </row>
    <row r="825" ht="15.75" customHeight="1">
      <c r="A825" s="12"/>
      <c r="B825" s="12"/>
      <c r="C825" s="12"/>
      <c r="D825" s="12"/>
      <c r="E825" s="12"/>
      <c r="F825" s="12"/>
      <c r="G825" s="12"/>
    </row>
    <row r="826" ht="15.75" customHeight="1">
      <c r="A826" s="12"/>
      <c r="B826" s="12"/>
      <c r="C826" s="12"/>
      <c r="D826" s="12"/>
      <c r="E826" s="12"/>
      <c r="F826" s="12"/>
      <c r="G826" s="12"/>
    </row>
    <row r="827" ht="15.75" customHeight="1">
      <c r="A827" s="12"/>
      <c r="B827" s="12"/>
      <c r="C827" s="12"/>
      <c r="D827" s="12"/>
      <c r="E827" s="12"/>
      <c r="F827" s="12"/>
      <c r="G827" s="12"/>
    </row>
    <row r="828" ht="15.75" customHeight="1">
      <c r="A828" s="12"/>
      <c r="B828" s="12"/>
      <c r="C828" s="12"/>
      <c r="D828" s="12"/>
      <c r="E828" s="12"/>
      <c r="F828" s="12"/>
      <c r="G828" s="12"/>
    </row>
    <row r="829" ht="15.75" customHeight="1">
      <c r="A829" s="12"/>
      <c r="B829" s="12"/>
      <c r="C829" s="12"/>
      <c r="D829" s="12"/>
      <c r="E829" s="12"/>
      <c r="F829" s="12"/>
      <c r="G829" s="12"/>
    </row>
    <row r="830" ht="15.75" customHeight="1">
      <c r="A830" s="12"/>
      <c r="B830" s="12"/>
      <c r="C830" s="12"/>
      <c r="D830" s="12"/>
      <c r="E830" s="12"/>
      <c r="F830" s="12"/>
      <c r="G830" s="12"/>
    </row>
    <row r="831" ht="15.75" customHeight="1">
      <c r="A831" s="12"/>
      <c r="B831" s="12"/>
      <c r="C831" s="12"/>
      <c r="D831" s="12"/>
      <c r="E831" s="12"/>
      <c r="F831" s="12"/>
      <c r="G831" s="12"/>
    </row>
    <row r="832" ht="15.75" customHeight="1">
      <c r="A832" s="12"/>
      <c r="B832" s="12"/>
      <c r="C832" s="12"/>
      <c r="D832" s="12"/>
      <c r="E832" s="12"/>
      <c r="F832" s="12"/>
      <c r="G832" s="12"/>
    </row>
    <row r="833" ht="15.75" customHeight="1">
      <c r="A833" s="12"/>
      <c r="B833" s="12"/>
      <c r="C833" s="12"/>
      <c r="D833" s="12"/>
      <c r="E833" s="12"/>
      <c r="F833" s="12"/>
      <c r="G833" s="12"/>
    </row>
    <row r="834" ht="15.75" customHeight="1">
      <c r="A834" s="12"/>
      <c r="B834" s="12"/>
      <c r="C834" s="12"/>
      <c r="D834" s="12"/>
      <c r="E834" s="12"/>
      <c r="F834" s="12"/>
      <c r="G834" s="12"/>
    </row>
    <row r="835" ht="15.75" customHeight="1">
      <c r="A835" s="12"/>
      <c r="B835" s="12"/>
      <c r="C835" s="12"/>
      <c r="D835" s="12"/>
      <c r="E835" s="12"/>
      <c r="F835" s="12"/>
      <c r="G835" s="12"/>
    </row>
    <row r="836" ht="15.75" customHeight="1">
      <c r="A836" s="12"/>
      <c r="B836" s="12"/>
      <c r="C836" s="12"/>
      <c r="D836" s="12"/>
      <c r="E836" s="12"/>
      <c r="F836" s="12"/>
      <c r="G836" s="12"/>
    </row>
    <row r="837" ht="15.75" customHeight="1">
      <c r="A837" s="12"/>
      <c r="B837" s="12"/>
      <c r="C837" s="12"/>
      <c r="D837" s="12"/>
      <c r="E837" s="12"/>
      <c r="F837" s="12"/>
      <c r="G837" s="12"/>
    </row>
    <row r="838" ht="15.75" customHeight="1">
      <c r="A838" s="12"/>
      <c r="B838" s="12"/>
      <c r="C838" s="12"/>
      <c r="D838" s="12"/>
      <c r="E838" s="12"/>
      <c r="F838" s="12"/>
      <c r="G838" s="12"/>
    </row>
    <row r="839" ht="15.75" customHeight="1">
      <c r="A839" s="12"/>
      <c r="B839" s="12"/>
      <c r="C839" s="12"/>
      <c r="D839" s="12"/>
      <c r="E839" s="12"/>
      <c r="F839" s="12"/>
      <c r="G839" s="12"/>
    </row>
    <row r="840" ht="15.75" customHeight="1">
      <c r="A840" s="12"/>
      <c r="B840" s="12"/>
      <c r="C840" s="12"/>
      <c r="D840" s="12"/>
      <c r="E840" s="12"/>
      <c r="F840" s="12"/>
      <c r="G840" s="12"/>
    </row>
    <row r="841" ht="15.75" customHeight="1">
      <c r="A841" s="12"/>
      <c r="B841" s="12"/>
      <c r="C841" s="12"/>
      <c r="D841" s="12"/>
      <c r="E841" s="12"/>
      <c r="F841" s="12"/>
      <c r="G841" s="12"/>
    </row>
    <row r="842" ht="15.75" customHeight="1">
      <c r="A842" s="12"/>
      <c r="B842" s="12"/>
      <c r="C842" s="12"/>
      <c r="D842" s="12"/>
      <c r="E842" s="12"/>
      <c r="F842" s="12"/>
      <c r="G842" s="12"/>
    </row>
    <row r="843" ht="15.75" customHeight="1">
      <c r="A843" s="12"/>
      <c r="B843" s="12"/>
      <c r="C843" s="12"/>
      <c r="D843" s="12"/>
      <c r="E843" s="12"/>
      <c r="F843" s="12"/>
      <c r="G843" s="12"/>
    </row>
    <row r="844" ht="15.75" customHeight="1">
      <c r="A844" s="12"/>
      <c r="B844" s="12"/>
      <c r="C844" s="12"/>
      <c r="D844" s="12"/>
      <c r="E844" s="12"/>
      <c r="F844" s="12"/>
      <c r="G844" s="12"/>
    </row>
    <row r="845" ht="15.75" customHeight="1">
      <c r="A845" s="12"/>
      <c r="B845" s="12"/>
      <c r="C845" s="12"/>
      <c r="D845" s="12"/>
      <c r="E845" s="12"/>
      <c r="F845" s="12"/>
      <c r="G845" s="12"/>
    </row>
    <row r="846" ht="15.75" customHeight="1">
      <c r="A846" s="12"/>
      <c r="B846" s="12"/>
      <c r="C846" s="12"/>
      <c r="D846" s="12"/>
      <c r="E846" s="12"/>
      <c r="F846" s="12"/>
      <c r="G846" s="12"/>
    </row>
    <row r="847" ht="15.75" customHeight="1">
      <c r="A847" s="12"/>
      <c r="B847" s="12"/>
      <c r="C847" s="12"/>
      <c r="D847" s="12"/>
      <c r="E847" s="12"/>
      <c r="F847" s="12"/>
      <c r="G847" s="12"/>
    </row>
    <row r="848" ht="15.75" customHeight="1">
      <c r="A848" s="12"/>
      <c r="B848" s="12"/>
      <c r="C848" s="12"/>
      <c r="D848" s="12"/>
      <c r="E848" s="12"/>
      <c r="F848" s="12"/>
      <c r="G848" s="12"/>
    </row>
    <row r="849" ht="15.75" customHeight="1">
      <c r="A849" s="12"/>
      <c r="B849" s="12"/>
      <c r="C849" s="12"/>
      <c r="D849" s="12"/>
      <c r="E849" s="12"/>
      <c r="F849" s="12"/>
      <c r="G849" s="12"/>
    </row>
    <row r="850" ht="15.75" customHeight="1">
      <c r="A850" s="12"/>
      <c r="B850" s="12"/>
      <c r="C850" s="12"/>
      <c r="D850" s="12"/>
      <c r="E850" s="12"/>
      <c r="F850" s="12"/>
      <c r="G850" s="12"/>
    </row>
    <row r="851" ht="15.75" customHeight="1">
      <c r="A851" s="12"/>
      <c r="B851" s="12"/>
      <c r="C851" s="12"/>
      <c r="D851" s="12"/>
      <c r="E851" s="12"/>
      <c r="F851" s="12"/>
      <c r="G851" s="12"/>
    </row>
    <row r="852" ht="15.75" customHeight="1">
      <c r="A852" s="12"/>
      <c r="B852" s="12"/>
      <c r="C852" s="12"/>
      <c r="D852" s="12"/>
      <c r="E852" s="12"/>
      <c r="F852" s="12"/>
      <c r="G852" s="12"/>
    </row>
    <row r="853" ht="15.75" customHeight="1">
      <c r="A853" s="12"/>
      <c r="B853" s="12"/>
      <c r="C853" s="12"/>
      <c r="D853" s="12"/>
      <c r="E853" s="12"/>
      <c r="F853" s="12"/>
      <c r="G853" s="12"/>
    </row>
    <row r="854" ht="15.75" customHeight="1">
      <c r="A854" s="12"/>
      <c r="B854" s="12"/>
      <c r="C854" s="12"/>
      <c r="D854" s="12"/>
      <c r="E854" s="12"/>
      <c r="F854" s="12"/>
      <c r="G854" s="12"/>
    </row>
    <row r="855" ht="15.75" customHeight="1">
      <c r="A855" s="12"/>
      <c r="B855" s="12"/>
      <c r="C855" s="12"/>
      <c r="D855" s="12"/>
      <c r="E855" s="12"/>
      <c r="F855" s="12"/>
      <c r="G855" s="12"/>
    </row>
    <row r="856" ht="15.75" customHeight="1">
      <c r="A856" s="12"/>
      <c r="B856" s="12"/>
      <c r="C856" s="12"/>
      <c r="D856" s="12"/>
      <c r="E856" s="12"/>
      <c r="F856" s="12"/>
      <c r="G856" s="12"/>
    </row>
    <row r="857" ht="15.75" customHeight="1">
      <c r="A857" s="12"/>
      <c r="B857" s="12"/>
      <c r="C857" s="12"/>
      <c r="D857" s="12"/>
      <c r="E857" s="12"/>
      <c r="F857" s="12"/>
      <c r="G857" s="12"/>
    </row>
    <row r="858" ht="15.75" customHeight="1">
      <c r="A858" s="12"/>
      <c r="B858" s="12"/>
      <c r="C858" s="12"/>
      <c r="D858" s="12"/>
      <c r="E858" s="12"/>
      <c r="F858" s="12"/>
      <c r="G858" s="12"/>
    </row>
    <row r="859" ht="15.75" customHeight="1">
      <c r="A859" s="12"/>
      <c r="B859" s="12"/>
      <c r="C859" s="12"/>
      <c r="D859" s="12"/>
      <c r="E859" s="12"/>
      <c r="F859" s="12"/>
      <c r="G859" s="12"/>
    </row>
    <row r="860" ht="15.75" customHeight="1">
      <c r="A860" s="12"/>
      <c r="B860" s="12"/>
      <c r="C860" s="12"/>
      <c r="D860" s="12"/>
      <c r="E860" s="12"/>
      <c r="F860" s="12"/>
      <c r="G860" s="12"/>
    </row>
    <row r="861" ht="15.75" customHeight="1">
      <c r="A861" s="12"/>
      <c r="B861" s="12"/>
      <c r="C861" s="12"/>
      <c r="D861" s="12"/>
      <c r="E861" s="12"/>
      <c r="F861" s="12"/>
      <c r="G861" s="12"/>
    </row>
    <row r="862" ht="15.75" customHeight="1">
      <c r="A862" s="12"/>
      <c r="B862" s="12"/>
      <c r="C862" s="12"/>
      <c r="D862" s="12"/>
      <c r="E862" s="12"/>
      <c r="F862" s="12"/>
      <c r="G862" s="12"/>
    </row>
    <row r="863" ht="15.75" customHeight="1">
      <c r="A863" s="12"/>
      <c r="B863" s="12"/>
      <c r="C863" s="12"/>
      <c r="D863" s="12"/>
      <c r="E863" s="12"/>
      <c r="F863" s="12"/>
      <c r="G863" s="12"/>
    </row>
    <row r="864" ht="15.75" customHeight="1">
      <c r="A864" s="12"/>
      <c r="B864" s="12"/>
      <c r="C864" s="12"/>
      <c r="D864" s="12"/>
      <c r="E864" s="12"/>
      <c r="F864" s="12"/>
      <c r="G864" s="12"/>
    </row>
    <row r="865" ht="15.75" customHeight="1">
      <c r="A865" s="12"/>
      <c r="B865" s="12"/>
      <c r="C865" s="12"/>
      <c r="D865" s="12"/>
      <c r="E865" s="12"/>
      <c r="F865" s="12"/>
      <c r="G865" s="12"/>
    </row>
    <row r="866" ht="15.75" customHeight="1">
      <c r="A866" s="12"/>
      <c r="B866" s="12"/>
      <c r="C866" s="12"/>
      <c r="D866" s="12"/>
      <c r="E866" s="12"/>
      <c r="F866" s="12"/>
      <c r="G866" s="12"/>
    </row>
    <row r="867" ht="15.75" customHeight="1">
      <c r="A867" s="12"/>
      <c r="B867" s="12"/>
      <c r="C867" s="12"/>
      <c r="D867" s="12"/>
      <c r="E867" s="12"/>
      <c r="F867" s="12"/>
      <c r="G867" s="12"/>
    </row>
    <row r="868" ht="15.75" customHeight="1">
      <c r="A868" s="12"/>
      <c r="B868" s="12"/>
      <c r="C868" s="12"/>
      <c r="D868" s="12"/>
      <c r="E868" s="12"/>
      <c r="F868" s="12"/>
      <c r="G868" s="12"/>
    </row>
    <row r="869" ht="15.75" customHeight="1">
      <c r="A869" s="12"/>
      <c r="B869" s="12"/>
      <c r="C869" s="12"/>
      <c r="D869" s="12"/>
      <c r="E869" s="12"/>
      <c r="F869" s="12"/>
      <c r="G869" s="12"/>
    </row>
    <row r="870" ht="15.75" customHeight="1">
      <c r="A870" s="12"/>
      <c r="B870" s="12"/>
      <c r="C870" s="12"/>
      <c r="D870" s="12"/>
      <c r="E870" s="12"/>
      <c r="F870" s="12"/>
      <c r="G870" s="12"/>
    </row>
    <row r="871" ht="15.75" customHeight="1">
      <c r="A871" s="12"/>
      <c r="B871" s="12"/>
      <c r="C871" s="12"/>
      <c r="D871" s="12"/>
      <c r="E871" s="12"/>
      <c r="F871" s="12"/>
      <c r="G871" s="12"/>
    </row>
    <row r="872" ht="15.75" customHeight="1">
      <c r="A872" s="12"/>
      <c r="B872" s="12"/>
      <c r="C872" s="12"/>
      <c r="D872" s="12"/>
      <c r="E872" s="12"/>
      <c r="F872" s="12"/>
      <c r="G872" s="12"/>
    </row>
    <row r="873" ht="15.75" customHeight="1">
      <c r="A873" s="12"/>
      <c r="B873" s="12"/>
      <c r="C873" s="12"/>
      <c r="D873" s="12"/>
      <c r="E873" s="12"/>
      <c r="F873" s="12"/>
      <c r="G873" s="12"/>
    </row>
    <row r="874" ht="15.75" customHeight="1">
      <c r="A874" s="12"/>
      <c r="B874" s="12"/>
      <c r="C874" s="12"/>
      <c r="D874" s="12"/>
      <c r="E874" s="12"/>
      <c r="F874" s="12"/>
      <c r="G874" s="12"/>
    </row>
    <row r="875" ht="15.75" customHeight="1">
      <c r="A875" s="12"/>
      <c r="B875" s="12"/>
      <c r="C875" s="12"/>
      <c r="D875" s="12"/>
      <c r="E875" s="12"/>
      <c r="F875" s="12"/>
      <c r="G875" s="12"/>
    </row>
    <row r="876" ht="15.75" customHeight="1">
      <c r="A876" s="12"/>
      <c r="B876" s="12"/>
      <c r="C876" s="12"/>
      <c r="D876" s="12"/>
      <c r="E876" s="12"/>
      <c r="F876" s="12"/>
      <c r="G876" s="12"/>
    </row>
    <row r="877" ht="15.75" customHeight="1">
      <c r="A877" s="12"/>
      <c r="B877" s="12"/>
      <c r="C877" s="12"/>
      <c r="D877" s="12"/>
      <c r="E877" s="12"/>
      <c r="F877" s="12"/>
      <c r="G877" s="12"/>
    </row>
    <row r="878" ht="15.75" customHeight="1">
      <c r="A878" s="12"/>
      <c r="B878" s="12"/>
      <c r="C878" s="12"/>
      <c r="D878" s="12"/>
      <c r="E878" s="12"/>
      <c r="F878" s="12"/>
      <c r="G878" s="12"/>
    </row>
    <row r="879" ht="15.75" customHeight="1">
      <c r="A879" s="12"/>
      <c r="B879" s="12"/>
      <c r="C879" s="12"/>
      <c r="D879" s="12"/>
      <c r="E879" s="12"/>
      <c r="F879" s="12"/>
      <c r="G879" s="12"/>
    </row>
    <row r="880" ht="15.75" customHeight="1">
      <c r="A880" s="12"/>
      <c r="B880" s="12"/>
      <c r="C880" s="12"/>
      <c r="D880" s="12"/>
      <c r="E880" s="12"/>
      <c r="F880" s="12"/>
      <c r="G880" s="12"/>
    </row>
    <row r="881" ht="15.75" customHeight="1">
      <c r="A881" s="12"/>
      <c r="B881" s="12"/>
      <c r="C881" s="12"/>
      <c r="D881" s="12"/>
      <c r="E881" s="12"/>
      <c r="F881" s="12"/>
      <c r="G881" s="12"/>
    </row>
    <row r="882" ht="15.75" customHeight="1">
      <c r="A882" s="12"/>
      <c r="B882" s="12"/>
      <c r="C882" s="12"/>
      <c r="D882" s="12"/>
      <c r="E882" s="12"/>
      <c r="F882" s="12"/>
      <c r="G882" s="12"/>
    </row>
    <row r="883" ht="15.75" customHeight="1">
      <c r="A883" s="12"/>
      <c r="B883" s="12"/>
      <c r="C883" s="12"/>
      <c r="D883" s="12"/>
      <c r="E883" s="12"/>
      <c r="F883" s="12"/>
      <c r="G883" s="12"/>
    </row>
    <row r="884" ht="15.75" customHeight="1">
      <c r="A884" s="12"/>
      <c r="B884" s="12"/>
      <c r="C884" s="12"/>
      <c r="D884" s="12"/>
      <c r="E884" s="12"/>
      <c r="F884" s="12"/>
      <c r="G884" s="12"/>
    </row>
    <row r="885" ht="15.75" customHeight="1">
      <c r="A885" s="12"/>
      <c r="B885" s="12"/>
      <c r="C885" s="12"/>
      <c r="D885" s="12"/>
      <c r="E885" s="12"/>
      <c r="F885" s="12"/>
      <c r="G885" s="12"/>
    </row>
    <row r="886" ht="15.75" customHeight="1">
      <c r="A886" s="12"/>
      <c r="B886" s="12"/>
      <c r="C886" s="12"/>
      <c r="D886" s="12"/>
      <c r="E886" s="12"/>
      <c r="F886" s="12"/>
      <c r="G886" s="12"/>
    </row>
    <row r="887" ht="15.75" customHeight="1">
      <c r="A887" s="12"/>
      <c r="B887" s="12"/>
      <c r="C887" s="12"/>
      <c r="D887" s="12"/>
      <c r="E887" s="12"/>
      <c r="F887" s="12"/>
      <c r="G887" s="12"/>
    </row>
    <row r="888" ht="15.75" customHeight="1">
      <c r="A888" s="12"/>
      <c r="B888" s="12"/>
      <c r="C888" s="12"/>
      <c r="D888" s="12"/>
      <c r="E888" s="12"/>
      <c r="F888" s="12"/>
      <c r="G888" s="12"/>
    </row>
    <row r="889" ht="15.75" customHeight="1">
      <c r="A889" s="12"/>
      <c r="B889" s="12"/>
      <c r="C889" s="12"/>
      <c r="D889" s="12"/>
      <c r="E889" s="12"/>
      <c r="F889" s="12"/>
      <c r="G889" s="12"/>
    </row>
    <row r="890" ht="15.75" customHeight="1">
      <c r="A890" s="12"/>
      <c r="B890" s="12"/>
      <c r="C890" s="12"/>
      <c r="D890" s="12"/>
      <c r="E890" s="12"/>
      <c r="F890" s="12"/>
      <c r="G890" s="12"/>
    </row>
    <row r="891" ht="15.75" customHeight="1">
      <c r="A891" s="12"/>
      <c r="B891" s="12"/>
      <c r="C891" s="12"/>
      <c r="D891" s="12"/>
      <c r="E891" s="12"/>
      <c r="F891" s="12"/>
      <c r="G891" s="12"/>
    </row>
    <row r="892" ht="15.75" customHeight="1">
      <c r="A892" s="12"/>
      <c r="B892" s="12"/>
      <c r="C892" s="12"/>
      <c r="D892" s="12"/>
      <c r="E892" s="12"/>
      <c r="F892" s="12"/>
      <c r="G892" s="12"/>
    </row>
    <row r="893" ht="15.75" customHeight="1">
      <c r="A893" s="12"/>
      <c r="B893" s="12"/>
      <c r="C893" s="12"/>
      <c r="D893" s="12"/>
      <c r="E893" s="12"/>
      <c r="F893" s="12"/>
      <c r="G893" s="12"/>
    </row>
    <row r="894" ht="15.75" customHeight="1">
      <c r="A894" s="12"/>
      <c r="B894" s="12"/>
      <c r="C894" s="12"/>
      <c r="D894" s="12"/>
      <c r="E894" s="12"/>
      <c r="F894" s="12"/>
      <c r="G894" s="12"/>
    </row>
    <row r="895" ht="15.75" customHeight="1">
      <c r="A895" s="12"/>
      <c r="B895" s="12"/>
      <c r="C895" s="12"/>
      <c r="D895" s="12"/>
      <c r="E895" s="12"/>
      <c r="F895" s="12"/>
      <c r="G895" s="12"/>
    </row>
    <row r="896" ht="15.75" customHeight="1">
      <c r="A896" s="12"/>
      <c r="B896" s="12"/>
      <c r="C896" s="12"/>
      <c r="D896" s="12"/>
      <c r="E896" s="12"/>
      <c r="F896" s="12"/>
      <c r="G896" s="12"/>
    </row>
    <row r="897" ht="15.75" customHeight="1">
      <c r="A897" s="12"/>
      <c r="B897" s="12"/>
      <c r="C897" s="12"/>
      <c r="D897" s="12"/>
      <c r="E897" s="12"/>
      <c r="F897" s="12"/>
      <c r="G897" s="12"/>
    </row>
    <row r="898" ht="15.75" customHeight="1">
      <c r="A898" s="12"/>
      <c r="B898" s="12"/>
      <c r="C898" s="12"/>
      <c r="D898" s="12"/>
      <c r="E898" s="12"/>
      <c r="F898" s="12"/>
      <c r="G898" s="12"/>
    </row>
    <row r="899" ht="15.75" customHeight="1">
      <c r="A899" s="12"/>
      <c r="B899" s="12"/>
      <c r="C899" s="12"/>
      <c r="D899" s="12"/>
      <c r="E899" s="12"/>
      <c r="F899" s="12"/>
      <c r="G899" s="12"/>
    </row>
    <row r="900" ht="15.75" customHeight="1">
      <c r="A900" s="12"/>
      <c r="B900" s="12"/>
      <c r="C900" s="12"/>
      <c r="D900" s="12"/>
      <c r="E900" s="12"/>
      <c r="F900" s="12"/>
      <c r="G900" s="12"/>
    </row>
    <row r="901" ht="15.75" customHeight="1">
      <c r="A901" s="12"/>
      <c r="B901" s="12"/>
      <c r="C901" s="12"/>
      <c r="D901" s="12"/>
      <c r="E901" s="12"/>
      <c r="F901" s="12"/>
      <c r="G901" s="12"/>
    </row>
    <row r="902" ht="15.75" customHeight="1">
      <c r="A902" s="12"/>
      <c r="B902" s="12"/>
      <c r="C902" s="12"/>
      <c r="D902" s="12"/>
      <c r="E902" s="12"/>
      <c r="F902" s="12"/>
      <c r="G902" s="12"/>
    </row>
    <row r="903" ht="15.75" customHeight="1">
      <c r="A903" s="12"/>
      <c r="B903" s="12"/>
      <c r="C903" s="12"/>
      <c r="D903" s="12"/>
      <c r="E903" s="12"/>
      <c r="F903" s="12"/>
      <c r="G903" s="12"/>
    </row>
    <row r="904" ht="15.75" customHeight="1">
      <c r="A904" s="12"/>
      <c r="B904" s="12"/>
      <c r="C904" s="12"/>
      <c r="D904" s="12"/>
      <c r="E904" s="12"/>
      <c r="F904" s="12"/>
      <c r="G904" s="12"/>
    </row>
    <row r="905" ht="15.75" customHeight="1">
      <c r="A905" s="12"/>
      <c r="B905" s="12"/>
      <c r="C905" s="12"/>
      <c r="D905" s="12"/>
      <c r="E905" s="12"/>
      <c r="F905" s="12"/>
      <c r="G905" s="12"/>
    </row>
    <row r="906" ht="15.75" customHeight="1">
      <c r="A906" s="12"/>
      <c r="B906" s="12"/>
      <c r="C906" s="12"/>
      <c r="D906" s="12"/>
      <c r="E906" s="12"/>
      <c r="F906" s="12"/>
      <c r="G906" s="12"/>
    </row>
    <row r="907" ht="15.75" customHeight="1">
      <c r="A907" s="12"/>
      <c r="B907" s="12"/>
      <c r="C907" s="12"/>
      <c r="D907" s="12"/>
      <c r="E907" s="12"/>
      <c r="F907" s="12"/>
      <c r="G907" s="12"/>
    </row>
    <row r="908" ht="15.75" customHeight="1">
      <c r="A908" s="12"/>
      <c r="B908" s="12"/>
      <c r="C908" s="12"/>
      <c r="D908" s="12"/>
      <c r="E908" s="12"/>
      <c r="F908" s="12"/>
      <c r="G908" s="12"/>
    </row>
    <row r="909" ht="15.75" customHeight="1">
      <c r="A909" s="12"/>
      <c r="B909" s="12"/>
      <c r="C909" s="12"/>
      <c r="D909" s="12"/>
      <c r="E909" s="12"/>
      <c r="F909" s="12"/>
      <c r="G909" s="12"/>
    </row>
    <row r="910" ht="15.75" customHeight="1">
      <c r="A910" s="12"/>
      <c r="B910" s="12"/>
      <c r="C910" s="12"/>
      <c r="D910" s="12"/>
      <c r="E910" s="12"/>
      <c r="F910" s="12"/>
      <c r="G910" s="12"/>
    </row>
    <row r="911" ht="15.75" customHeight="1">
      <c r="A911" s="12"/>
      <c r="B911" s="12"/>
      <c r="C911" s="12"/>
      <c r="D911" s="12"/>
      <c r="E911" s="12"/>
      <c r="F911" s="12"/>
      <c r="G911" s="12"/>
    </row>
    <row r="912" ht="15.75" customHeight="1">
      <c r="A912" s="12"/>
      <c r="B912" s="12"/>
      <c r="C912" s="12"/>
      <c r="D912" s="12"/>
      <c r="E912" s="12"/>
      <c r="F912" s="12"/>
      <c r="G912" s="12"/>
    </row>
    <row r="913" ht="15.75" customHeight="1">
      <c r="A913" s="12"/>
      <c r="B913" s="12"/>
      <c r="C913" s="12"/>
      <c r="D913" s="12"/>
      <c r="E913" s="12"/>
      <c r="F913" s="12"/>
      <c r="G913" s="12"/>
    </row>
    <row r="914" ht="15.75" customHeight="1">
      <c r="A914" s="12"/>
      <c r="B914" s="12"/>
      <c r="C914" s="12"/>
      <c r="D914" s="12"/>
      <c r="E914" s="12"/>
      <c r="F914" s="12"/>
      <c r="G914" s="12"/>
    </row>
    <row r="915" ht="15.75" customHeight="1">
      <c r="A915" s="12"/>
      <c r="B915" s="12"/>
      <c r="C915" s="12"/>
      <c r="D915" s="12"/>
      <c r="E915" s="12"/>
      <c r="F915" s="12"/>
      <c r="G915" s="12"/>
    </row>
    <row r="916" ht="15.75" customHeight="1">
      <c r="A916" s="12"/>
      <c r="B916" s="12"/>
      <c r="C916" s="12"/>
      <c r="D916" s="12"/>
      <c r="E916" s="12"/>
      <c r="F916" s="12"/>
      <c r="G916" s="12"/>
    </row>
    <row r="917" ht="15.75" customHeight="1">
      <c r="A917" s="12"/>
      <c r="B917" s="12"/>
      <c r="C917" s="12"/>
      <c r="D917" s="12"/>
      <c r="E917" s="12"/>
      <c r="F917" s="12"/>
      <c r="G917" s="12"/>
    </row>
    <row r="918" ht="15.75" customHeight="1">
      <c r="A918" s="12"/>
      <c r="B918" s="12"/>
      <c r="C918" s="12"/>
      <c r="D918" s="12"/>
      <c r="E918" s="12"/>
      <c r="F918" s="12"/>
      <c r="G918" s="12"/>
    </row>
    <row r="919" ht="15.75" customHeight="1">
      <c r="A919" s="12"/>
      <c r="B919" s="12"/>
      <c r="C919" s="12"/>
      <c r="D919" s="12"/>
      <c r="E919" s="12"/>
      <c r="F919" s="12"/>
      <c r="G919" s="12"/>
    </row>
    <row r="920" ht="15.75" customHeight="1">
      <c r="A920" s="12"/>
      <c r="B920" s="12"/>
      <c r="C920" s="12"/>
      <c r="D920" s="12"/>
      <c r="E920" s="12"/>
      <c r="F920" s="12"/>
      <c r="G920" s="12"/>
    </row>
    <row r="921" ht="15.75" customHeight="1">
      <c r="A921" s="12"/>
      <c r="B921" s="12"/>
      <c r="C921" s="12"/>
      <c r="D921" s="12"/>
      <c r="E921" s="12"/>
      <c r="F921" s="12"/>
      <c r="G921" s="12"/>
    </row>
    <row r="922" ht="15.75" customHeight="1">
      <c r="A922" s="12"/>
      <c r="B922" s="12"/>
      <c r="C922" s="12"/>
      <c r="D922" s="12"/>
      <c r="E922" s="12"/>
      <c r="F922" s="12"/>
      <c r="G922" s="12"/>
    </row>
    <row r="923" ht="15.75" customHeight="1">
      <c r="A923" s="12"/>
      <c r="B923" s="12"/>
      <c r="C923" s="12"/>
      <c r="D923" s="12"/>
      <c r="E923" s="12"/>
      <c r="F923" s="12"/>
      <c r="G923" s="12"/>
    </row>
    <row r="924" ht="15.75" customHeight="1">
      <c r="A924" s="12"/>
      <c r="B924" s="12"/>
      <c r="C924" s="12"/>
      <c r="D924" s="12"/>
      <c r="E924" s="12"/>
      <c r="F924" s="12"/>
      <c r="G924" s="12"/>
    </row>
    <row r="925" ht="15.75" customHeight="1">
      <c r="A925" s="12"/>
      <c r="B925" s="12"/>
      <c r="C925" s="12"/>
      <c r="D925" s="12"/>
      <c r="E925" s="12"/>
      <c r="F925" s="12"/>
      <c r="G925" s="12"/>
    </row>
    <row r="926" ht="15.75" customHeight="1">
      <c r="A926" s="12"/>
      <c r="B926" s="12"/>
      <c r="C926" s="12"/>
      <c r="D926" s="12"/>
      <c r="E926" s="12"/>
      <c r="F926" s="12"/>
      <c r="G926" s="12"/>
    </row>
    <row r="927" ht="15.75" customHeight="1">
      <c r="A927" s="12"/>
      <c r="B927" s="12"/>
      <c r="C927" s="12"/>
      <c r="D927" s="12"/>
      <c r="E927" s="12"/>
      <c r="F927" s="12"/>
      <c r="G927" s="12"/>
    </row>
    <row r="928" ht="15.75" customHeight="1">
      <c r="A928" s="12"/>
      <c r="B928" s="12"/>
      <c r="C928" s="12"/>
      <c r="D928" s="12"/>
      <c r="E928" s="12"/>
      <c r="F928" s="12"/>
      <c r="G928" s="12"/>
    </row>
    <row r="929" ht="15.75" customHeight="1">
      <c r="A929" s="12"/>
      <c r="B929" s="12"/>
      <c r="C929" s="12"/>
      <c r="D929" s="12"/>
      <c r="E929" s="12"/>
      <c r="F929" s="12"/>
      <c r="G929" s="12"/>
    </row>
    <row r="930" ht="15.75" customHeight="1">
      <c r="A930" s="12"/>
      <c r="B930" s="12"/>
      <c r="C930" s="12"/>
      <c r="D930" s="12"/>
      <c r="E930" s="12"/>
      <c r="F930" s="12"/>
      <c r="G930" s="12"/>
    </row>
    <row r="931" ht="15.75" customHeight="1">
      <c r="A931" s="12"/>
      <c r="B931" s="12"/>
      <c r="C931" s="12"/>
      <c r="D931" s="12"/>
      <c r="E931" s="12"/>
      <c r="F931" s="12"/>
      <c r="G931" s="12"/>
    </row>
    <row r="932" ht="15.75" customHeight="1">
      <c r="A932" s="12"/>
      <c r="B932" s="12"/>
      <c r="C932" s="12"/>
      <c r="D932" s="12"/>
      <c r="E932" s="12"/>
      <c r="F932" s="12"/>
      <c r="G932" s="12"/>
    </row>
    <row r="933" ht="15.75" customHeight="1">
      <c r="A933" s="12"/>
      <c r="B933" s="12"/>
      <c r="C933" s="12"/>
      <c r="D933" s="12"/>
      <c r="E933" s="12"/>
      <c r="F933" s="12"/>
      <c r="G933" s="12"/>
    </row>
    <row r="934" ht="15.75" customHeight="1">
      <c r="A934" s="12"/>
      <c r="B934" s="12"/>
      <c r="C934" s="12"/>
      <c r="D934" s="12"/>
      <c r="E934" s="12"/>
      <c r="F934" s="12"/>
      <c r="G934" s="12"/>
    </row>
    <row r="935" ht="15.75" customHeight="1">
      <c r="A935" s="12"/>
      <c r="B935" s="12"/>
      <c r="C935" s="12"/>
      <c r="D935" s="12"/>
      <c r="E935" s="12"/>
      <c r="F935" s="12"/>
      <c r="G935" s="12"/>
    </row>
    <row r="936" ht="15.75" customHeight="1">
      <c r="A936" s="12"/>
      <c r="B936" s="12"/>
      <c r="C936" s="12"/>
      <c r="D936" s="12"/>
      <c r="E936" s="12"/>
      <c r="F936" s="12"/>
      <c r="G936" s="12"/>
    </row>
    <row r="937" ht="15.75" customHeight="1">
      <c r="A937" s="12"/>
      <c r="B937" s="12"/>
      <c r="C937" s="12"/>
      <c r="D937" s="12"/>
      <c r="E937" s="12"/>
      <c r="F937" s="12"/>
      <c r="G937" s="12"/>
    </row>
    <row r="938" ht="15.75" customHeight="1">
      <c r="A938" s="12"/>
      <c r="B938" s="12"/>
      <c r="C938" s="12"/>
      <c r="D938" s="12"/>
      <c r="E938" s="12"/>
      <c r="F938" s="12"/>
      <c r="G938" s="12"/>
    </row>
    <row r="939" ht="15.75" customHeight="1">
      <c r="A939" s="12"/>
      <c r="B939" s="12"/>
      <c r="C939" s="12"/>
      <c r="D939" s="12"/>
      <c r="E939" s="12"/>
      <c r="F939" s="12"/>
      <c r="G939" s="12"/>
    </row>
    <row r="940" ht="15.75" customHeight="1">
      <c r="A940" s="12"/>
      <c r="B940" s="12"/>
      <c r="C940" s="12"/>
      <c r="D940" s="12"/>
      <c r="E940" s="12"/>
      <c r="F940" s="12"/>
      <c r="G940" s="12"/>
    </row>
    <row r="941" ht="15.75" customHeight="1">
      <c r="A941" s="12"/>
      <c r="B941" s="12"/>
      <c r="C941" s="12"/>
      <c r="D941" s="12"/>
      <c r="E941" s="12"/>
      <c r="F941" s="12"/>
      <c r="G941" s="12"/>
    </row>
    <row r="942" ht="15.75" customHeight="1">
      <c r="A942" s="12"/>
      <c r="B942" s="12"/>
      <c r="C942" s="12"/>
      <c r="D942" s="12"/>
      <c r="E942" s="12"/>
      <c r="F942" s="12"/>
      <c r="G942" s="12"/>
    </row>
    <row r="943" ht="15.75" customHeight="1">
      <c r="A943" s="12"/>
      <c r="B943" s="12"/>
      <c r="C943" s="12"/>
      <c r="D943" s="12"/>
      <c r="E943" s="12"/>
      <c r="F943" s="12"/>
      <c r="G943" s="12"/>
    </row>
    <row r="944" ht="15.75" customHeight="1">
      <c r="A944" s="12"/>
      <c r="B944" s="12"/>
      <c r="C944" s="12"/>
      <c r="D944" s="12"/>
      <c r="E944" s="12"/>
      <c r="F944" s="12"/>
      <c r="G944" s="12"/>
    </row>
    <row r="945" ht="15.75" customHeight="1">
      <c r="A945" s="12"/>
      <c r="B945" s="12"/>
      <c r="C945" s="12"/>
      <c r="D945" s="12"/>
      <c r="E945" s="12"/>
      <c r="F945" s="12"/>
      <c r="G945" s="12"/>
    </row>
    <row r="946" ht="15.75" customHeight="1">
      <c r="A946" s="12"/>
      <c r="B946" s="12"/>
      <c r="C946" s="12"/>
      <c r="D946" s="12"/>
      <c r="E946" s="12"/>
      <c r="F946" s="12"/>
      <c r="G946" s="12"/>
    </row>
    <row r="947" ht="15.75" customHeight="1">
      <c r="A947" s="12"/>
      <c r="B947" s="12"/>
      <c r="C947" s="12"/>
      <c r="D947" s="12"/>
      <c r="E947" s="12"/>
      <c r="F947" s="12"/>
      <c r="G947" s="12"/>
    </row>
    <row r="948" ht="15.75" customHeight="1">
      <c r="A948" s="12"/>
      <c r="B948" s="12"/>
      <c r="C948" s="12"/>
      <c r="D948" s="12"/>
      <c r="E948" s="12"/>
      <c r="F948" s="12"/>
      <c r="G948" s="12"/>
    </row>
    <row r="949" ht="15.75" customHeight="1">
      <c r="A949" s="12"/>
      <c r="B949" s="12"/>
      <c r="C949" s="12"/>
      <c r="D949" s="12"/>
      <c r="E949" s="12"/>
      <c r="F949" s="12"/>
      <c r="G949" s="12"/>
    </row>
    <row r="950" ht="15.75" customHeight="1">
      <c r="A950" s="12"/>
      <c r="B950" s="12"/>
      <c r="C950" s="12"/>
      <c r="D950" s="12"/>
      <c r="E950" s="12"/>
      <c r="F950" s="12"/>
      <c r="G950" s="12"/>
    </row>
    <row r="951" ht="15.75" customHeight="1">
      <c r="A951" s="12"/>
      <c r="B951" s="12"/>
      <c r="C951" s="12"/>
      <c r="D951" s="12"/>
      <c r="E951" s="12"/>
      <c r="F951" s="12"/>
      <c r="G951" s="12"/>
    </row>
    <row r="952" ht="15.75" customHeight="1">
      <c r="A952" s="12"/>
      <c r="B952" s="12"/>
      <c r="C952" s="12"/>
      <c r="D952" s="12"/>
      <c r="E952" s="12"/>
      <c r="F952" s="12"/>
      <c r="G952" s="12"/>
    </row>
    <row r="953" ht="15.75" customHeight="1">
      <c r="A953" s="12"/>
      <c r="B953" s="12"/>
      <c r="C953" s="12"/>
      <c r="D953" s="12"/>
      <c r="E953" s="12"/>
      <c r="F953" s="12"/>
      <c r="G953" s="12"/>
    </row>
    <row r="954" ht="15.75" customHeight="1">
      <c r="A954" s="12"/>
      <c r="B954" s="12"/>
      <c r="C954" s="12"/>
      <c r="D954" s="12"/>
      <c r="E954" s="12"/>
      <c r="F954" s="12"/>
      <c r="G954" s="12"/>
    </row>
    <row r="955" ht="15.75" customHeight="1">
      <c r="A955" s="12"/>
      <c r="B955" s="12"/>
      <c r="C955" s="12"/>
      <c r="D955" s="12"/>
      <c r="E955" s="12"/>
      <c r="F955" s="12"/>
      <c r="G955" s="12"/>
    </row>
    <row r="956" ht="15.75" customHeight="1">
      <c r="A956" s="12"/>
      <c r="B956" s="12"/>
      <c r="C956" s="12"/>
      <c r="D956" s="12"/>
      <c r="E956" s="12"/>
      <c r="F956" s="12"/>
      <c r="G956" s="12"/>
    </row>
    <row r="957" ht="15.75" customHeight="1">
      <c r="A957" s="12"/>
      <c r="B957" s="12"/>
      <c r="C957" s="12"/>
      <c r="D957" s="12"/>
      <c r="E957" s="12"/>
      <c r="F957" s="12"/>
      <c r="G957" s="12"/>
    </row>
    <row r="958" ht="15.75" customHeight="1">
      <c r="A958" s="12"/>
      <c r="B958" s="12"/>
      <c r="C958" s="12"/>
      <c r="D958" s="12"/>
      <c r="E958" s="12"/>
      <c r="F958" s="12"/>
      <c r="G958" s="12"/>
    </row>
    <row r="959" ht="15.75" customHeight="1">
      <c r="A959" s="12"/>
      <c r="B959" s="12"/>
      <c r="C959" s="12"/>
      <c r="D959" s="12"/>
      <c r="E959" s="12"/>
      <c r="F959" s="12"/>
      <c r="G959" s="12"/>
    </row>
    <row r="960" ht="15.75" customHeight="1">
      <c r="A960" s="12"/>
      <c r="B960" s="12"/>
      <c r="C960" s="12"/>
      <c r="D960" s="12"/>
      <c r="E960" s="12"/>
      <c r="F960" s="12"/>
      <c r="G960" s="12"/>
    </row>
    <row r="961" ht="15.75" customHeight="1">
      <c r="A961" s="12"/>
      <c r="B961" s="12"/>
      <c r="C961" s="12"/>
      <c r="D961" s="12"/>
      <c r="E961" s="12"/>
      <c r="F961" s="12"/>
      <c r="G961" s="12"/>
    </row>
    <row r="962" ht="15.75" customHeight="1">
      <c r="A962" s="12"/>
      <c r="B962" s="12"/>
      <c r="C962" s="12"/>
      <c r="D962" s="12"/>
      <c r="E962" s="12"/>
      <c r="F962" s="12"/>
      <c r="G962" s="12"/>
    </row>
    <row r="963" ht="15.75" customHeight="1">
      <c r="A963" s="12"/>
      <c r="B963" s="12"/>
      <c r="C963" s="12"/>
      <c r="D963" s="12"/>
      <c r="E963" s="12"/>
      <c r="F963" s="12"/>
      <c r="G963" s="12"/>
    </row>
    <row r="964" ht="15.75" customHeight="1">
      <c r="A964" s="12"/>
      <c r="B964" s="12"/>
      <c r="C964" s="12"/>
      <c r="D964" s="12"/>
      <c r="E964" s="12"/>
      <c r="F964" s="12"/>
      <c r="G964" s="12"/>
    </row>
    <row r="965" ht="15.75" customHeight="1">
      <c r="A965" s="12"/>
      <c r="B965" s="12"/>
      <c r="C965" s="12"/>
      <c r="D965" s="12"/>
      <c r="E965" s="12"/>
      <c r="F965" s="12"/>
      <c r="G965" s="12"/>
    </row>
    <row r="966" ht="15.75" customHeight="1">
      <c r="A966" s="12"/>
      <c r="B966" s="12"/>
      <c r="C966" s="12"/>
      <c r="D966" s="12"/>
      <c r="E966" s="12"/>
      <c r="F966" s="12"/>
      <c r="G966" s="12"/>
    </row>
    <row r="967" ht="15.75" customHeight="1">
      <c r="A967" s="12"/>
      <c r="B967" s="12"/>
      <c r="C967" s="12"/>
      <c r="D967" s="12"/>
      <c r="E967" s="12"/>
      <c r="F967" s="12"/>
      <c r="G967" s="12"/>
    </row>
    <row r="968" ht="15.75" customHeight="1">
      <c r="A968" s="12"/>
      <c r="B968" s="12"/>
      <c r="C968" s="12"/>
      <c r="D968" s="12"/>
      <c r="E968" s="12"/>
      <c r="F968" s="12"/>
      <c r="G968" s="12"/>
    </row>
    <row r="969" ht="15.75" customHeight="1">
      <c r="A969" s="12"/>
      <c r="B969" s="12"/>
      <c r="C969" s="12"/>
      <c r="D969" s="12"/>
      <c r="E969" s="12"/>
      <c r="F969" s="12"/>
      <c r="G969" s="12"/>
    </row>
    <row r="970" ht="15.75" customHeight="1">
      <c r="A970" s="12"/>
      <c r="B970" s="12"/>
      <c r="C970" s="12"/>
      <c r="D970" s="12"/>
      <c r="E970" s="12"/>
      <c r="F970" s="12"/>
      <c r="G970" s="12"/>
    </row>
    <row r="971" ht="15.75" customHeight="1">
      <c r="A971" s="12"/>
      <c r="B971" s="12"/>
      <c r="C971" s="12"/>
      <c r="D971" s="12"/>
      <c r="E971" s="12"/>
      <c r="F971" s="12"/>
      <c r="G971" s="12"/>
    </row>
    <row r="972" ht="15.75" customHeight="1">
      <c r="A972" s="12"/>
      <c r="B972" s="12"/>
      <c r="C972" s="12"/>
      <c r="D972" s="12"/>
      <c r="E972" s="12"/>
      <c r="F972" s="12"/>
      <c r="G972" s="12"/>
    </row>
    <row r="973" ht="15.75" customHeight="1">
      <c r="A973" s="12"/>
      <c r="B973" s="12"/>
      <c r="C973" s="12"/>
      <c r="D973" s="12"/>
      <c r="E973" s="12"/>
      <c r="F973" s="12"/>
      <c r="G973" s="12"/>
    </row>
    <row r="974" ht="15.75" customHeight="1">
      <c r="A974" s="12"/>
      <c r="B974" s="12"/>
      <c r="C974" s="12"/>
      <c r="D974" s="12"/>
      <c r="E974" s="12"/>
      <c r="F974" s="12"/>
      <c r="G974" s="12"/>
    </row>
    <row r="975" ht="15.75" customHeight="1">
      <c r="A975" s="12"/>
      <c r="B975" s="12"/>
      <c r="C975" s="12"/>
      <c r="D975" s="12"/>
      <c r="E975" s="12"/>
      <c r="F975" s="12"/>
      <c r="G975" s="12"/>
    </row>
    <row r="976" ht="15.75" customHeight="1">
      <c r="A976" s="12"/>
      <c r="B976" s="12"/>
      <c r="C976" s="12"/>
      <c r="D976" s="12"/>
      <c r="E976" s="12"/>
      <c r="F976" s="12"/>
      <c r="G976" s="12"/>
    </row>
    <row r="977" ht="15.75" customHeight="1">
      <c r="A977" s="12"/>
      <c r="B977" s="12"/>
      <c r="C977" s="12"/>
      <c r="D977" s="12"/>
      <c r="E977" s="12"/>
      <c r="F977" s="12"/>
      <c r="G977" s="12"/>
    </row>
    <row r="978" ht="15.75" customHeight="1">
      <c r="A978" s="12"/>
      <c r="B978" s="12"/>
      <c r="C978" s="12"/>
      <c r="D978" s="12"/>
      <c r="E978" s="12"/>
      <c r="F978" s="12"/>
      <c r="G978" s="12"/>
    </row>
    <row r="979" ht="15.75" customHeight="1">
      <c r="A979" s="12"/>
      <c r="B979" s="12"/>
      <c r="C979" s="12"/>
      <c r="D979" s="12"/>
      <c r="E979" s="12"/>
      <c r="F979" s="12"/>
      <c r="G979" s="12"/>
    </row>
    <row r="980" ht="15.75" customHeight="1">
      <c r="A980" s="12"/>
      <c r="B980" s="12"/>
      <c r="C980" s="12"/>
      <c r="D980" s="12"/>
      <c r="E980" s="12"/>
      <c r="F980" s="12"/>
      <c r="G980" s="12"/>
    </row>
    <row r="981" ht="15.75" customHeight="1">
      <c r="A981" s="12"/>
      <c r="B981" s="12"/>
      <c r="C981" s="12"/>
      <c r="D981" s="12"/>
      <c r="E981" s="12"/>
      <c r="F981" s="12"/>
      <c r="G981" s="12"/>
    </row>
    <row r="982" ht="15.75" customHeight="1">
      <c r="A982" s="12"/>
      <c r="B982" s="12"/>
      <c r="C982" s="12"/>
      <c r="D982" s="12"/>
      <c r="E982" s="12"/>
      <c r="F982" s="12"/>
      <c r="G982" s="12"/>
    </row>
    <row r="983" ht="15.75" customHeight="1">
      <c r="A983" s="12"/>
      <c r="B983" s="12"/>
      <c r="C983" s="12"/>
      <c r="D983" s="12"/>
      <c r="E983" s="12"/>
      <c r="F983" s="12"/>
      <c r="G983" s="12"/>
    </row>
    <row r="984" ht="15.75" customHeight="1">
      <c r="A984" s="12"/>
      <c r="B984" s="12"/>
      <c r="C984" s="12"/>
      <c r="D984" s="12"/>
      <c r="E984" s="12"/>
      <c r="F984" s="12"/>
      <c r="G984" s="12"/>
    </row>
    <row r="985" ht="15.75" customHeight="1">
      <c r="A985" s="12"/>
      <c r="B985" s="12"/>
      <c r="C985" s="12"/>
      <c r="D985" s="12"/>
      <c r="E985" s="12"/>
      <c r="F985" s="12"/>
      <c r="G985" s="12"/>
    </row>
    <row r="986" ht="15.75" customHeight="1">
      <c r="A986" s="12"/>
      <c r="B986" s="12"/>
      <c r="C986" s="12"/>
      <c r="D986" s="12"/>
      <c r="E986" s="12"/>
      <c r="F986" s="12"/>
      <c r="G986" s="12"/>
    </row>
    <row r="987" ht="15.75" customHeight="1">
      <c r="A987" s="12"/>
      <c r="B987" s="12"/>
      <c r="C987" s="12"/>
      <c r="D987" s="12"/>
      <c r="E987" s="12"/>
      <c r="F987" s="12"/>
      <c r="G987" s="12"/>
    </row>
    <row r="988" ht="15.75" customHeight="1">
      <c r="A988" s="12"/>
      <c r="B988" s="12"/>
      <c r="C988" s="12"/>
      <c r="D988" s="12"/>
      <c r="E988" s="12"/>
      <c r="F988" s="12"/>
      <c r="G988" s="12"/>
    </row>
    <row r="989" ht="15.75" customHeight="1">
      <c r="A989" s="12"/>
      <c r="B989" s="12"/>
      <c r="C989" s="12"/>
      <c r="D989" s="12"/>
      <c r="E989" s="12"/>
      <c r="F989" s="12"/>
      <c r="G989" s="12"/>
    </row>
    <row r="990" ht="15.75" customHeight="1">
      <c r="A990" s="12"/>
      <c r="B990" s="12"/>
      <c r="C990" s="12"/>
      <c r="D990" s="12"/>
      <c r="E990" s="12"/>
      <c r="F990" s="12"/>
      <c r="G990" s="12"/>
    </row>
    <row r="991" ht="15.75" customHeight="1">
      <c r="A991" s="12"/>
      <c r="B991" s="12"/>
      <c r="C991" s="12"/>
      <c r="D991" s="12"/>
      <c r="E991" s="12"/>
      <c r="F991" s="12"/>
      <c r="G991" s="12"/>
    </row>
    <row r="992" ht="15.75" customHeight="1">
      <c r="A992" s="12"/>
      <c r="B992" s="12"/>
      <c r="C992" s="12"/>
      <c r="D992" s="12"/>
      <c r="E992" s="12"/>
      <c r="F992" s="12"/>
      <c r="G992" s="12"/>
    </row>
    <row r="993" ht="15.75" customHeight="1">
      <c r="A993" s="12"/>
      <c r="B993" s="12"/>
      <c r="C993" s="12"/>
      <c r="D993" s="12"/>
      <c r="E993" s="12"/>
      <c r="F993" s="12"/>
      <c r="G993" s="12"/>
    </row>
    <row r="994" ht="15.75" customHeight="1">
      <c r="A994" s="12"/>
      <c r="B994" s="12"/>
      <c r="C994" s="12"/>
      <c r="D994" s="12"/>
      <c r="E994" s="12"/>
      <c r="F994" s="12"/>
      <c r="G994" s="12"/>
    </row>
    <row r="995" ht="15.75" customHeight="1">
      <c r="A995" s="12"/>
      <c r="B995" s="12"/>
      <c r="C995" s="12"/>
      <c r="D995" s="12"/>
      <c r="E995" s="12"/>
      <c r="F995" s="12"/>
      <c r="G995" s="12"/>
    </row>
    <row r="996" ht="15.75" customHeight="1">
      <c r="A996" s="12"/>
      <c r="B996" s="12"/>
      <c r="C996" s="12"/>
      <c r="D996" s="12"/>
      <c r="E996" s="12"/>
      <c r="F996" s="12"/>
      <c r="G996" s="12"/>
    </row>
    <row r="997" ht="15.75" customHeight="1">
      <c r="A997" s="12"/>
      <c r="B997" s="12"/>
      <c r="C997" s="12"/>
      <c r="D997" s="12"/>
      <c r="E997" s="12"/>
      <c r="F997" s="12"/>
      <c r="G997" s="12"/>
    </row>
    <row r="998" ht="15.75" customHeight="1">
      <c r="A998" s="12"/>
      <c r="B998" s="12"/>
      <c r="C998" s="12"/>
      <c r="D998" s="12"/>
      <c r="E998" s="12"/>
      <c r="F998" s="12"/>
      <c r="G998" s="12"/>
    </row>
    <row r="999" ht="15.75" customHeight="1">
      <c r="A999" s="12"/>
      <c r="B999" s="12"/>
      <c r="C999" s="12"/>
      <c r="D999" s="12"/>
      <c r="E999" s="12"/>
      <c r="F999" s="12"/>
      <c r="G999" s="12"/>
    </row>
    <row r="1000" ht="15.75" customHeight="1">
      <c r="A1000" s="12"/>
      <c r="B1000" s="12"/>
      <c r="C1000" s="12"/>
      <c r="D1000" s="12"/>
      <c r="E1000" s="12"/>
      <c r="F1000" s="12"/>
      <c r="G1000" s="12"/>
    </row>
  </sheetData>
  <printOptions/>
  <pageMargins bottom="1.0" footer="0.0" header="0.0" left="0.75" right="0.75" top="1.0"/>
  <pageSetup paperSize="9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2" width="10.0"/>
    <col customWidth="1" min="3" max="5" width="18.0"/>
    <col customWidth="1" min="6" max="6" width="18.29"/>
    <col customWidth="1" min="7" max="26" width="8.71"/>
  </cols>
  <sheetData>
    <row r="1" ht="15.0" customHeight="1">
      <c r="A1" s="2" t="s">
        <v>27</v>
      </c>
      <c r="B1" s="2" t="s">
        <v>135</v>
      </c>
      <c r="C1" s="2" t="s">
        <v>141</v>
      </c>
      <c r="D1" s="2" t="s">
        <v>142</v>
      </c>
      <c r="E1" s="2" t="s">
        <v>143</v>
      </c>
      <c r="F1" s="2" t="s">
        <v>144</v>
      </c>
    </row>
    <row r="2" ht="15.0" customHeight="1">
      <c r="A2" s="3"/>
      <c r="B2" s="3"/>
      <c r="C2" s="3"/>
      <c r="D2" s="3"/>
      <c r="E2" s="3"/>
      <c r="F2" s="3"/>
    </row>
    <row r="3">
      <c r="A3" s="12"/>
      <c r="B3" s="12"/>
      <c r="C3" s="12"/>
      <c r="D3" s="12"/>
      <c r="E3" s="12"/>
      <c r="F3" s="12"/>
    </row>
    <row r="4">
      <c r="A4" s="12"/>
      <c r="B4" s="12"/>
      <c r="C4" s="12"/>
      <c r="D4" s="12"/>
      <c r="E4" s="12"/>
      <c r="F4" s="12"/>
    </row>
    <row r="5">
      <c r="A5" s="12"/>
      <c r="B5" s="12"/>
      <c r="C5" s="12"/>
      <c r="D5" s="12"/>
      <c r="E5" s="12"/>
      <c r="F5" s="12"/>
    </row>
    <row r="6">
      <c r="A6" s="12"/>
      <c r="B6" s="12"/>
      <c r="C6" s="12"/>
      <c r="D6" s="12"/>
      <c r="E6" s="12"/>
      <c r="F6" s="12"/>
    </row>
    <row r="7">
      <c r="A7" s="12"/>
      <c r="B7" s="12"/>
      <c r="C7" s="12"/>
      <c r="D7" s="12"/>
      <c r="E7" s="12"/>
      <c r="F7" s="12"/>
    </row>
    <row r="8">
      <c r="A8" s="12"/>
      <c r="B8" s="12"/>
      <c r="C8" s="12"/>
      <c r="D8" s="12"/>
      <c r="E8" s="12"/>
      <c r="F8" s="12"/>
    </row>
    <row r="9">
      <c r="A9" s="12"/>
      <c r="B9" s="12"/>
      <c r="C9" s="12"/>
      <c r="D9" s="12"/>
      <c r="E9" s="12"/>
      <c r="F9" s="12"/>
    </row>
    <row r="10">
      <c r="A10" s="12"/>
      <c r="B10" s="12"/>
      <c r="C10" s="12"/>
      <c r="D10" s="12"/>
      <c r="E10" s="12"/>
      <c r="F10" s="12"/>
    </row>
    <row r="11">
      <c r="A11" s="12"/>
      <c r="B11" s="12"/>
      <c r="C11" s="12"/>
      <c r="D11" s="12"/>
      <c r="E11" s="12"/>
      <c r="F11" s="12"/>
    </row>
    <row r="12">
      <c r="A12" s="12"/>
      <c r="B12" s="12"/>
      <c r="C12" s="12"/>
      <c r="D12" s="12"/>
      <c r="E12" s="12"/>
      <c r="F12" s="12"/>
    </row>
    <row r="13">
      <c r="A13" s="12"/>
      <c r="B13" s="12"/>
      <c r="C13" s="12"/>
      <c r="D13" s="12"/>
      <c r="E13" s="12"/>
      <c r="F13" s="12"/>
    </row>
    <row r="14">
      <c r="A14" s="12"/>
      <c r="B14" s="12"/>
      <c r="C14" s="12"/>
      <c r="D14" s="12"/>
      <c r="E14" s="12"/>
      <c r="F14" s="12"/>
    </row>
    <row r="15">
      <c r="A15" s="12"/>
      <c r="B15" s="12"/>
      <c r="C15" s="12"/>
      <c r="D15" s="12"/>
      <c r="E15" s="12"/>
      <c r="F15" s="12"/>
    </row>
    <row r="16">
      <c r="A16" s="12"/>
      <c r="B16" s="12"/>
      <c r="C16" s="12"/>
      <c r="D16" s="12"/>
      <c r="E16" s="12"/>
      <c r="F16" s="12"/>
    </row>
    <row r="17">
      <c r="A17" s="12"/>
      <c r="B17" s="12"/>
      <c r="C17" s="12"/>
      <c r="D17" s="12"/>
      <c r="E17" s="12"/>
      <c r="F17" s="12"/>
    </row>
    <row r="18">
      <c r="A18" s="12"/>
      <c r="B18" s="12"/>
      <c r="C18" s="12"/>
      <c r="D18" s="12"/>
      <c r="E18" s="12"/>
      <c r="F18" s="12"/>
    </row>
    <row r="19">
      <c r="A19" s="12"/>
      <c r="B19" s="12"/>
      <c r="C19" s="12"/>
      <c r="D19" s="12"/>
      <c r="E19" s="12"/>
      <c r="F19" s="12"/>
    </row>
    <row r="20">
      <c r="A20" s="12"/>
      <c r="B20" s="12"/>
      <c r="C20" s="12"/>
      <c r="D20" s="12"/>
      <c r="E20" s="12"/>
      <c r="F20" s="12"/>
    </row>
    <row r="21" ht="15.75" customHeight="1">
      <c r="A21" s="12"/>
      <c r="B21" s="12"/>
      <c r="C21" s="12"/>
      <c r="D21" s="12"/>
      <c r="E21" s="12"/>
      <c r="F21" s="12"/>
    </row>
    <row r="22" ht="15.75" customHeight="1">
      <c r="A22" s="12"/>
      <c r="B22" s="12"/>
      <c r="C22" s="12"/>
      <c r="D22" s="12"/>
      <c r="E22" s="12"/>
      <c r="F22" s="12"/>
    </row>
    <row r="23" ht="15.75" customHeight="1">
      <c r="A23" s="12"/>
      <c r="B23" s="12"/>
      <c r="C23" s="12"/>
      <c r="D23" s="12"/>
      <c r="E23" s="12"/>
      <c r="F23" s="12"/>
    </row>
    <row r="24" ht="15.75" customHeight="1">
      <c r="A24" s="12"/>
      <c r="B24" s="12"/>
      <c r="C24" s="12"/>
      <c r="D24" s="12"/>
      <c r="E24" s="12"/>
      <c r="F24" s="12"/>
    </row>
    <row r="25" ht="15.75" customHeight="1">
      <c r="A25" s="12"/>
      <c r="B25" s="12"/>
      <c r="C25" s="12"/>
      <c r="D25" s="12"/>
      <c r="E25" s="12"/>
      <c r="F25" s="12"/>
    </row>
    <row r="26" ht="15.75" customHeight="1">
      <c r="A26" s="12"/>
      <c r="B26" s="12"/>
      <c r="C26" s="12"/>
      <c r="D26" s="12"/>
      <c r="E26" s="12"/>
      <c r="F26" s="12"/>
    </row>
    <row r="27" ht="15.75" customHeight="1">
      <c r="A27" s="12"/>
      <c r="B27" s="12"/>
      <c r="C27" s="12"/>
      <c r="D27" s="12"/>
      <c r="E27" s="12"/>
      <c r="F27" s="12"/>
    </row>
    <row r="28" ht="15.75" customHeight="1">
      <c r="A28" s="12"/>
      <c r="B28" s="12"/>
      <c r="C28" s="12"/>
      <c r="D28" s="12"/>
      <c r="E28" s="12"/>
      <c r="F28" s="12"/>
    </row>
    <row r="29" ht="15.75" customHeight="1">
      <c r="A29" s="12"/>
      <c r="B29" s="12"/>
      <c r="C29" s="12"/>
      <c r="D29" s="12"/>
      <c r="E29" s="12"/>
      <c r="F29" s="12"/>
    </row>
    <row r="30" ht="15.75" customHeight="1">
      <c r="A30" s="12"/>
      <c r="B30" s="12"/>
      <c r="C30" s="12"/>
      <c r="D30" s="12"/>
      <c r="E30" s="12"/>
      <c r="F30" s="12"/>
    </row>
    <row r="31" ht="15.75" customHeight="1">
      <c r="A31" s="12"/>
      <c r="B31" s="12"/>
      <c r="C31" s="12"/>
      <c r="D31" s="12"/>
      <c r="E31" s="12"/>
      <c r="F31" s="12"/>
    </row>
    <row r="32" ht="15.75" customHeight="1">
      <c r="A32" s="12"/>
      <c r="B32" s="12"/>
      <c r="C32" s="12"/>
      <c r="D32" s="12"/>
      <c r="E32" s="12"/>
      <c r="F32" s="12"/>
    </row>
    <row r="33" ht="15.75" customHeight="1">
      <c r="A33" s="12"/>
      <c r="B33" s="12"/>
      <c r="C33" s="12"/>
      <c r="D33" s="12"/>
      <c r="E33" s="12"/>
      <c r="F33" s="12"/>
    </row>
    <row r="34" ht="15.75" customHeight="1">
      <c r="A34" s="12"/>
      <c r="B34" s="12"/>
      <c r="C34" s="12"/>
      <c r="D34" s="12"/>
      <c r="E34" s="12"/>
      <c r="F34" s="12"/>
    </row>
    <row r="35" ht="15.75" customHeight="1">
      <c r="A35" s="12"/>
      <c r="B35" s="12"/>
      <c r="C35" s="12"/>
      <c r="D35" s="12"/>
      <c r="E35" s="12"/>
      <c r="F35" s="12"/>
    </row>
    <row r="36" ht="15.75" customHeight="1">
      <c r="A36" s="12"/>
      <c r="B36" s="12"/>
      <c r="C36" s="12"/>
      <c r="D36" s="12"/>
      <c r="E36" s="12"/>
      <c r="F36" s="12"/>
    </row>
    <row r="37" ht="15.75" customHeight="1">
      <c r="A37" s="12"/>
      <c r="B37" s="12"/>
      <c r="C37" s="12"/>
      <c r="D37" s="12"/>
      <c r="E37" s="12"/>
      <c r="F37" s="12"/>
    </row>
    <row r="38" ht="15.75" customHeight="1">
      <c r="A38" s="12"/>
      <c r="B38" s="12"/>
      <c r="C38" s="12"/>
      <c r="D38" s="12"/>
      <c r="E38" s="12"/>
      <c r="F38" s="12"/>
    </row>
    <row r="39" ht="15.75" customHeight="1">
      <c r="A39" s="12"/>
      <c r="B39" s="12"/>
      <c r="C39" s="12"/>
      <c r="D39" s="12"/>
      <c r="E39" s="12"/>
      <c r="F39" s="12"/>
    </row>
    <row r="40" ht="15.75" customHeight="1">
      <c r="A40" s="12"/>
      <c r="B40" s="12"/>
      <c r="C40" s="12"/>
      <c r="D40" s="12"/>
      <c r="E40" s="12"/>
      <c r="F40" s="12"/>
    </row>
    <row r="41" ht="15.75" customHeight="1">
      <c r="A41" s="12"/>
      <c r="B41" s="12"/>
      <c r="C41" s="12"/>
      <c r="D41" s="12"/>
      <c r="E41" s="12"/>
      <c r="F41" s="12"/>
    </row>
    <row r="42" ht="15.75" customHeight="1">
      <c r="A42" s="12"/>
      <c r="B42" s="12"/>
      <c r="C42" s="12"/>
      <c r="D42" s="12"/>
      <c r="E42" s="12"/>
      <c r="F42" s="12"/>
    </row>
    <row r="43" ht="15.75" customHeight="1">
      <c r="A43" s="12"/>
      <c r="B43" s="12"/>
      <c r="C43" s="12"/>
      <c r="D43" s="12"/>
      <c r="E43" s="12"/>
      <c r="F43" s="12"/>
    </row>
    <row r="44" ht="15.75" customHeight="1">
      <c r="A44" s="12"/>
      <c r="B44" s="12"/>
      <c r="C44" s="12"/>
      <c r="D44" s="12"/>
      <c r="E44" s="12"/>
      <c r="F44" s="12"/>
    </row>
    <row r="45" ht="15.75" customHeight="1">
      <c r="A45" s="12"/>
      <c r="B45" s="12"/>
      <c r="C45" s="12"/>
      <c r="D45" s="12"/>
      <c r="E45" s="12"/>
      <c r="F45" s="12"/>
    </row>
    <row r="46" ht="15.75" customHeight="1">
      <c r="A46" s="12"/>
      <c r="B46" s="12"/>
      <c r="C46" s="12"/>
      <c r="D46" s="12"/>
      <c r="E46" s="12"/>
      <c r="F46" s="12"/>
    </row>
    <row r="47" ht="15.75" customHeight="1">
      <c r="A47" s="12"/>
      <c r="B47" s="12"/>
      <c r="C47" s="12"/>
      <c r="D47" s="12"/>
      <c r="E47" s="12"/>
      <c r="F47" s="12"/>
    </row>
    <row r="48" ht="15.75" customHeight="1">
      <c r="A48" s="12"/>
      <c r="B48" s="12"/>
      <c r="C48" s="12"/>
      <c r="D48" s="12"/>
      <c r="E48" s="12"/>
      <c r="F48" s="12"/>
    </row>
    <row r="49" ht="15.75" customHeight="1">
      <c r="A49" s="12"/>
      <c r="B49" s="12"/>
      <c r="C49" s="12"/>
      <c r="D49" s="12"/>
      <c r="E49" s="12"/>
      <c r="F49" s="12"/>
    </row>
    <row r="50" ht="15.75" customHeight="1">
      <c r="A50" s="12"/>
      <c r="B50" s="12"/>
      <c r="C50" s="12"/>
      <c r="D50" s="12"/>
      <c r="E50" s="12"/>
      <c r="F50" s="12"/>
    </row>
    <row r="51" ht="15.75" customHeight="1">
      <c r="A51" s="12"/>
      <c r="B51" s="12"/>
      <c r="C51" s="12"/>
      <c r="D51" s="12"/>
      <c r="E51" s="12"/>
      <c r="F51" s="12"/>
    </row>
    <row r="52" ht="15.75" customHeight="1">
      <c r="A52" s="12"/>
      <c r="B52" s="12"/>
      <c r="C52" s="12"/>
      <c r="D52" s="12"/>
      <c r="E52" s="12"/>
      <c r="F52" s="12"/>
    </row>
    <row r="53" ht="15.75" customHeight="1">
      <c r="A53" s="12"/>
      <c r="B53" s="12"/>
      <c r="C53" s="12"/>
      <c r="D53" s="12"/>
      <c r="E53" s="12"/>
      <c r="F53" s="12"/>
    </row>
    <row r="54" ht="15.75" customHeight="1">
      <c r="A54" s="12"/>
      <c r="B54" s="12"/>
      <c r="C54" s="12"/>
      <c r="D54" s="12"/>
      <c r="E54" s="12"/>
      <c r="F54" s="12"/>
    </row>
    <row r="55" ht="15.75" customHeight="1">
      <c r="A55" s="12"/>
      <c r="B55" s="12"/>
      <c r="C55" s="12"/>
      <c r="D55" s="12"/>
      <c r="E55" s="12"/>
      <c r="F55" s="12"/>
    </row>
    <row r="56" ht="15.75" customHeight="1">
      <c r="A56" s="12"/>
      <c r="B56" s="12"/>
      <c r="C56" s="12"/>
      <c r="D56" s="12"/>
      <c r="E56" s="12"/>
      <c r="F56" s="12"/>
    </row>
    <row r="57" ht="15.75" customHeight="1">
      <c r="A57" s="12"/>
      <c r="B57" s="12"/>
      <c r="C57" s="12"/>
      <c r="D57" s="12"/>
      <c r="E57" s="12"/>
      <c r="F57" s="12"/>
    </row>
    <row r="58" ht="15.75" customHeight="1">
      <c r="A58" s="12"/>
      <c r="B58" s="12"/>
      <c r="C58" s="12"/>
      <c r="D58" s="12"/>
      <c r="E58" s="12"/>
      <c r="F58" s="12"/>
    </row>
    <row r="59" ht="15.75" customHeight="1">
      <c r="A59" s="12"/>
      <c r="B59" s="12"/>
      <c r="C59" s="12"/>
      <c r="D59" s="12"/>
      <c r="E59" s="12"/>
      <c r="F59" s="12"/>
    </row>
    <row r="60" ht="15.75" customHeight="1">
      <c r="A60" s="12"/>
      <c r="B60" s="12"/>
      <c r="C60" s="12"/>
      <c r="D60" s="12"/>
      <c r="E60" s="12"/>
      <c r="F60" s="12"/>
    </row>
    <row r="61" ht="15.75" customHeight="1">
      <c r="A61" s="12"/>
      <c r="B61" s="12"/>
      <c r="C61" s="12"/>
      <c r="D61" s="12"/>
      <c r="E61" s="12"/>
      <c r="F61" s="12"/>
    </row>
    <row r="62" ht="15.75" customHeight="1">
      <c r="A62" s="12"/>
      <c r="B62" s="12"/>
      <c r="C62" s="12"/>
      <c r="D62" s="12"/>
      <c r="E62" s="12"/>
      <c r="F62" s="12"/>
    </row>
    <row r="63" ht="15.75" customHeight="1">
      <c r="A63" s="12"/>
      <c r="B63" s="12"/>
      <c r="C63" s="12"/>
      <c r="D63" s="12"/>
      <c r="E63" s="12"/>
      <c r="F63" s="12"/>
    </row>
    <row r="64" ht="15.75" customHeight="1">
      <c r="A64" s="12"/>
      <c r="B64" s="12"/>
      <c r="C64" s="12"/>
      <c r="D64" s="12"/>
      <c r="E64" s="12"/>
      <c r="F64" s="12"/>
    </row>
    <row r="65" ht="15.75" customHeight="1">
      <c r="A65" s="12"/>
      <c r="B65" s="12"/>
      <c r="C65" s="12"/>
      <c r="D65" s="12"/>
      <c r="E65" s="12"/>
      <c r="F65" s="12"/>
    </row>
    <row r="66" ht="15.75" customHeight="1">
      <c r="A66" s="12"/>
      <c r="B66" s="12"/>
      <c r="C66" s="12"/>
      <c r="D66" s="12"/>
      <c r="E66" s="12"/>
      <c r="F66" s="12"/>
    </row>
    <row r="67" ht="15.75" customHeight="1">
      <c r="A67" s="12"/>
      <c r="B67" s="12"/>
      <c r="C67" s="12"/>
      <c r="D67" s="12"/>
      <c r="E67" s="12"/>
      <c r="F67" s="12"/>
    </row>
    <row r="68" ht="15.75" customHeight="1">
      <c r="A68" s="12"/>
      <c r="B68" s="12"/>
      <c r="C68" s="12"/>
      <c r="D68" s="12"/>
      <c r="E68" s="12"/>
      <c r="F68" s="12"/>
    </row>
    <row r="69" ht="15.75" customHeight="1">
      <c r="A69" s="12"/>
      <c r="B69" s="12"/>
      <c r="C69" s="12"/>
      <c r="D69" s="12"/>
      <c r="E69" s="12"/>
      <c r="F69" s="12"/>
    </row>
    <row r="70" ht="15.75" customHeight="1">
      <c r="A70" s="12"/>
      <c r="B70" s="12"/>
      <c r="C70" s="12"/>
      <c r="D70" s="12"/>
      <c r="E70" s="12"/>
      <c r="F70" s="12"/>
    </row>
    <row r="71" ht="15.75" customHeight="1">
      <c r="A71" s="12"/>
      <c r="B71" s="12"/>
      <c r="C71" s="12"/>
      <c r="D71" s="12"/>
      <c r="E71" s="12"/>
      <c r="F71" s="12"/>
    </row>
    <row r="72" ht="15.75" customHeight="1">
      <c r="A72" s="12"/>
      <c r="B72" s="12"/>
      <c r="C72" s="12"/>
      <c r="D72" s="12"/>
      <c r="E72" s="12"/>
      <c r="F72" s="12"/>
    </row>
    <row r="73" ht="15.75" customHeight="1">
      <c r="A73" s="12"/>
      <c r="B73" s="12"/>
      <c r="C73" s="12"/>
      <c r="D73" s="12"/>
      <c r="E73" s="12"/>
      <c r="F73" s="12"/>
    </row>
    <row r="74" ht="15.75" customHeight="1">
      <c r="A74" s="12"/>
      <c r="B74" s="12"/>
      <c r="C74" s="12"/>
      <c r="D74" s="12"/>
      <c r="E74" s="12"/>
      <c r="F74" s="12"/>
    </row>
    <row r="75" ht="15.75" customHeight="1">
      <c r="A75" s="12"/>
      <c r="B75" s="12"/>
      <c r="C75" s="12"/>
      <c r="D75" s="12"/>
      <c r="E75" s="12"/>
      <c r="F75" s="12"/>
    </row>
    <row r="76" ht="15.75" customHeight="1">
      <c r="A76" s="12"/>
      <c r="B76" s="12"/>
      <c r="C76" s="12"/>
      <c r="D76" s="12"/>
      <c r="E76" s="12"/>
      <c r="F76" s="12"/>
    </row>
    <row r="77" ht="15.75" customHeight="1">
      <c r="A77" s="12"/>
      <c r="B77" s="12"/>
      <c r="C77" s="12"/>
      <c r="D77" s="12"/>
      <c r="E77" s="12"/>
      <c r="F77" s="12"/>
    </row>
    <row r="78" ht="15.75" customHeight="1">
      <c r="A78" s="12"/>
      <c r="B78" s="12"/>
      <c r="C78" s="12"/>
      <c r="D78" s="12"/>
      <c r="E78" s="12"/>
      <c r="F78" s="12"/>
    </row>
    <row r="79" ht="15.75" customHeight="1">
      <c r="A79" s="12"/>
      <c r="B79" s="12"/>
      <c r="C79" s="12"/>
      <c r="D79" s="12"/>
      <c r="E79" s="12"/>
      <c r="F79" s="12"/>
    </row>
    <row r="80" ht="15.75" customHeight="1">
      <c r="A80" s="12"/>
      <c r="B80" s="12"/>
      <c r="C80" s="12"/>
      <c r="D80" s="12"/>
      <c r="E80" s="12"/>
      <c r="F80" s="12"/>
    </row>
    <row r="81" ht="15.75" customHeight="1">
      <c r="A81" s="12"/>
      <c r="B81" s="12"/>
      <c r="C81" s="12"/>
      <c r="D81" s="12"/>
      <c r="E81" s="12"/>
      <c r="F81" s="12"/>
    </row>
    <row r="82" ht="15.75" customHeight="1">
      <c r="A82" s="12"/>
      <c r="B82" s="12"/>
      <c r="C82" s="12"/>
      <c r="D82" s="12"/>
      <c r="E82" s="12"/>
      <c r="F82" s="12"/>
    </row>
    <row r="83" ht="15.75" customHeight="1">
      <c r="A83" s="12"/>
      <c r="B83" s="12"/>
      <c r="C83" s="12"/>
      <c r="D83" s="12"/>
      <c r="E83" s="12"/>
      <c r="F83" s="12"/>
    </row>
    <row r="84" ht="15.75" customHeight="1">
      <c r="A84" s="12"/>
      <c r="B84" s="12"/>
      <c r="C84" s="12"/>
      <c r="D84" s="12"/>
      <c r="E84" s="12"/>
      <c r="F84" s="12"/>
    </row>
    <row r="85" ht="15.75" customHeight="1">
      <c r="A85" s="12"/>
      <c r="B85" s="12"/>
      <c r="C85" s="12"/>
      <c r="D85" s="12"/>
      <c r="E85" s="12"/>
      <c r="F85" s="12"/>
    </row>
    <row r="86" ht="15.75" customHeight="1">
      <c r="A86" s="12"/>
      <c r="B86" s="12"/>
      <c r="C86" s="12"/>
      <c r="D86" s="12"/>
      <c r="E86" s="12"/>
      <c r="F86" s="12"/>
    </row>
    <row r="87" ht="15.75" customHeight="1">
      <c r="A87" s="12"/>
      <c r="B87" s="12"/>
      <c r="C87" s="12"/>
      <c r="D87" s="12"/>
      <c r="E87" s="12"/>
      <c r="F87" s="12"/>
    </row>
    <row r="88" ht="15.75" customHeight="1">
      <c r="A88" s="12"/>
      <c r="B88" s="12"/>
      <c r="C88" s="12"/>
      <c r="D88" s="12"/>
      <c r="E88" s="12"/>
      <c r="F88" s="12"/>
    </row>
    <row r="89" ht="15.75" customHeight="1">
      <c r="A89" s="12"/>
      <c r="B89" s="12"/>
      <c r="C89" s="12"/>
      <c r="D89" s="12"/>
      <c r="E89" s="12"/>
      <c r="F89" s="12"/>
    </row>
    <row r="90" ht="15.75" customHeight="1">
      <c r="A90" s="12"/>
      <c r="B90" s="12"/>
      <c r="C90" s="12"/>
      <c r="D90" s="12"/>
      <c r="E90" s="12"/>
      <c r="F90" s="12"/>
    </row>
    <row r="91" ht="15.75" customHeight="1">
      <c r="A91" s="12"/>
      <c r="B91" s="12"/>
      <c r="C91" s="12"/>
      <c r="D91" s="12"/>
      <c r="E91" s="12"/>
      <c r="F91" s="12"/>
    </row>
    <row r="92" ht="15.75" customHeight="1">
      <c r="A92" s="12"/>
      <c r="B92" s="12"/>
      <c r="C92" s="12"/>
      <c r="D92" s="12"/>
      <c r="E92" s="12"/>
      <c r="F92" s="12"/>
    </row>
    <row r="93" ht="15.75" customHeight="1">
      <c r="A93" s="12"/>
      <c r="B93" s="12"/>
      <c r="C93" s="12"/>
      <c r="D93" s="12"/>
      <c r="E93" s="12"/>
      <c r="F93" s="12"/>
    </row>
    <row r="94" ht="15.75" customHeight="1">
      <c r="A94" s="12"/>
      <c r="B94" s="12"/>
      <c r="C94" s="12"/>
      <c r="D94" s="12"/>
      <c r="E94" s="12"/>
      <c r="F94" s="12"/>
    </row>
    <row r="95" ht="15.75" customHeight="1">
      <c r="A95" s="12"/>
      <c r="B95" s="12"/>
      <c r="C95" s="12"/>
      <c r="D95" s="12"/>
      <c r="E95" s="12"/>
      <c r="F95" s="12"/>
    </row>
    <row r="96" ht="15.75" customHeight="1">
      <c r="A96" s="12"/>
      <c r="B96" s="12"/>
      <c r="C96" s="12"/>
      <c r="D96" s="12"/>
      <c r="E96" s="12"/>
      <c r="F96" s="12"/>
    </row>
    <row r="97" ht="15.75" customHeight="1">
      <c r="A97" s="12"/>
      <c r="B97" s="12"/>
      <c r="C97" s="12"/>
      <c r="D97" s="12"/>
      <c r="E97" s="12"/>
      <c r="F97" s="12"/>
    </row>
    <row r="98" ht="15.75" customHeight="1">
      <c r="A98" s="12"/>
      <c r="B98" s="12"/>
      <c r="C98" s="12"/>
      <c r="D98" s="12"/>
      <c r="E98" s="12"/>
      <c r="F98" s="12"/>
    </row>
    <row r="99" ht="15.75" customHeight="1">
      <c r="A99" s="12"/>
      <c r="B99" s="12"/>
      <c r="C99" s="12"/>
      <c r="D99" s="12"/>
      <c r="E99" s="12"/>
      <c r="F99" s="12"/>
    </row>
    <row r="100" ht="15.75" customHeight="1">
      <c r="A100" s="12"/>
      <c r="B100" s="12"/>
      <c r="C100" s="12"/>
      <c r="D100" s="12"/>
      <c r="E100" s="12"/>
      <c r="F100" s="12"/>
    </row>
    <row r="101" ht="15.75" customHeight="1">
      <c r="A101" s="12"/>
      <c r="B101" s="12"/>
      <c r="C101" s="12"/>
      <c r="D101" s="12"/>
      <c r="E101" s="12"/>
      <c r="F101" s="12"/>
    </row>
    <row r="102" ht="15.75" customHeight="1">
      <c r="A102" s="12"/>
      <c r="B102" s="12"/>
      <c r="C102" s="12"/>
      <c r="D102" s="12"/>
      <c r="E102" s="12"/>
      <c r="F102" s="12"/>
    </row>
    <row r="103" ht="15.75" customHeight="1">
      <c r="A103" s="12"/>
      <c r="B103" s="12"/>
      <c r="C103" s="12"/>
      <c r="D103" s="12"/>
      <c r="E103" s="12"/>
      <c r="F103" s="12"/>
    </row>
    <row r="104" ht="15.75" customHeight="1">
      <c r="A104" s="12"/>
      <c r="B104" s="12"/>
      <c r="C104" s="12"/>
      <c r="D104" s="12"/>
      <c r="E104" s="12"/>
      <c r="F104" s="12"/>
    </row>
    <row r="105" ht="15.75" customHeight="1">
      <c r="A105" s="12"/>
      <c r="B105" s="12"/>
      <c r="C105" s="12"/>
      <c r="D105" s="12"/>
      <c r="E105" s="12"/>
      <c r="F105" s="12"/>
    </row>
    <row r="106" ht="15.75" customHeight="1">
      <c r="A106" s="12"/>
      <c r="B106" s="12"/>
      <c r="C106" s="12"/>
      <c r="D106" s="12"/>
      <c r="E106" s="12"/>
      <c r="F106" s="12"/>
    </row>
    <row r="107" ht="15.75" customHeight="1">
      <c r="A107" s="12"/>
      <c r="B107" s="12"/>
      <c r="C107" s="12"/>
      <c r="D107" s="12"/>
      <c r="E107" s="12"/>
      <c r="F107" s="12"/>
    </row>
    <row r="108" ht="15.75" customHeight="1">
      <c r="A108" s="12"/>
      <c r="B108" s="12"/>
      <c r="C108" s="12"/>
      <c r="D108" s="12"/>
      <c r="E108" s="12"/>
      <c r="F108" s="12"/>
    </row>
    <row r="109" ht="15.75" customHeight="1">
      <c r="A109" s="12"/>
      <c r="B109" s="12"/>
      <c r="C109" s="12"/>
      <c r="D109" s="12"/>
      <c r="E109" s="12"/>
      <c r="F109" s="12"/>
    </row>
    <row r="110" ht="15.75" customHeight="1">
      <c r="A110" s="12"/>
      <c r="B110" s="12"/>
      <c r="C110" s="12"/>
      <c r="D110" s="12"/>
      <c r="E110" s="12"/>
      <c r="F110" s="12"/>
    </row>
    <row r="111" ht="15.75" customHeight="1">
      <c r="A111" s="12"/>
      <c r="B111" s="12"/>
      <c r="C111" s="12"/>
      <c r="D111" s="12"/>
      <c r="E111" s="12"/>
      <c r="F111" s="12"/>
    </row>
    <row r="112" ht="15.75" customHeight="1">
      <c r="A112" s="12"/>
      <c r="B112" s="12"/>
      <c r="C112" s="12"/>
      <c r="D112" s="12"/>
      <c r="E112" s="12"/>
      <c r="F112" s="12"/>
    </row>
    <row r="113" ht="15.75" customHeight="1">
      <c r="A113" s="12"/>
      <c r="B113" s="12"/>
      <c r="C113" s="12"/>
      <c r="D113" s="12"/>
      <c r="E113" s="12"/>
      <c r="F113" s="12"/>
    </row>
    <row r="114" ht="15.75" customHeight="1">
      <c r="A114" s="12"/>
      <c r="B114" s="12"/>
      <c r="C114" s="12"/>
      <c r="D114" s="12"/>
      <c r="E114" s="12"/>
      <c r="F114" s="12"/>
    </row>
    <row r="115" ht="15.75" customHeight="1">
      <c r="A115" s="12"/>
      <c r="B115" s="12"/>
      <c r="C115" s="12"/>
      <c r="D115" s="12"/>
      <c r="E115" s="12"/>
      <c r="F115" s="12"/>
    </row>
    <row r="116" ht="15.75" customHeight="1">
      <c r="A116" s="12"/>
      <c r="B116" s="12"/>
      <c r="C116" s="12"/>
      <c r="D116" s="12"/>
      <c r="E116" s="12"/>
      <c r="F116" s="12"/>
    </row>
    <row r="117" ht="15.75" customHeight="1">
      <c r="A117" s="12"/>
      <c r="B117" s="12"/>
      <c r="C117" s="12"/>
      <c r="D117" s="12"/>
      <c r="E117" s="12"/>
      <c r="F117" s="12"/>
    </row>
    <row r="118" ht="15.75" customHeight="1">
      <c r="A118" s="12"/>
      <c r="B118" s="12"/>
      <c r="C118" s="12"/>
      <c r="D118" s="12"/>
      <c r="E118" s="12"/>
      <c r="F118" s="12"/>
    </row>
    <row r="119" ht="15.75" customHeight="1">
      <c r="A119" s="12"/>
      <c r="B119" s="12"/>
      <c r="C119" s="12"/>
      <c r="D119" s="12"/>
      <c r="E119" s="12"/>
      <c r="F119" s="12"/>
    </row>
    <row r="120" ht="15.75" customHeight="1">
      <c r="A120" s="12"/>
      <c r="B120" s="12"/>
      <c r="C120" s="12"/>
      <c r="D120" s="12"/>
      <c r="E120" s="12"/>
      <c r="F120" s="12"/>
    </row>
    <row r="121" ht="15.75" customHeight="1">
      <c r="A121" s="12"/>
      <c r="B121" s="12"/>
      <c r="C121" s="12"/>
      <c r="D121" s="12"/>
      <c r="E121" s="12"/>
      <c r="F121" s="12"/>
    </row>
    <row r="122" ht="15.75" customHeight="1">
      <c r="A122" s="12"/>
      <c r="B122" s="12"/>
      <c r="C122" s="12"/>
      <c r="D122" s="12"/>
      <c r="E122" s="12"/>
      <c r="F122" s="12"/>
    </row>
    <row r="123" ht="15.75" customHeight="1">
      <c r="A123" s="12"/>
      <c r="B123" s="12"/>
      <c r="C123" s="12"/>
      <c r="D123" s="12"/>
      <c r="E123" s="12"/>
      <c r="F123" s="12"/>
    </row>
    <row r="124" ht="15.75" customHeight="1">
      <c r="A124" s="12"/>
      <c r="B124" s="12"/>
      <c r="C124" s="12"/>
      <c r="D124" s="12"/>
      <c r="E124" s="12"/>
      <c r="F124" s="12"/>
    </row>
    <row r="125" ht="15.75" customHeight="1">
      <c r="A125" s="12"/>
      <c r="B125" s="12"/>
      <c r="C125" s="12"/>
      <c r="D125" s="12"/>
      <c r="E125" s="12"/>
      <c r="F125" s="12"/>
    </row>
    <row r="126" ht="15.75" customHeight="1">
      <c r="A126" s="12"/>
      <c r="B126" s="12"/>
      <c r="C126" s="12"/>
      <c r="D126" s="12"/>
      <c r="E126" s="12"/>
      <c r="F126" s="12"/>
    </row>
    <row r="127" ht="15.75" customHeight="1">
      <c r="A127" s="12"/>
      <c r="B127" s="12"/>
      <c r="C127" s="12"/>
      <c r="D127" s="12"/>
      <c r="E127" s="12"/>
      <c r="F127" s="12"/>
    </row>
    <row r="128" ht="15.75" customHeight="1">
      <c r="A128" s="12"/>
      <c r="B128" s="12"/>
      <c r="C128" s="12"/>
      <c r="D128" s="12"/>
      <c r="E128" s="12"/>
      <c r="F128" s="12"/>
    </row>
    <row r="129" ht="15.75" customHeight="1">
      <c r="A129" s="12"/>
      <c r="B129" s="12"/>
      <c r="C129" s="12"/>
      <c r="D129" s="12"/>
      <c r="E129" s="12"/>
      <c r="F129" s="12"/>
    </row>
    <row r="130" ht="15.75" customHeight="1">
      <c r="A130" s="12"/>
      <c r="B130" s="12"/>
      <c r="C130" s="12"/>
      <c r="D130" s="12"/>
      <c r="E130" s="12"/>
      <c r="F130" s="12"/>
    </row>
    <row r="131" ht="15.75" customHeight="1">
      <c r="A131" s="12"/>
      <c r="B131" s="12"/>
      <c r="C131" s="12"/>
      <c r="D131" s="12"/>
      <c r="E131" s="12"/>
      <c r="F131" s="12"/>
    </row>
    <row r="132" ht="15.75" customHeight="1">
      <c r="A132" s="12"/>
      <c r="B132" s="12"/>
      <c r="C132" s="12"/>
      <c r="D132" s="12"/>
      <c r="E132" s="12"/>
      <c r="F132" s="12"/>
    </row>
    <row r="133" ht="15.75" customHeight="1">
      <c r="A133" s="12"/>
      <c r="B133" s="12"/>
      <c r="C133" s="12"/>
      <c r="D133" s="12"/>
      <c r="E133" s="12"/>
      <c r="F133" s="12"/>
    </row>
    <row r="134" ht="15.75" customHeight="1">
      <c r="A134" s="12"/>
      <c r="B134" s="12"/>
      <c r="C134" s="12"/>
      <c r="D134" s="12"/>
      <c r="E134" s="12"/>
      <c r="F134" s="12"/>
    </row>
    <row r="135" ht="15.75" customHeight="1">
      <c r="A135" s="12"/>
      <c r="B135" s="12"/>
      <c r="C135" s="12"/>
      <c r="D135" s="12"/>
      <c r="E135" s="12"/>
      <c r="F135" s="12"/>
    </row>
    <row r="136" ht="15.75" customHeight="1">
      <c r="A136" s="12"/>
      <c r="B136" s="12"/>
      <c r="C136" s="12"/>
      <c r="D136" s="12"/>
      <c r="E136" s="12"/>
      <c r="F136" s="12"/>
    </row>
    <row r="137" ht="15.75" customHeight="1">
      <c r="A137" s="12"/>
      <c r="B137" s="12"/>
      <c r="C137" s="12"/>
      <c r="D137" s="12"/>
      <c r="E137" s="12"/>
      <c r="F137" s="12"/>
    </row>
    <row r="138" ht="15.75" customHeight="1">
      <c r="A138" s="12"/>
      <c r="B138" s="12"/>
      <c r="C138" s="12"/>
      <c r="D138" s="12"/>
      <c r="E138" s="12"/>
      <c r="F138" s="12"/>
    </row>
    <row r="139" ht="15.75" customHeight="1">
      <c r="A139" s="12"/>
      <c r="B139" s="12"/>
      <c r="C139" s="12"/>
      <c r="D139" s="12"/>
      <c r="E139" s="12"/>
      <c r="F139" s="12"/>
    </row>
    <row r="140" ht="15.75" customHeight="1">
      <c r="A140" s="12"/>
      <c r="B140" s="12"/>
      <c r="C140" s="12"/>
      <c r="D140" s="12"/>
      <c r="E140" s="12"/>
      <c r="F140" s="12"/>
    </row>
    <row r="141" ht="15.75" customHeight="1">
      <c r="A141" s="12"/>
      <c r="B141" s="12"/>
      <c r="C141" s="12"/>
      <c r="D141" s="12"/>
      <c r="E141" s="12"/>
      <c r="F141" s="12"/>
    </row>
    <row r="142" ht="15.75" customHeight="1">
      <c r="A142" s="12"/>
      <c r="B142" s="12"/>
      <c r="C142" s="12"/>
      <c r="D142" s="12"/>
      <c r="E142" s="12"/>
      <c r="F142" s="12"/>
    </row>
    <row r="143" ht="15.75" customHeight="1">
      <c r="A143" s="12"/>
      <c r="B143" s="12"/>
      <c r="C143" s="12"/>
      <c r="D143" s="12"/>
      <c r="E143" s="12"/>
      <c r="F143" s="12"/>
    </row>
    <row r="144" ht="15.75" customHeight="1">
      <c r="A144" s="12"/>
      <c r="B144" s="12"/>
      <c r="C144" s="12"/>
      <c r="D144" s="12"/>
      <c r="E144" s="12"/>
      <c r="F144" s="12"/>
    </row>
    <row r="145" ht="15.75" customHeight="1">
      <c r="A145" s="12"/>
      <c r="B145" s="12"/>
      <c r="C145" s="12"/>
      <c r="D145" s="12"/>
      <c r="E145" s="12"/>
      <c r="F145" s="12"/>
    </row>
    <row r="146" ht="15.75" customHeight="1">
      <c r="A146" s="12"/>
      <c r="B146" s="12"/>
      <c r="C146" s="12"/>
      <c r="D146" s="12"/>
      <c r="E146" s="12"/>
      <c r="F146" s="12"/>
    </row>
    <row r="147" ht="15.75" customHeight="1">
      <c r="A147" s="12"/>
      <c r="B147" s="12"/>
      <c r="C147" s="12"/>
      <c r="D147" s="12"/>
      <c r="E147" s="12"/>
      <c r="F147" s="12"/>
    </row>
    <row r="148" ht="15.75" customHeight="1">
      <c r="A148" s="12"/>
      <c r="B148" s="12"/>
      <c r="C148" s="12"/>
      <c r="D148" s="12"/>
      <c r="E148" s="12"/>
      <c r="F148" s="12"/>
    </row>
    <row r="149" ht="15.75" customHeight="1">
      <c r="A149" s="12"/>
      <c r="B149" s="12"/>
      <c r="C149" s="12"/>
      <c r="D149" s="12"/>
      <c r="E149" s="12"/>
      <c r="F149" s="12"/>
    </row>
    <row r="150" ht="15.75" customHeight="1">
      <c r="A150" s="12"/>
      <c r="B150" s="12"/>
      <c r="C150" s="12"/>
      <c r="D150" s="12"/>
      <c r="E150" s="12"/>
      <c r="F150" s="12"/>
    </row>
    <row r="151" ht="15.75" customHeight="1">
      <c r="A151" s="12"/>
      <c r="B151" s="12"/>
      <c r="C151" s="12"/>
      <c r="D151" s="12"/>
      <c r="E151" s="12"/>
      <c r="F151" s="12"/>
    </row>
    <row r="152" ht="15.75" customHeight="1">
      <c r="A152" s="12"/>
      <c r="B152" s="12"/>
      <c r="C152" s="12"/>
      <c r="D152" s="12"/>
      <c r="E152" s="12"/>
      <c r="F152" s="12"/>
    </row>
    <row r="153" ht="15.75" customHeight="1">
      <c r="A153" s="12"/>
      <c r="B153" s="12"/>
      <c r="C153" s="12"/>
      <c r="D153" s="12"/>
      <c r="E153" s="12"/>
      <c r="F153" s="12"/>
    </row>
    <row r="154" ht="15.75" customHeight="1">
      <c r="A154" s="12"/>
      <c r="B154" s="12"/>
      <c r="C154" s="12"/>
      <c r="D154" s="12"/>
      <c r="E154" s="12"/>
      <c r="F154" s="12"/>
    </row>
    <row r="155" ht="15.75" customHeight="1">
      <c r="A155" s="12"/>
      <c r="B155" s="12"/>
      <c r="C155" s="12"/>
      <c r="D155" s="12"/>
      <c r="E155" s="12"/>
      <c r="F155" s="12"/>
    </row>
    <row r="156" ht="15.75" customHeight="1">
      <c r="A156" s="12"/>
      <c r="B156" s="12"/>
      <c r="C156" s="12"/>
      <c r="D156" s="12"/>
      <c r="E156" s="12"/>
      <c r="F156" s="12"/>
    </row>
    <row r="157" ht="15.75" customHeight="1">
      <c r="A157" s="12"/>
      <c r="B157" s="12"/>
      <c r="C157" s="12"/>
      <c r="D157" s="12"/>
      <c r="E157" s="12"/>
      <c r="F157" s="12"/>
    </row>
    <row r="158" ht="15.75" customHeight="1">
      <c r="A158" s="12"/>
      <c r="B158" s="12"/>
      <c r="C158" s="12"/>
      <c r="D158" s="12"/>
      <c r="E158" s="12"/>
      <c r="F158" s="12"/>
    </row>
    <row r="159" ht="15.75" customHeight="1">
      <c r="A159" s="12"/>
      <c r="B159" s="12"/>
      <c r="C159" s="12"/>
      <c r="D159" s="12"/>
      <c r="E159" s="12"/>
      <c r="F159" s="12"/>
    </row>
    <row r="160" ht="15.75" customHeight="1">
      <c r="A160" s="12"/>
      <c r="B160" s="12"/>
      <c r="C160" s="12"/>
      <c r="D160" s="12"/>
      <c r="E160" s="12"/>
      <c r="F160" s="12"/>
    </row>
    <row r="161" ht="15.75" customHeight="1">
      <c r="A161" s="12"/>
      <c r="B161" s="12"/>
      <c r="C161" s="12"/>
      <c r="D161" s="12"/>
      <c r="E161" s="12"/>
      <c r="F161" s="12"/>
    </row>
    <row r="162" ht="15.75" customHeight="1">
      <c r="A162" s="12"/>
      <c r="B162" s="12"/>
      <c r="C162" s="12"/>
      <c r="D162" s="12"/>
      <c r="E162" s="12"/>
      <c r="F162" s="12"/>
    </row>
    <row r="163" ht="15.75" customHeight="1">
      <c r="A163" s="12"/>
      <c r="B163" s="12"/>
      <c r="C163" s="12"/>
      <c r="D163" s="12"/>
      <c r="E163" s="12"/>
      <c r="F163" s="12"/>
    </row>
    <row r="164" ht="15.75" customHeight="1">
      <c r="A164" s="12"/>
      <c r="B164" s="12"/>
      <c r="C164" s="12"/>
      <c r="D164" s="12"/>
      <c r="E164" s="12"/>
      <c r="F164" s="12"/>
    </row>
    <row r="165" ht="15.75" customHeight="1">
      <c r="A165" s="12"/>
      <c r="B165" s="12"/>
      <c r="C165" s="12"/>
      <c r="D165" s="12"/>
      <c r="E165" s="12"/>
      <c r="F165" s="12"/>
    </row>
    <row r="166" ht="15.75" customHeight="1">
      <c r="A166" s="12"/>
      <c r="B166" s="12"/>
      <c r="C166" s="12"/>
      <c r="D166" s="12"/>
      <c r="E166" s="12"/>
      <c r="F166" s="12"/>
    </row>
    <row r="167" ht="15.75" customHeight="1">
      <c r="A167" s="12"/>
      <c r="B167" s="12"/>
      <c r="C167" s="12"/>
      <c r="D167" s="12"/>
      <c r="E167" s="12"/>
      <c r="F167" s="12"/>
    </row>
    <row r="168" ht="15.75" customHeight="1">
      <c r="A168" s="12"/>
      <c r="B168" s="12"/>
      <c r="C168" s="12"/>
      <c r="D168" s="12"/>
      <c r="E168" s="12"/>
      <c r="F168" s="12"/>
    </row>
    <row r="169" ht="15.75" customHeight="1">
      <c r="A169" s="12"/>
      <c r="B169" s="12"/>
      <c r="C169" s="12"/>
      <c r="D169" s="12"/>
      <c r="E169" s="12"/>
      <c r="F169" s="12"/>
    </row>
    <row r="170" ht="15.75" customHeight="1">
      <c r="A170" s="12"/>
      <c r="B170" s="12"/>
      <c r="C170" s="12"/>
      <c r="D170" s="12"/>
      <c r="E170" s="12"/>
      <c r="F170" s="12"/>
    </row>
    <row r="171" ht="15.75" customHeight="1">
      <c r="A171" s="12"/>
      <c r="B171" s="12"/>
      <c r="C171" s="12"/>
      <c r="D171" s="12"/>
      <c r="E171" s="12"/>
      <c r="F171" s="12"/>
    </row>
    <row r="172" ht="15.75" customHeight="1">
      <c r="A172" s="12"/>
      <c r="B172" s="12"/>
      <c r="C172" s="12"/>
      <c r="D172" s="12"/>
      <c r="E172" s="12"/>
      <c r="F172" s="12"/>
    </row>
    <row r="173" ht="15.75" customHeight="1">
      <c r="A173" s="12"/>
      <c r="B173" s="12"/>
      <c r="C173" s="12"/>
      <c r="D173" s="12"/>
      <c r="E173" s="12"/>
      <c r="F173" s="12"/>
    </row>
    <row r="174" ht="15.75" customHeight="1">
      <c r="A174" s="12"/>
      <c r="B174" s="12"/>
      <c r="C174" s="12"/>
      <c r="D174" s="12"/>
      <c r="E174" s="12"/>
      <c r="F174" s="12"/>
    </row>
    <row r="175" ht="15.75" customHeight="1">
      <c r="A175" s="12"/>
      <c r="B175" s="12"/>
      <c r="C175" s="12"/>
      <c r="D175" s="12"/>
      <c r="E175" s="12"/>
      <c r="F175" s="12"/>
    </row>
    <row r="176" ht="15.75" customHeight="1">
      <c r="A176" s="12"/>
      <c r="B176" s="12"/>
      <c r="C176" s="12"/>
      <c r="D176" s="12"/>
      <c r="E176" s="12"/>
      <c r="F176" s="12"/>
    </row>
    <row r="177" ht="15.75" customHeight="1">
      <c r="A177" s="12"/>
      <c r="B177" s="12"/>
      <c r="C177" s="12"/>
      <c r="D177" s="12"/>
      <c r="E177" s="12"/>
      <c r="F177" s="12"/>
    </row>
    <row r="178" ht="15.75" customHeight="1">
      <c r="A178" s="12"/>
      <c r="B178" s="12"/>
      <c r="C178" s="12"/>
      <c r="D178" s="12"/>
      <c r="E178" s="12"/>
      <c r="F178" s="12"/>
    </row>
    <row r="179" ht="15.75" customHeight="1">
      <c r="A179" s="12"/>
      <c r="B179" s="12"/>
      <c r="C179" s="12"/>
      <c r="D179" s="12"/>
      <c r="E179" s="12"/>
      <c r="F179" s="12"/>
    </row>
    <row r="180" ht="15.75" customHeight="1">
      <c r="A180" s="12"/>
      <c r="B180" s="12"/>
      <c r="C180" s="12"/>
      <c r="D180" s="12"/>
      <c r="E180" s="12"/>
      <c r="F180" s="12"/>
    </row>
    <row r="181" ht="15.75" customHeight="1">
      <c r="A181" s="12"/>
      <c r="B181" s="12"/>
      <c r="C181" s="12"/>
      <c r="D181" s="12"/>
      <c r="E181" s="12"/>
      <c r="F181" s="12"/>
    </row>
    <row r="182" ht="15.75" customHeight="1">
      <c r="A182" s="12"/>
      <c r="B182" s="12"/>
      <c r="C182" s="12"/>
      <c r="D182" s="12"/>
      <c r="E182" s="12"/>
      <c r="F182" s="12"/>
    </row>
    <row r="183" ht="15.75" customHeight="1">
      <c r="A183" s="12"/>
      <c r="B183" s="12"/>
      <c r="C183" s="12"/>
      <c r="D183" s="12"/>
      <c r="E183" s="12"/>
      <c r="F183" s="12"/>
    </row>
    <row r="184" ht="15.75" customHeight="1">
      <c r="A184" s="12"/>
      <c r="B184" s="12"/>
      <c r="C184" s="12"/>
      <c r="D184" s="12"/>
      <c r="E184" s="12"/>
      <c r="F184" s="12"/>
    </row>
    <row r="185" ht="15.75" customHeight="1">
      <c r="A185" s="12"/>
      <c r="B185" s="12"/>
      <c r="C185" s="12"/>
      <c r="D185" s="12"/>
      <c r="E185" s="12"/>
      <c r="F185" s="12"/>
    </row>
    <row r="186" ht="15.75" customHeight="1">
      <c r="A186" s="12"/>
      <c r="B186" s="12"/>
      <c r="C186" s="12"/>
      <c r="D186" s="12"/>
      <c r="E186" s="12"/>
      <c r="F186" s="12"/>
    </row>
    <row r="187" ht="15.75" customHeight="1">
      <c r="A187" s="12"/>
      <c r="B187" s="12"/>
      <c r="C187" s="12"/>
      <c r="D187" s="12"/>
      <c r="E187" s="12"/>
      <c r="F187" s="12"/>
    </row>
    <row r="188" ht="15.75" customHeight="1">
      <c r="A188" s="12"/>
      <c r="B188" s="12"/>
      <c r="C188" s="12"/>
      <c r="D188" s="12"/>
      <c r="E188" s="12"/>
      <c r="F188" s="12"/>
    </row>
    <row r="189" ht="15.75" customHeight="1">
      <c r="A189" s="12"/>
      <c r="B189" s="12"/>
      <c r="C189" s="12"/>
      <c r="D189" s="12"/>
      <c r="E189" s="12"/>
      <c r="F189" s="12"/>
    </row>
    <row r="190" ht="15.75" customHeight="1">
      <c r="A190" s="12"/>
      <c r="B190" s="12"/>
      <c r="C190" s="12"/>
      <c r="D190" s="12"/>
      <c r="E190" s="12"/>
      <c r="F190" s="12"/>
    </row>
    <row r="191" ht="15.75" customHeight="1">
      <c r="A191" s="12"/>
      <c r="B191" s="12"/>
      <c r="C191" s="12"/>
      <c r="D191" s="12"/>
      <c r="E191" s="12"/>
      <c r="F191" s="12"/>
    </row>
    <row r="192" ht="15.75" customHeight="1">
      <c r="A192" s="12"/>
      <c r="B192" s="12"/>
      <c r="C192" s="12"/>
      <c r="D192" s="12"/>
      <c r="E192" s="12"/>
      <c r="F192" s="12"/>
    </row>
    <row r="193" ht="15.75" customHeight="1">
      <c r="A193" s="12"/>
      <c r="B193" s="12"/>
      <c r="C193" s="12"/>
      <c r="D193" s="12"/>
      <c r="E193" s="12"/>
      <c r="F193" s="12"/>
    </row>
    <row r="194" ht="15.75" customHeight="1">
      <c r="A194" s="12"/>
      <c r="B194" s="12"/>
      <c r="C194" s="12"/>
      <c r="D194" s="12"/>
      <c r="E194" s="12"/>
      <c r="F194" s="12"/>
    </row>
    <row r="195" ht="15.75" customHeight="1">
      <c r="A195" s="12"/>
      <c r="B195" s="12"/>
      <c r="C195" s="12"/>
      <c r="D195" s="12"/>
      <c r="E195" s="12"/>
      <c r="F195" s="12"/>
    </row>
    <row r="196" ht="15.75" customHeight="1">
      <c r="A196" s="12"/>
      <c r="B196" s="12"/>
      <c r="C196" s="12"/>
      <c r="D196" s="12"/>
      <c r="E196" s="12"/>
      <c r="F196" s="12"/>
    </row>
    <row r="197" ht="15.75" customHeight="1">
      <c r="A197" s="12"/>
      <c r="B197" s="12"/>
      <c r="C197" s="12"/>
      <c r="D197" s="12"/>
      <c r="E197" s="12"/>
      <c r="F197" s="12"/>
    </row>
    <row r="198" ht="15.75" customHeight="1">
      <c r="A198" s="12"/>
      <c r="B198" s="12"/>
      <c r="C198" s="12"/>
      <c r="D198" s="12"/>
      <c r="E198" s="12"/>
      <c r="F198" s="12"/>
    </row>
    <row r="199" ht="15.75" customHeight="1">
      <c r="A199" s="12"/>
      <c r="B199" s="12"/>
      <c r="C199" s="12"/>
      <c r="D199" s="12"/>
      <c r="E199" s="12"/>
      <c r="F199" s="12"/>
    </row>
    <row r="200" ht="15.75" customHeight="1">
      <c r="A200" s="12"/>
      <c r="B200" s="12"/>
      <c r="C200" s="12"/>
      <c r="D200" s="12"/>
      <c r="E200" s="12"/>
      <c r="F200" s="12"/>
    </row>
    <row r="201" ht="15.75" customHeight="1">
      <c r="A201" s="12"/>
      <c r="B201" s="12"/>
      <c r="C201" s="12"/>
      <c r="D201" s="12"/>
      <c r="E201" s="12"/>
      <c r="F201" s="12"/>
    </row>
    <row r="202" ht="15.75" customHeight="1">
      <c r="A202" s="12"/>
      <c r="B202" s="12"/>
      <c r="C202" s="12"/>
      <c r="D202" s="12"/>
      <c r="E202" s="12"/>
      <c r="F202" s="12"/>
    </row>
    <row r="203" ht="15.75" customHeight="1">
      <c r="A203" s="12"/>
      <c r="B203" s="12"/>
      <c r="C203" s="12"/>
      <c r="D203" s="12"/>
      <c r="E203" s="12"/>
      <c r="F203" s="12"/>
    </row>
    <row r="204" ht="15.75" customHeight="1">
      <c r="A204" s="12"/>
      <c r="B204" s="12"/>
      <c r="C204" s="12"/>
      <c r="D204" s="12"/>
      <c r="E204" s="12"/>
      <c r="F204" s="12"/>
    </row>
    <row r="205" ht="15.75" customHeight="1">
      <c r="A205" s="12"/>
      <c r="B205" s="12"/>
      <c r="C205" s="12"/>
      <c r="D205" s="12"/>
      <c r="E205" s="12"/>
      <c r="F205" s="12"/>
    </row>
    <row r="206" ht="15.75" customHeight="1">
      <c r="A206" s="12"/>
      <c r="B206" s="12"/>
      <c r="C206" s="12"/>
      <c r="D206" s="12"/>
      <c r="E206" s="12"/>
      <c r="F206" s="12"/>
    </row>
    <row r="207" ht="15.75" customHeight="1">
      <c r="A207" s="12"/>
      <c r="B207" s="12"/>
      <c r="C207" s="12"/>
      <c r="D207" s="12"/>
      <c r="E207" s="12"/>
      <c r="F207" s="12"/>
    </row>
    <row r="208" ht="15.75" customHeight="1">
      <c r="A208" s="12"/>
      <c r="B208" s="12"/>
      <c r="C208" s="12"/>
      <c r="D208" s="12"/>
      <c r="E208" s="12"/>
      <c r="F208" s="12"/>
    </row>
    <row r="209" ht="15.75" customHeight="1">
      <c r="A209" s="12"/>
      <c r="B209" s="12"/>
      <c r="C209" s="12"/>
      <c r="D209" s="12"/>
      <c r="E209" s="12"/>
      <c r="F209" s="12"/>
    </row>
    <row r="210" ht="15.75" customHeight="1">
      <c r="A210" s="12"/>
      <c r="B210" s="12"/>
      <c r="C210" s="12"/>
      <c r="D210" s="12"/>
      <c r="E210" s="12"/>
      <c r="F210" s="12"/>
    </row>
    <row r="211" ht="15.75" customHeight="1">
      <c r="A211" s="12"/>
      <c r="B211" s="12"/>
      <c r="C211" s="12"/>
      <c r="D211" s="12"/>
      <c r="E211" s="12"/>
      <c r="F211" s="12"/>
    </row>
    <row r="212" ht="15.75" customHeight="1">
      <c r="A212" s="12"/>
      <c r="B212" s="12"/>
      <c r="C212" s="12"/>
      <c r="D212" s="12"/>
      <c r="E212" s="12"/>
      <c r="F212" s="12"/>
    </row>
    <row r="213" ht="15.75" customHeight="1">
      <c r="A213" s="12"/>
      <c r="B213" s="12"/>
      <c r="C213" s="12"/>
      <c r="D213" s="12"/>
      <c r="E213" s="12"/>
      <c r="F213" s="12"/>
    </row>
    <row r="214" ht="15.75" customHeight="1">
      <c r="A214" s="12"/>
      <c r="B214" s="12"/>
      <c r="C214" s="12"/>
      <c r="D214" s="12"/>
      <c r="E214" s="12"/>
      <c r="F214" s="12"/>
    </row>
    <row r="215" ht="15.75" customHeight="1">
      <c r="A215" s="12"/>
      <c r="B215" s="12"/>
      <c r="C215" s="12"/>
      <c r="D215" s="12"/>
      <c r="E215" s="12"/>
      <c r="F215" s="12"/>
    </row>
    <row r="216" ht="15.75" customHeight="1">
      <c r="A216" s="12"/>
      <c r="B216" s="12"/>
      <c r="C216" s="12"/>
      <c r="D216" s="12"/>
      <c r="E216" s="12"/>
      <c r="F216" s="12"/>
    </row>
    <row r="217" ht="15.75" customHeight="1">
      <c r="A217" s="12"/>
      <c r="B217" s="12"/>
      <c r="C217" s="12"/>
      <c r="D217" s="12"/>
      <c r="E217" s="12"/>
      <c r="F217" s="12"/>
    </row>
    <row r="218" ht="15.75" customHeight="1">
      <c r="A218" s="12"/>
      <c r="B218" s="12"/>
      <c r="C218" s="12"/>
      <c r="D218" s="12"/>
      <c r="E218" s="12"/>
      <c r="F218" s="12"/>
    </row>
    <row r="219" ht="15.75" customHeight="1">
      <c r="A219" s="12"/>
      <c r="B219" s="12"/>
      <c r="C219" s="12"/>
      <c r="D219" s="12"/>
      <c r="E219" s="12"/>
      <c r="F219" s="12"/>
    </row>
    <row r="220" ht="15.75" customHeight="1">
      <c r="A220" s="12"/>
      <c r="B220" s="12"/>
      <c r="C220" s="12"/>
      <c r="D220" s="12"/>
      <c r="E220" s="12"/>
      <c r="F220" s="12"/>
    </row>
    <row r="221" ht="15.75" customHeight="1">
      <c r="A221" s="12"/>
      <c r="B221" s="12"/>
      <c r="C221" s="12"/>
      <c r="D221" s="12"/>
      <c r="E221" s="12"/>
      <c r="F221" s="12"/>
    </row>
    <row r="222" ht="15.75" customHeight="1">
      <c r="A222" s="12"/>
      <c r="B222" s="12"/>
      <c r="C222" s="12"/>
      <c r="D222" s="12"/>
      <c r="E222" s="12"/>
      <c r="F222" s="12"/>
    </row>
    <row r="223" ht="15.75" customHeight="1">
      <c r="A223" s="12"/>
      <c r="B223" s="12"/>
      <c r="C223" s="12"/>
      <c r="D223" s="12"/>
      <c r="E223" s="12"/>
      <c r="F223" s="12"/>
    </row>
    <row r="224" ht="15.75" customHeight="1">
      <c r="A224" s="12"/>
      <c r="B224" s="12"/>
      <c r="C224" s="12"/>
      <c r="D224" s="12"/>
      <c r="E224" s="12"/>
      <c r="F224" s="12"/>
    </row>
    <row r="225" ht="15.75" customHeight="1">
      <c r="A225" s="12"/>
      <c r="B225" s="12"/>
      <c r="C225" s="12"/>
      <c r="D225" s="12"/>
      <c r="E225" s="12"/>
      <c r="F225" s="12"/>
    </row>
    <row r="226" ht="15.75" customHeight="1">
      <c r="A226" s="12"/>
      <c r="B226" s="12"/>
      <c r="C226" s="12"/>
      <c r="D226" s="12"/>
      <c r="E226" s="12"/>
      <c r="F226" s="12"/>
    </row>
    <row r="227" ht="15.75" customHeight="1">
      <c r="A227" s="12"/>
      <c r="B227" s="12"/>
      <c r="C227" s="12"/>
      <c r="D227" s="12"/>
      <c r="E227" s="12"/>
      <c r="F227" s="12"/>
    </row>
    <row r="228" ht="15.75" customHeight="1">
      <c r="A228" s="12"/>
      <c r="B228" s="12"/>
      <c r="C228" s="12"/>
      <c r="D228" s="12"/>
      <c r="E228" s="12"/>
      <c r="F228" s="12"/>
    </row>
    <row r="229" ht="15.75" customHeight="1">
      <c r="A229" s="12"/>
      <c r="B229" s="12"/>
      <c r="C229" s="12"/>
      <c r="D229" s="12"/>
      <c r="E229" s="12"/>
      <c r="F229" s="12"/>
    </row>
    <row r="230" ht="15.75" customHeight="1">
      <c r="A230" s="12"/>
      <c r="B230" s="12"/>
      <c r="C230" s="12"/>
      <c r="D230" s="12"/>
      <c r="E230" s="12"/>
      <c r="F230" s="12"/>
    </row>
    <row r="231" ht="15.75" customHeight="1">
      <c r="A231" s="12"/>
      <c r="B231" s="12"/>
      <c r="C231" s="12"/>
      <c r="D231" s="12"/>
      <c r="E231" s="12"/>
      <c r="F231" s="12"/>
    </row>
    <row r="232" ht="15.75" customHeight="1">
      <c r="A232" s="12"/>
      <c r="B232" s="12"/>
      <c r="C232" s="12"/>
      <c r="D232" s="12"/>
      <c r="E232" s="12"/>
      <c r="F232" s="12"/>
    </row>
    <row r="233" ht="15.75" customHeight="1">
      <c r="A233" s="12"/>
      <c r="B233" s="12"/>
      <c r="C233" s="12"/>
      <c r="D233" s="12"/>
      <c r="E233" s="12"/>
      <c r="F233" s="12"/>
    </row>
    <row r="234" ht="15.75" customHeight="1">
      <c r="A234" s="12"/>
      <c r="B234" s="12"/>
      <c r="C234" s="12"/>
      <c r="D234" s="12"/>
      <c r="E234" s="12"/>
      <c r="F234" s="12"/>
    </row>
    <row r="235" ht="15.75" customHeight="1">
      <c r="A235" s="12"/>
      <c r="B235" s="12"/>
      <c r="C235" s="12"/>
      <c r="D235" s="12"/>
      <c r="E235" s="12"/>
      <c r="F235" s="12"/>
    </row>
    <row r="236" ht="15.75" customHeight="1">
      <c r="A236" s="12"/>
      <c r="B236" s="12"/>
      <c r="C236" s="12"/>
      <c r="D236" s="12"/>
      <c r="E236" s="12"/>
      <c r="F236" s="12"/>
    </row>
    <row r="237" ht="15.75" customHeight="1">
      <c r="A237" s="12"/>
      <c r="B237" s="12"/>
      <c r="C237" s="12"/>
      <c r="D237" s="12"/>
      <c r="E237" s="12"/>
      <c r="F237" s="12"/>
    </row>
    <row r="238" ht="15.75" customHeight="1">
      <c r="A238" s="12"/>
      <c r="B238" s="12"/>
      <c r="C238" s="12"/>
      <c r="D238" s="12"/>
      <c r="E238" s="12"/>
      <c r="F238" s="12"/>
    </row>
    <row r="239" ht="15.75" customHeight="1">
      <c r="A239" s="12"/>
      <c r="B239" s="12"/>
      <c r="C239" s="12"/>
      <c r="D239" s="12"/>
      <c r="E239" s="12"/>
      <c r="F239" s="12"/>
    </row>
    <row r="240" ht="15.75" customHeight="1">
      <c r="A240" s="12"/>
      <c r="B240" s="12"/>
      <c r="C240" s="12"/>
      <c r="D240" s="12"/>
      <c r="E240" s="12"/>
      <c r="F240" s="12"/>
    </row>
    <row r="241" ht="15.75" customHeight="1">
      <c r="A241" s="12"/>
      <c r="B241" s="12"/>
      <c r="C241" s="12"/>
      <c r="D241" s="12"/>
      <c r="E241" s="12"/>
      <c r="F241" s="12"/>
    </row>
    <row r="242" ht="15.75" customHeight="1">
      <c r="A242" s="12"/>
      <c r="B242" s="12"/>
      <c r="C242" s="12"/>
      <c r="D242" s="12"/>
      <c r="E242" s="12"/>
      <c r="F242" s="12"/>
    </row>
    <row r="243" ht="15.75" customHeight="1">
      <c r="A243" s="12"/>
      <c r="B243" s="12"/>
      <c r="C243" s="12"/>
      <c r="D243" s="12"/>
      <c r="E243" s="12"/>
      <c r="F243" s="12"/>
    </row>
    <row r="244" ht="15.75" customHeight="1">
      <c r="A244" s="12"/>
      <c r="B244" s="12"/>
      <c r="C244" s="12"/>
      <c r="D244" s="12"/>
      <c r="E244" s="12"/>
      <c r="F244" s="12"/>
    </row>
    <row r="245" ht="15.75" customHeight="1">
      <c r="A245" s="12"/>
      <c r="B245" s="12"/>
      <c r="C245" s="12"/>
      <c r="D245" s="12"/>
      <c r="E245" s="12"/>
      <c r="F245" s="12"/>
    </row>
    <row r="246" ht="15.75" customHeight="1">
      <c r="A246" s="12"/>
      <c r="B246" s="12"/>
      <c r="C246" s="12"/>
      <c r="D246" s="12"/>
      <c r="E246" s="12"/>
      <c r="F246" s="12"/>
    </row>
    <row r="247" ht="15.75" customHeight="1">
      <c r="A247" s="12"/>
      <c r="B247" s="12"/>
      <c r="C247" s="12"/>
      <c r="D247" s="12"/>
      <c r="E247" s="12"/>
      <c r="F247" s="12"/>
    </row>
    <row r="248" ht="15.75" customHeight="1">
      <c r="A248" s="12"/>
      <c r="B248" s="12"/>
      <c r="C248" s="12"/>
      <c r="D248" s="12"/>
      <c r="E248" s="12"/>
      <c r="F248" s="12"/>
    </row>
    <row r="249" ht="15.75" customHeight="1">
      <c r="A249" s="12"/>
      <c r="B249" s="12"/>
      <c r="C249" s="12"/>
      <c r="D249" s="12"/>
      <c r="E249" s="12"/>
      <c r="F249" s="12"/>
    </row>
    <row r="250" ht="15.75" customHeight="1">
      <c r="A250" s="12"/>
      <c r="B250" s="12"/>
      <c r="C250" s="12"/>
      <c r="D250" s="12"/>
      <c r="E250" s="12"/>
      <c r="F250" s="12"/>
    </row>
    <row r="251" ht="15.75" customHeight="1">
      <c r="A251" s="12"/>
      <c r="B251" s="12"/>
      <c r="C251" s="12"/>
      <c r="D251" s="12"/>
      <c r="E251" s="12"/>
      <c r="F251" s="12"/>
    </row>
    <row r="252" ht="15.75" customHeight="1">
      <c r="A252" s="12"/>
      <c r="B252" s="12"/>
      <c r="C252" s="12"/>
      <c r="D252" s="12"/>
      <c r="E252" s="12"/>
      <c r="F252" s="12"/>
    </row>
    <row r="253" ht="15.75" customHeight="1">
      <c r="A253" s="12"/>
      <c r="B253" s="12"/>
      <c r="C253" s="12"/>
      <c r="D253" s="12"/>
      <c r="E253" s="12"/>
      <c r="F253" s="12"/>
    </row>
    <row r="254" ht="15.75" customHeight="1">
      <c r="A254" s="12"/>
      <c r="B254" s="12"/>
      <c r="C254" s="12"/>
      <c r="D254" s="12"/>
      <c r="E254" s="12"/>
      <c r="F254" s="12"/>
    </row>
    <row r="255" ht="15.75" customHeight="1">
      <c r="A255" s="12"/>
      <c r="B255" s="12"/>
      <c r="C255" s="12"/>
      <c r="D255" s="12"/>
      <c r="E255" s="12"/>
      <c r="F255" s="12"/>
    </row>
    <row r="256" ht="15.75" customHeight="1">
      <c r="A256" s="12"/>
      <c r="B256" s="12"/>
      <c r="C256" s="12"/>
      <c r="D256" s="12"/>
      <c r="E256" s="12"/>
      <c r="F256" s="12"/>
    </row>
    <row r="257" ht="15.75" customHeight="1">
      <c r="A257" s="12"/>
      <c r="B257" s="12"/>
      <c r="C257" s="12"/>
      <c r="D257" s="12"/>
      <c r="E257" s="12"/>
      <c r="F257" s="12"/>
    </row>
    <row r="258" ht="15.75" customHeight="1">
      <c r="A258" s="12"/>
      <c r="B258" s="12"/>
      <c r="C258" s="12"/>
      <c r="D258" s="12"/>
      <c r="E258" s="12"/>
      <c r="F258" s="12"/>
    </row>
    <row r="259" ht="15.75" customHeight="1">
      <c r="A259" s="12"/>
      <c r="B259" s="12"/>
      <c r="C259" s="12"/>
      <c r="D259" s="12"/>
      <c r="E259" s="12"/>
      <c r="F259" s="12"/>
    </row>
    <row r="260" ht="15.75" customHeight="1">
      <c r="A260" s="12"/>
      <c r="B260" s="12"/>
      <c r="C260" s="12"/>
      <c r="D260" s="12"/>
      <c r="E260" s="12"/>
      <c r="F260" s="12"/>
    </row>
    <row r="261" ht="15.75" customHeight="1">
      <c r="A261" s="12"/>
      <c r="B261" s="12"/>
      <c r="C261" s="12"/>
      <c r="D261" s="12"/>
      <c r="E261" s="12"/>
      <c r="F261" s="12"/>
    </row>
    <row r="262" ht="15.75" customHeight="1">
      <c r="A262" s="12"/>
      <c r="B262" s="12"/>
      <c r="C262" s="12"/>
      <c r="D262" s="12"/>
      <c r="E262" s="12"/>
      <c r="F262" s="12"/>
    </row>
    <row r="263" ht="15.75" customHeight="1">
      <c r="A263" s="12"/>
      <c r="B263" s="12"/>
      <c r="C263" s="12"/>
      <c r="D263" s="12"/>
      <c r="E263" s="12"/>
      <c r="F263" s="12"/>
    </row>
    <row r="264" ht="15.75" customHeight="1">
      <c r="A264" s="12"/>
      <c r="B264" s="12"/>
      <c r="C264" s="12"/>
      <c r="D264" s="12"/>
      <c r="E264" s="12"/>
      <c r="F264" s="12"/>
    </row>
    <row r="265" ht="15.75" customHeight="1">
      <c r="A265" s="12"/>
      <c r="B265" s="12"/>
      <c r="C265" s="12"/>
      <c r="D265" s="12"/>
      <c r="E265" s="12"/>
      <c r="F265" s="12"/>
    </row>
    <row r="266" ht="15.75" customHeight="1">
      <c r="A266" s="12"/>
      <c r="B266" s="12"/>
      <c r="C266" s="12"/>
      <c r="D266" s="12"/>
      <c r="E266" s="12"/>
      <c r="F266" s="12"/>
    </row>
    <row r="267" ht="15.75" customHeight="1">
      <c r="A267" s="12"/>
      <c r="B267" s="12"/>
      <c r="C267" s="12"/>
      <c r="D267" s="12"/>
      <c r="E267" s="12"/>
      <c r="F267" s="12"/>
    </row>
    <row r="268" ht="15.75" customHeight="1">
      <c r="A268" s="12"/>
      <c r="B268" s="12"/>
      <c r="C268" s="12"/>
      <c r="D268" s="12"/>
      <c r="E268" s="12"/>
      <c r="F268" s="12"/>
    </row>
    <row r="269" ht="15.75" customHeight="1">
      <c r="A269" s="12"/>
      <c r="B269" s="12"/>
      <c r="C269" s="12"/>
      <c r="D269" s="12"/>
      <c r="E269" s="12"/>
      <c r="F269" s="12"/>
    </row>
    <row r="270" ht="15.75" customHeight="1">
      <c r="A270" s="12"/>
      <c r="B270" s="12"/>
      <c r="C270" s="12"/>
      <c r="D270" s="12"/>
      <c r="E270" s="12"/>
      <c r="F270" s="12"/>
    </row>
    <row r="271" ht="15.75" customHeight="1">
      <c r="A271" s="12"/>
      <c r="B271" s="12"/>
      <c r="C271" s="12"/>
      <c r="D271" s="12"/>
      <c r="E271" s="12"/>
      <c r="F271" s="12"/>
    </row>
    <row r="272" ht="15.75" customHeight="1">
      <c r="A272" s="12"/>
      <c r="B272" s="12"/>
      <c r="C272" s="12"/>
      <c r="D272" s="12"/>
      <c r="E272" s="12"/>
      <c r="F272" s="12"/>
    </row>
    <row r="273" ht="15.75" customHeight="1">
      <c r="A273" s="12"/>
      <c r="B273" s="12"/>
      <c r="C273" s="12"/>
      <c r="D273" s="12"/>
      <c r="E273" s="12"/>
      <c r="F273" s="12"/>
    </row>
    <row r="274" ht="15.75" customHeight="1">
      <c r="A274" s="12"/>
      <c r="B274" s="12"/>
      <c r="C274" s="12"/>
      <c r="D274" s="12"/>
      <c r="E274" s="12"/>
      <c r="F274" s="12"/>
    </row>
    <row r="275" ht="15.75" customHeight="1">
      <c r="A275" s="12"/>
      <c r="B275" s="12"/>
      <c r="C275" s="12"/>
      <c r="D275" s="12"/>
      <c r="E275" s="12"/>
      <c r="F275" s="12"/>
    </row>
    <row r="276" ht="15.75" customHeight="1">
      <c r="A276" s="12"/>
      <c r="B276" s="12"/>
      <c r="C276" s="12"/>
      <c r="D276" s="12"/>
      <c r="E276" s="12"/>
      <c r="F276" s="12"/>
    </row>
    <row r="277" ht="15.75" customHeight="1">
      <c r="A277" s="12"/>
      <c r="B277" s="12"/>
      <c r="C277" s="12"/>
      <c r="D277" s="12"/>
      <c r="E277" s="12"/>
      <c r="F277" s="12"/>
    </row>
    <row r="278" ht="15.75" customHeight="1">
      <c r="A278" s="12"/>
      <c r="B278" s="12"/>
      <c r="C278" s="12"/>
      <c r="D278" s="12"/>
      <c r="E278" s="12"/>
      <c r="F278" s="12"/>
    </row>
    <row r="279" ht="15.75" customHeight="1">
      <c r="A279" s="12"/>
      <c r="B279" s="12"/>
      <c r="C279" s="12"/>
      <c r="D279" s="12"/>
      <c r="E279" s="12"/>
      <c r="F279" s="12"/>
    </row>
    <row r="280" ht="15.75" customHeight="1">
      <c r="A280" s="12"/>
      <c r="B280" s="12"/>
      <c r="C280" s="12"/>
      <c r="D280" s="12"/>
      <c r="E280" s="12"/>
      <c r="F280" s="12"/>
    </row>
    <row r="281" ht="15.75" customHeight="1">
      <c r="A281" s="12"/>
      <c r="B281" s="12"/>
      <c r="C281" s="12"/>
      <c r="D281" s="12"/>
      <c r="E281" s="12"/>
      <c r="F281" s="12"/>
    </row>
    <row r="282" ht="15.75" customHeight="1">
      <c r="A282" s="12"/>
      <c r="B282" s="12"/>
      <c r="C282" s="12"/>
      <c r="D282" s="12"/>
      <c r="E282" s="12"/>
      <c r="F282" s="12"/>
    </row>
    <row r="283" ht="15.75" customHeight="1">
      <c r="A283" s="12"/>
      <c r="B283" s="12"/>
      <c r="C283" s="12"/>
      <c r="D283" s="12"/>
      <c r="E283" s="12"/>
      <c r="F283" s="12"/>
    </row>
    <row r="284" ht="15.75" customHeight="1">
      <c r="A284" s="12"/>
      <c r="B284" s="12"/>
      <c r="C284" s="12"/>
      <c r="D284" s="12"/>
      <c r="E284" s="12"/>
      <c r="F284" s="12"/>
    </row>
    <row r="285" ht="15.75" customHeight="1">
      <c r="A285" s="12"/>
      <c r="B285" s="12"/>
      <c r="C285" s="12"/>
      <c r="D285" s="12"/>
      <c r="E285" s="12"/>
      <c r="F285" s="12"/>
    </row>
    <row r="286" ht="15.75" customHeight="1">
      <c r="A286" s="12"/>
      <c r="B286" s="12"/>
      <c r="C286" s="12"/>
      <c r="D286" s="12"/>
      <c r="E286" s="12"/>
      <c r="F286" s="12"/>
    </row>
    <row r="287" ht="15.75" customHeight="1">
      <c r="A287" s="12"/>
      <c r="B287" s="12"/>
      <c r="C287" s="12"/>
      <c r="D287" s="12"/>
      <c r="E287" s="12"/>
      <c r="F287" s="12"/>
    </row>
    <row r="288" ht="15.75" customHeight="1">
      <c r="A288" s="12"/>
      <c r="B288" s="12"/>
      <c r="C288" s="12"/>
      <c r="D288" s="12"/>
      <c r="E288" s="12"/>
      <c r="F288" s="12"/>
    </row>
    <row r="289" ht="15.75" customHeight="1">
      <c r="A289" s="12"/>
      <c r="B289" s="12"/>
      <c r="C289" s="12"/>
      <c r="D289" s="12"/>
      <c r="E289" s="12"/>
      <c r="F289" s="12"/>
    </row>
    <row r="290" ht="15.75" customHeight="1">
      <c r="A290" s="12"/>
      <c r="B290" s="12"/>
      <c r="C290" s="12"/>
      <c r="D290" s="12"/>
      <c r="E290" s="12"/>
      <c r="F290" s="12"/>
    </row>
    <row r="291" ht="15.75" customHeight="1">
      <c r="A291" s="12"/>
      <c r="B291" s="12"/>
      <c r="C291" s="12"/>
      <c r="D291" s="12"/>
      <c r="E291" s="12"/>
      <c r="F291" s="12"/>
    </row>
    <row r="292" ht="15.75" customHeight="1">
      <c r="A292" s="12"/>
      <c r="B292" s="12"/>
      <c r="C292" s="12"/>
      <c r="D292" s="12"/>
      <c r="E292" s="12"/>
      <c r="F292" s="12"/>
    </row>
    <row r="293" ht="15.75" customHeight="1">
      <c r="A293" s="12"/>
      <c r="B293" s="12"/>
      <c r="C293" s="12"/>
      <c r="D293" s="12"/>
      <c r="E293" s="12"/>
      <c r="F293" s="12"/>
    </row>
    <row r="294" ht="15.75" customHeight="1">
      <c r="A294" s="12"/>
      <c r="B294" s="12"/>
      <c r="C294" s="12"/>
      <c r="D294" s="12"/>
      <c r="E294" s="12"/>
      <c r="F294" s="12"/>
    </row>
    <row r="295" ht="15.75" customHeight="1">
      <c r="A295" s="12"/>
      <c r="B295" s="12"/>
      <c r="C295" s="12"/>
      <c r="D295" s="12"/>
      <c r="E295" s="12"/>
      <c r="F295" s="12"/>
    </row>
    <row r="296" ht="15.75" customHeight="1">
      <c r="A296" s="12"/>
      <c r="B296" s="12"/>
      <c r="C296" s="12"/>
      <c r="D296" s="12"/>
      <c r="E296" s="12"/>
      <c r="F296" s="12"/>
    </row>
    <row r="297" ht="15.75" customHeight="1">
      <c r="A297" s="12"/>
      <c r="B297" s="12"/>
      <c r="C297" s="12"/>
      <c r="D297" s="12"/>
      <c r="E297" s="12"/>
      <c r="F297" s="12"/>
    </row>
    <row r="298" ht="15.75" customHeight="1">
      <c r="A298" s="12"/>
      <c r="B298" s="12"/>
      <c r="C298" s="12"/>
      <c r="D298" s="12"/>
      <c r="E298" s="12"/>
      <c r="F298" s="12"/>
    </row>
    <row r="299" ht="15.75" customHeight="1">
      <c r="A299" s="12"/>
      <c r="B299" s="12"/>
      <c r="C299" s="12"/>
      <c r="D299" s="12"/>
      <c r="E299" s="12"/>
      <c r="F299" s="12"/>
    </row>
    <row r="300" ht="15.75" customHeight="1">
      <c r="A300" s="12"/>
      <c r="B300" s="12"/>
      <c r="C300" s="12"/>
      <c r="D300" s="12"/>
      <c r="E300" s="12"/>
      <c r="F300" s="12"/>
    </row>
    <row r="301" ht="15.75" customHeight="1">
      <c r="A301" s="12"/>
      <c r="B301" s="12"/>
      <c r="C301" s="12"/>
      <c r="D301" s="12"/>
      <c r="E301" s="12"/>
      <c r="F301" s="12"/>
    </row>
    <row r="302" ht="15.75" customHeight="1">
      <c r="A302" s="12"/>
      <c r="B302" s="12"/>
      <c r="C302" s="12"/>
      <c r="D302" s="12"/>
      <c r="E302" s="12"/>
      <c r="F302" s="12"/>
    </row>
    <row r="303" ht="15.75" customHeight="1">
      <c r="A303" s="12"/>
      <c r="B303" s="12"/>
      <c r="C303" s="12"/>
      <c r="D303" s="12"/>
      <c r="E303" s="12"/>
      <c r="F303" s="12"/>
    </row>
    <row r="304" ht="15.75" customHeight="1">
      <c r="A304" s="12"/>
      <c r="B304" s="12"/>
      <c r="C304" s="12"/>
      <c r="D304" s="12"/>
      <c r="E304" s="12"/>
      <c r="F304" s="12"/>
    </row>
    <row r="305" ht="15.75" customHeight="1">
      <c r="A305" s="12"/>
      <c r="B305" s="12"/>
      <c r="C305" s="12"/>
      <c r="D305" s="12"/>
      <c r="E305" s="12"/>
      <c r="F305" s="12"/>
    </row>
    <row r="306" ht="15.75" customHeight="1">
      <c r="A306" s="12"/>
      <c r="B306" s="12"/>
      <c r="C306" s="12"/>
      <c r="D306" s="12"/>
      <c r="E306" s="12"/>
      <c r="F306" s="12"/>
    </row>
    <row r="307" ht="15.75" customHeight="1">
      <c r="A307" s="12"/>
      <c r="B307" s="12"/>
      <c r="C307" s="12"/>
      <c r="D307" s="12"/>
      <c r="E307" s="12"/>
      <c r="F307" s="12"/>
    </row>
    <row r="308" ht="15.75" customHeight="1">
      <c r="A308" s="12"/>
      <c r="B308" s="12"/>
      <c r="C308" s="12"/>
      <c r="D308" s="12"/>
      <c r="E308" s="12"/>
      <c r="F308" s="12"/>
    </row>
    <row r="309" ht="15.75" customHeight="1">
      <c r="A309" s="12"/>
      <c r="B309" s="12"/>
      <c r="C309" s="12"/>
      <c r="D309" s="12"/>
      <c r="E309" s="12"/>
      <c r="F309" s="12"/>
    </row>
    <row r="310" ht="15.75" customHeight="1">
      <c r="A310" s="12"/>
      <c r="B310" s="12"/>
      <c r="C310" s="12"/>
      <c r="D310" s="12"/>
      <c r="E310" s="12"/>
      <c r="F310" s="12"/>
    </row>
    <row r="311" ht="15.75" customHeight="1">
      <c r="A311" s="12"/>
      <c r="B311" s="12"/>
      <c r="C311" s="12"/>
      <c r="D311" s="12"/>
      <c r="E311" s="12"/>
      <c r="F311" s="12"/>
    </row>
    <row r="312" ht="15.75" customHeight="1">
      <c r="A312" s="12"/>
      <c r="B312" s="12"/>
      <c r="C312" s="12"/>
      <c r="D312" s="12"/>
      <c r="E312" s="12"/>
      <c r="F312" s="12"/>
    </row>
    <row r="313" ht="15.75" customHeight="1">
      <c r="A313" s="12"/>
      <c r="B313" s="12"/>
      <c r="C313" s="12"/>
      <c r="D313" s="12"/>
      <c r="E313" s="12"/>
      <c r="F313" s="12"/>
    </row>
    <row r="314" ht="15.75" customHeight="1">
      <c r="A314" s="12"/>
      <c r="B314" s="12"/>
      <c r="C314" s="12"/>
      <c r="D314" s="12"/>
      <c r="E314" s="12"/>
      <c r="F314" s="12"/>
    </row>
    <row r="315" ht="15.75" customHeight="1">
      <c r="A315" s="12"/>
      <c r="B315" s="12"/>
      <c r="C315" s="12"/>
      <c r="D315" s="12"/>
      <c r="E315" s="12"/>
      <c r="F315" s="12"/>
    </row>
    <row r="316" ht="15.75" customHeight="1">
      <c r="A316" s="12"/>
      <c r="B316" s="12"/>
      <c r="C316" s="12"/>
      <c r="D316" s="12"/>
      <c r="E316" s="12"/>
      <c r="F316" s="12"/>
    </row>
    <row r="317" ht="15.75" customHeight="1">
      <c r="A317" s="12"/>
      <c r="B317" s="12"/>
      <c r="C317" s="12"/>
      <c r="D317" s="12"/>
      <c r="E317" s="12"/>
      <c r="F317" s="12"/>
    </row>
    <row r="318" ht="15.75" customHeight="1">
      <c r="A318" s="12"/>
      <c r="B318" s="12"/>
      <c r="C318" s="12"/>
      <c r="D318" s="12"/>
      <c r="E318" s="12"/>
      <c r="F318" s="12"/>
    </row>
    <row r="319" ht="15.75" customHeight="1">
      <c r="A319" s="12"/>
      <c r="B319" s="12"/>
      <c r="C319" s="12"/>
      <c r="D319" s="12"/>
      <c r="E319" s="12"/>
      <c r="F319" s="12"/>
    </row>
    <row r="320" ht="15.75" customHeight="1">
      <c r="A320" s="12"/>
      <c r="B320" s="12"/>
      <c r="C320" s="12"/>
      <c r="D320" s="12"/>
      <c r="E320" s="12"/>
      <c r="F320" s="12"/>
    </row>
    <row r="321" ht="15.75" customHeight="1">
      <c r="A321" s="12"/>
      <c r="B321" s="12"/>
      <c r="C321" s="12"/>
      <c r="D321" s="12"/>
      <c r="E321" s="12"/>
      <c r="F321" s="12"/>
    </row>
    <row r="322" ht="15.75" customHeight="1">
      <c r="A322" s="12"/>
      <c r="B322" s="12"/>
      <c r="C322" s="12"/>
      <c r="D322" s="12"/>
      <c r="E322" s="12"/>
      <c r="F322" s="12"/>
    </row>
    <row r="323" ht="15.75" customHeight="1">
      <c r="A323" s="12"/>
      <c r="B323" s="12"/>
      <c r="C323" s="12"/>
      <c r="D323" s="12"/>
      <c r="E323" s="12"/>
      <c r="F323" s="12"/>
    </row>
    <row r="324" ht="15.75" customHeight="1">
      <c r="A324" s="12"/>
      <c r="B324" s="12"/>
      <c r="C324" s="12"/>
      <c r="D324" s="12"/>
      <c r="E324" s="12"/>
      <c r="F324" s="12"/>
    </row>
    <row r="325" ht="15.75" customHeight="1">
      <c r="A325" s="12"/>
      <c r="B325" s="12"/>
      <c r="C325" s="12"/>
      <c r="D325" s="12"/>
      <c r="E325" s="12"/>
      <c r="F325" s="12"/>
    </row>
    <row r="326" ht="15.75" customHeight="1">
      <c r="A326" s="12"/>
      <c r="B326" s="12"/>
      <c r="C326" s="12"/>
      <c r="D326" s="12"/>
      <c r="E326" s="12"/>
      <c r="F326" s="12"/>
    </row>
    <row r="327" ht="15.75" customHeight="1">
      <c r="A327" s="12"/>
      <c r="B327" s="12"/>
      <c r="C327" s="12"/>
      <c r="D327" s="12"/>
      <c r="E327" s="12"/>
      <c r="F327" s="12"/>
    </row>
    <row r="328" ht="15.75" customHeight="1">
      <c r="A328" s="12"/>
      <c r="B328" s="12"/>
      <c r="C328" s="12"/>
      <c r="D328" s="12"/>
      <c r="E328" s="12"/>
      <c r="F328" s="12"/>
    </row>
    <row r="329" ht="15.75" customHeight="1">
      <c r="A329" s="12"/>
      <c r="B329" s="12"/>
      <c r="C329" s="12"/>
      <c r="D329" s="12"/>
      <c r="E329" s="12"/>
      <c r="F329" s="12"/>
    </row>
    <row r="330" ht="15.75" customHeight="1">
      <c r="A330" s="12"/>
      <c r="B330" s="12"/>
      <c r="C330" s="12"/>
      <c r="D330" s="12"/>
      <c r="E330" s="12"/>
      <c r="F330" s="12"/>
    </row>
    <row r="331" ht="15.75" customHeight="1">
      <c r="A331" s="12"/>
      <c r="B331" s="12"/>
      <c r="C331" s="12"/>
      <c r="D331" s="12"/>
      <c r="E331" s="12"/>
      <c r="F331" s="12"/>
    </row>
    <row r="332" ht="15.75" customHeight="1">
      <c r="A332" s="12"/>
      <c r="B332" s="12"/>
      <c r="C332" s="12"/>
      <c r="D332" s="12"/>
      <c r="E332" s="12"/>
      <c r="F332" s="12"/>
    </row>
    <row r="333" ht="15.75" customHeight="1">
      <c r="A333" s="12"/>
      <c r="B333" s="12"/>
      <c r="C333" s="12"/>
      <c r="D333" s="12"/>
      <c r="E333" s="12"/>
      <c r="F333" s="12"/>
    </row>
    <row r="334" ht="15.75" customHeight="1">
      <c r="A334" s="12"/>
      <c r="B334" s="12"/>
      <c r="C334" s="12"/>
      <c r="D334" s="12"/>
      <c r="E334" s="12"/>
      <c r="F334" s="12"/>
    </row>
    <row r="335" ht="15.75" customHeight="1">
      <c r="A335" s="12"/>
      <c r="B335" s="12"/>
      <c r="C335" s="12"/>
      <c r="D335" s="12"/>
      <c r="E335" s="12"/>
      <c r="F335" s="12"/>
    </row>
    <row r="336" ht="15.75" customHeight="1">
      <c r="A336" s="12"/>
      <c r="B336" s="12"/>
      <c r="C336" s="12"/>
      <c r="D336" s="12"/>
      <c r="E336" s="12"/>
      <c r="F336" s="12"/>
    </row>
    <row r="337" ht="15.75" customHeight="1">
      <c r="A337" s="12"/>
      <c r="B337" s="12"/>
      <c r="C337" s="12"/>
      <c r="D337" s="12"/>
      <c r="E337" s="12"/>
      <c r="F337" s="12"/>
    </row>
    <row r="338" ht="15.75" customHeight="1">
      <c r="A338" s="12"/>
      <c r="B338" s="12"/>
      <c r="C338" s="12"/>
      <c r="D338" s="12"/>
      <c r="E338" s="12"/>
      <c r="F338" s="12"/>
    </row>
    <row r="339" ht="15.75" customHeight="1">
      <c r="A339" s="12"/>
      <c r="B339" s="12"/>
      <c r="C339" s="12"/>
      <c r="D339" s="12"/>
      <c r="E339" s="12"/>
      <c r="F339" s="12"/>
    </row>
    <row r="340" ht="15.75" customHeight="1">
      <c r="A340" s="12"/>
      <c r="B340" s="12"/>
      <c r="C340" s="12"/>
      <c r="D340" s="12"/>
      <c r="E340" s="12"/>
      <c r="F340" s="12"/>
    </row>
    <row r="341" ht="15.75" customHeight="1">
      <c r="A341" s="12"/>
      <c r="B341" s="12"/>
      <c r="C341" s="12"/>
      <c r="D341" s="12"/>
      <c r="E341" s="12"/>
      <c r="F341" s="12"/>
    </row>
    <row r="342" ht="15.75" customHeight="1">
      <c r="A342" s="12"/>
      <c r="B342" s="12"/>
      <c r="C342" s="12"/>
      <c r="D342" s="12"/>
      <c r="E342" s="12"/>
      <c r="F342" s="12"/>
    </row>
    <row r="343" ht="15.75" customHeight="1">
      <c r="A343" s="12"/>
      <c r="B343" s="12"/>
      <c r="C343" s="12"/>
      <c r="D343" s="12"/>
      <c r="E343" s="12"/>
      <c r="F343" s="12"/>
    </row>
    <row r="344" ht="15.75" customHeight="1">
      <c r="A344" s="12"/>
      <c r="B344" s="12"/>
      <c r="C344" s="12"/>
      <c r="D344" s="12"/>
      <c r="E344" s="12"/>
      <c r="F344" s="12"/>
    </row>
    <row r="345" ht="15.75" customHeight="1">
      <c r="A345" s="12"/>
      <c r="B345" s="12"/>
      <c r="C345" s="12"/>
      <c r="D345" s="12"/>
      <c r="E345" s="12"/>
      <c r="F345" s="12"/>
    </row>
    <row r="346" ht="15.75" customHeight="1">
      <c r="A346" s="12"/>
      <c r="B346" s="12"/>
      <c r="C346" s="12"/>
      <c r="D346" s="12"/>
      <c r="E346" s="12"/>
      <c r="F346" s="12"/>
    </row>
    <row r="347" ht="15.75" customHeight="1">
      <c r="A347" s="12"/>
      <c r="B347" s="12"/>
      <c r="C347" s="12"/>
      <c r="D347" s="12"/>
      <c r="E347" s="12"/>
      <c r="F347" s="12"/>
    </row>
    <row r="348" ht="15.75" customHeight="1">
      <c r="A348" s="12"/>
      <c r="B348" s="12"/>
      <c r="C348" s="12"/>
      <c r="D348" s="12"/>
      <c r="E348" s="12"/>
      <c r="F348" s="12"/>
    </row>
    <row r="349" ht="15.75" customHeight="1">
      <c r="A349" s="12"/>
      <c r="B349" s="12"/>
      <c r="C349" s="12"/>
      <c r="D349" s="12"/>
      <c r="E349" s="12"/>
      <c r="F349" s="12"/>
    </row>
    <row r="350" ht="15.75" customHeight="1">
      <c r="A350" s="12"/>
      <c r="B350" s="12"/>
      <c r="C350" s="12"/>
      <c r="D350" s="12"/>
      <c r="E350" s="12"/>
      <c r="F350" s="12"/>
    </row>
    <row r="351" ht="15.75" customHeight="1">
      <c r="A351" s="12"/>
      <c r="B351" s="12"/>
      <c r="C351" s="12"/>
      <c r="D351" s="12"/>
      <c r="E351" s="12"/>
      <c r="F351" s="12"/>
    </row>
    <row r="352" ht="15.75" customHeight="1">
      <c r="A352" s="12"/>
      <c r="B352" s="12"/>
      <c r="C352" s="12"/>
      <c r="D352" s="12"/>
      <c r="E352" s="12"/>
      <c r="F352" s="12"/>
    </row>
    <row r="353" ht="15.75" customHeight="1">
      <c r="A353" s="12"/>
      <c r="B353" s="12"/>
      <c r="C353" s="12"/>
      <c r="D353" s="12"/>
      <c r="E353" s="12"/>
      <c r="F353" s="12"/>
    </row>
    <row r="354" ht="15.75" customHeight="1">
      <c r="A354" s="12"/>
      <c r="B354" s="12"/>
      <c r="C354" s="12"/>
      <c r="D354" s="12"/>
      <c r="E354" s="12"/>
      <c r="F354" s="12"/>
    </row>
    <row r="355" ht="15.75" customHeight="1">
      <c r="A355" s="12"/>
      <c r="B355" s="12"/>
      <c r="C355" s="12"/>
      <c r="D355" s="12"/>
      <c r="E355" s="12"/>
      <c r="F355" s="12"/>
    </row>
    <row r="356" ht="15.75" customHeight="1">
      <c r="A356" s="12"/>
      <c r="B356" s="12"/>
      <c r="C356" s="12"/>
      <c r="D356" s="12"/>
      <c r="E356" s="12"/>
      <c r="F356" s="12"/>
    </row>
    <row r="357" ht="15.75" customHeight="1">
      <c r="A357" s="12"/>
      <c r="B357" s="12"/>
      <c r="C357" s="12"/>
      <c r="D357" s="12"/>
      <c r="E357" s="12"/>
      <c r="F357" s="12"/>
    </row>
    <row r="358" ht="15.75" customHeight="1">
      <c r="A358" s="12"/>
      <c r="B358" s="12"/>
      <c r="C358" s="12"/>
      <c r="D358" s="12"/>
      <c r="E358" s="12"/>
      <c r="F358" s="12"/>
    </row>
    <row r="359" ht="15.75" customHeight="1">
      <c r="A359" s="12"/>
      <c r="B359" s="12"/>
      <c r="C359" s="12"/>
      <c r="D359" s="12"/>
      <c r="E359" s="12"/>
      <c r="F359" s="12"/>
    </row>
    <row r="360" ht="15.75" customHeight="1">
      <c r="A360" s="12"/>
      <c r="B360" s="12"/>
      <c r="C360" s="12"/>
      <c r="D360" s="12"/>
      <c r="E360" s="12"/>
      <c r="F360" s="12"/>
    </row>
    <row r="361" ht="15.75" customHeight="1">
      <c r="A361" s="12"/>
      <c r="B361" s="12"/>
      <c r="C361" s="12"/>
      <c r="D361" s="12"/>
      <c r="E361" s="12"/>
      <c r="F361" s="12"/>
    </row>
    <row r="362" ht="15.75" customHeight="1">
      <c r="A362" s="12"/>
      <c r="B362" s="12"/>
      <c r="C362" s="12"/>
      <c r="D362" s="12"/>
      <c r="E362" s="12"/>
      <c r="F362" s="12"/>
    </row>
    <row r="363" ht="15.75" customHeight="1">
      <c r="A363" s="12"/>
      <c r="B363" s="12"/>
      <c r="C363" s="12"/>
      <c r="D363" s="12"/>
      <c r="E363" s="12"/>
      <c r="F363" s="12"/>
    </row>
    <row r="364" ht="15.75" customHeight="1">
      <c r="A364" s="12"/>
      <c r="B364" s="12"/>
      <c r="C364" s="12"/>
      <c r="D364" s="12"/>
      <c r="E364" s="12"/>
      <c r="F364" s="12"/>
    </row>
    <row r="365" ht="15.75" customHeight="1">
      <c r="A365" s="12"/>
      <c r="B365" s="12"/>
      <c r="C365" s="12"/>
      <c r="D365" s="12"/>
      <c r="E365" s="12"/>
      <c r="F365" s="12"/>
    </row>
    <row r="366" ht="15.75" customHeight="1">
      <c r="A366" s="12"/>
      <c r="B366" s="12"/>
      <c r="C366" s="12"/>
      <c r="D366" s="12"/>
      <c r="E366" s="12"/>
      <c r="F366" s="12"/>
    </row>
    <row r="367" ht="15.75" customHeight="1">
      <c r="A367" s="12"/>
      <c r="B367" s="12"/>
      <c r="C367" s="12"/>
      <c r="D367" s="12"/>
      <c r="E367" s="12"/>
      <c r="F367" s="12"/>
    </row>
    <row r="368" ht="15.75" customHeight="1">
      <c r="A368" s="12"/>
      <c r="B368" s="12"/>
      <c r="C368" s="12"/>
      <c r="D368" s="12"/>
      <c r="E368" s="12"/>
      <c r="F368" s="12"/>
    </row>
    <row r="369" ht="15.75" customHeight="1">
      <c r="A369" s="12"/>
      <c r="B369" s="12"/>
      <c r="C369" s="12"/>
      <c r="D369" s="12"/>
      <c r="E369" s="12"/>
      <c r="F369" s="12"/>
    </row>
    <row r="370" ht="15.75" customHeight="1">
      <c r="A370" s="12"/>
      <c r="B370" s="12"/>
      <c r="C370" s="12"/>
      <c r="D370" s="12"/>
      <c r="E370" s="12"/>
      <c r="F370" s="12"/>
    </row>
    <row r="371" ht="15.75" customHeight="1">
      <c r="A371" s="12"/>
      <c r="B371" s="12"/>
      <c r="C371" s="12"/>
      <c r="D371" s="12"/>
      <c r="E371" s="12"/>
      <c r="F371" s="12"/>
    </row>
    <row r="372" ht="15.75" customHeight="1">
      <c r="A372" s="12"/>
      <c r="B372" s="12"/>
      <c r="C372" s="12"/>
      <c r="D372" s="12"/>
      <c r="E372" s="12"/>
      <c r="F372" s="12"/>
    </row>
    <row r="373" ht="15.75" customHeight="1">
      <c r="A373" s="12"/>
      <c r="B373" s="12"/>
      <c r="C373" s="12"/>
      <c r="D373" s="12"/>
      <c r="E373" s="12"/>
      <c r="F373" s="12"/>
    </row>
    <row r="374" ht="15.75" customHeight="1">
      <c r="A374" s="12"/>
      <c r="B374" s="12"/>
      <c r="C374" s="12"/>
      <c r="D374" s="12"/>
      <c r="E374" s="12"/>
      <c r="F374" s="12"/>
    </row>
    <row r="375" ht="15.75" customHeight="1">
      <c r="A375" s="12"/>
      <c r="B375" s="12"/>
      <c r="C375" s="12"/>
      <c r="D375" s="12"/>
      <c r="E375" s="12"/>
      <c r="F375" s="12"/>
    </row>
    <row r="376" ht="15.75" customHeight="1">
      <c r="A376" s="12"/>
      <c r="B376" s="12"/>
      <c r="C376" s="12"/>
      <c r="D376" s="12"/>
      <c r="E376" s="12"/>
      <c r="F376" s="12"/>
    </row>
    <row r="377" ht="15.75" customHeight="1">
      <c r="A377" s="12"/>
      <c r="B377" s="12"/>
      <c r="C377" s="12"/>
      <c r="D377" s="12"/>
      <c r="E377" s="12"/>
      <c r="F377" s="12"/>
    </row>
    <row r="378" ht="15.75" customHeight="1">
      <c r="A378" s="12"/>
      <c r="B378" s="12"/>
      <c r="C378" s="12"/>
      <c r="D378" s="12"/>
      <c r="E378" s="12"/>
      <c r="F378" s="12"/>
    </row>
    <row r="379" ht="15.75" customHeight="1">
      <c r="A379" s="12"/>
      <c r="B379" s="12"/>
      <c r="C379" s="12"/>
      <c r="D379" s="12"/>
      <c r="E379" s="12"/>
      <c r="F379" s="12"/>
    </row>
    <row r="380" ht="15.75" customHeight="1">
      <c r="A380" s="12"/>
      <c r="B380" s="12"/>
      <c r="C380" s="12"/>
      <c r="D380" s="12"/>
      <c r="E380" s="12"/>
      <c r="F380" s="12"/>
    </row>
    <row r="381" ht="15.75" customHeight="1">
      <c r="A381" s="12"/>
      <c r="B381" s="12"/>
      <c r="C381" s="12"/>
      <c r="D381" s="12"/>
      <c r="E381" s="12"/>
      <c r="F381" s="12"/>
    </row>
    <row r="382" ht="15.75" customHeight="1">
      <c r="A382" s="12"/>
      <c r="B382" s="12"/>
      <c r="C382" s="12"/>
      <c r="D382" s="12"/>
      <c r="E382" s="12"/>
      <c r="F382" s="12"/>
    </row>
    <row r="383" ht="15.75" customHeight="1">
      <c r="A383" s="12"/>
      <c r="B383" s="12"/>
      <c r="C383" s="12"/>
      <c r="D383" s="12"/>
      <c r="E383" s="12"/>
      <c r="F383" s="12"/>
    </row>
    <row r="384" ht="15.75" customHeight="1">
      <c r="A384" s="12"/>
      <c r="B384" s="12"/>
      <c r="C384" s="12"/>
      <c r="D384" s="12"/>
      <c r="E384" s="12"/>
      <c r="F384" s="12"/>
    </row>
    <row r="385" ht="15.75" customHeight="1">
      <c r="A385" s="12"/>
      <c r="B385" s="12"/>
      <c r="C385" s="12"/>
      <c r="D385" s="12"/>
      <c r="E385" s="12"/>
      <c r="F385" s="12"/>
    </row>
    <row r="386" ht="15.75" customHeight="1">
      <c r="A386" s="12"/>
      <c r="B386" s="12"/>
      <c r="C386" s="12"/>
      <c r="D386" s="12"/>
      <c r="E386" s="12"/>
      <c r="F386" s="12"/>
    </row>
    <row r="387" ht="15.75" customHeight="1">
      <c r="A387" s="12"/>
      <c r="B387" s="12"/>
      <c r="C387" s="12"/>
      <c r="D387" s="12"/>
      <c r="E387" s="12"/>
      <c r="F387" s="12"/>
    </row>
    <row r="388" ht="15.75" customHeight="1">
      <c r="A388" s="12"/>
      <c r="B388" s="12"/>
      <c r="C388" s="12"/>
      <c r="D388" s="12"/>
      <c r="E388" s="12"/>
      <c r="F388" s="12"/>
    </row>
    <row r="389" ht="15.75" customHeight="1">
      <c r="A389" s="12"/>
      <c r="B389" s="12"/>
      <c r="C389" s="12"/>
      <c r="D389" s="12"/>
      <c r="E389" s="12"/>
      <c r="F389" s="12"/>
    </row>
    <row r="390" ht="15.75" customHeight="1">
      <c r="A390" s="12"/>
      <c r="B390" s="12"/>
      <c r="C390" s="12"/>
      <c r="D390" s="12"/>
      <c r="E390" s="12"/>
      <c r="F390" s="12"/>
    </row>
    <row r="391" ht="15.75" customHeight="1">
      <c r="A391" s="12"/>
      <c r="B391" s="12"/>
      <c r="C391" s="12"/>
      <c r="D391" s="12"/>
      <c r="E391" s="12"/>
      <c r="F391" s="12"/>
    </row>
    <row r="392" ht="15.75" customHeight="1">
      <c r="A392" s="12"/>
      <c r="B392" s="12"/>
      <c r="C392" s="12"/>
      <c r="D392" s="12"/>
      <c r="E392" s="12"/>
      <c r="F392" s="12"/>
    </row>
    <row r="393" ht="15.75" customHeight="1">
      <c r="A393" s="12"/>
      <c r="B393" s="12"/>
      <c r="C393" s="12"/>
      <c r="D393" s="12"/>
      <c r="E393" s="12"/>
      <c r="F393" s="12"/>
    </row>
    <row r="394" ht="15.75" customHeight="1">
      <c r="A394" s="12"/>
      <c r="B394" s="12"/>
      <c r="C394" s="12"/>
      <c r="D394" s="12"/>
      <c r="E394" s="12"/>
      <c r="F394" s="12"/>
    </row>
    <row r="395" ht="15.75" customHeight="1">
      <c r="A395" s="12"/>
      <c r="B395" s="12"/>
      <c r="C395" s="12"/>
      <c r="D395" s="12"/>
      <c r="E395" s="12"/>
      <c r="F395" s="12"/>
    </row>
    <row r="396" ht="15.75" customHeight="1">
      <c r="A396" s="12"/>
      <c r="B396" s="12"/>
      <c r="C396" s="12"/>
      <c r="D396" s="12"/>
      <c r="E396" s="12"/>
      <c r="F396" s="12"/>
    </row>
    <row r="397" ht="15.75" customHeight="1">
      <c r="A397" s="12"/>
      <c r="B397" s="12"/>
      <c r="C397" s="12"/>
      <c r="D397" s="12"/>
      <c r="E397" s="12"/>
      <c r="F397" s="12"/>
    </row>
    <row r="398" ht="15.75" customHeight="1">
      <c r="A398" s="12"/>
      <c r="B398" s="12"/>
      <c r="C398" s="12"/>
      <c r="D398" s="12"/>
      <c r="E398" s="12"/>
      <c r="F398" s="12"/>
    </row>
    <row r="399" ht="15.75" customHeight="1">
      <c r="A399" s="12"/>
      <c r="B399" s="12"/>
      <c r="C399" s="12"/>
      <c r="D399" s="12"/>
      <c r="E399" s="12"/>
      <c r="F399" s="12"/>
    </row>
    <row r="400" ht="15.75" customHeight="1">
      <c r="A400" s="12"/>
      <c r="B400" s="12"/>
      <c r="C400" s="12"/>
      <c r="D400" s="12"/>
      <c r="E400" s="12"/>
      <c r="F400" s="12"/>
    </row>
    <row r="401" ht="15.75" customHeight="1">
      <c r="A401" s="12"/>
      <c r="B401" s="12"/>
      <c r="C401" s="12"/>
      <c r="D401" s="12"/>
      <c r="E401" s="12"/>
      <c r="F401" s="12"/>
    </row>
    <row r="402" ht="15.75" customHeight="1">
      <c r="A402" s="12"/>
      <c r="B402" s="12"/>
      <c r="C402" s="12"/>
      <c r="D402" s="12"/>
      <c r="E402" s="12"/>
      <c r="F402" s="12"/>
    </row>
    <row r="403" ht="15.75" customHeight="1">
      <c r="A403" s="12"/>
      <c r="B403" s="12"/>
      <c r="C403" s="12"/>
      <c r="D403" s="12"/>
      <c r="E403" s="12"/>
      <c r="F403" s="12"/>
    </row>
    <row r="404" ht="15.75" customHeight="1">
      <c r="A404" s="12"/>
      <c r="B404" s="12"/>
      <c r="C404" s="12"/>
      <c r="D404" s="12"/>
      <c r="E404" s="12"/>
      <c r="F404" s="12"/>
    </row>
    <row r="405" ht="15.75" customHeight="1">
      <c r="A405" s="12"/>
      <c r="B405" s="12"/>
      <c r="C405" s="12"/>
      <c r="D405" s="12"/>
      <c r="E405" s="12"/>
      <c r="F405" s="12"/>
    </row>
    <row r="406" ht="15.75" customHeight="1">
      <c r="A406" s="12"/>
      <c r="B406" s="12"/>
      <c r="C406" s="12"/>
      <c r="D406" s="12"/>
      <c r="E406" s="12"/>
      <c r="F406" s="12"/>
    </row>
    <row r="407" ht="15.75" customHeight="1">
      <c r="A407" s="12"/>
      <c r="B407" s="12"/>
      <c r="C407" s="12"/>
      <c r="D407" s="12"/>
      <c r="E407" s="12"/>
      <c r="F407" s="12"/>
    </row>
    <row r="408" ht="15.75" customHeight="1">
      <c r="A408" s="12"/>
      <c r="B408" s="12"/>
      <c r="C408" s="12"/>
      <c r="D408" s="12"/>
      <c r="E408" s="12"/>
      <c r="F408" s="12"/>
    </row>
    <row r="409" ht="15.75" customHeight="1">
      <c r="A409" s="12"/>
      <c r="B409" s="12"/>
      <c r="C409" s="12"/>
      <c r="D409" s="12"/>
      <c r="E409" s="12"/>
      <c r="F409" s="12"/>
    </row>
    <row r="410" ht="15.75" customHeight="1">
      <c r="A410" s="12"/>
      <c r="B410" s="12"/>
      <c r="C410" s="12"/>
      <c r="D410" s="12"/>
      <c r="E410" s="12"/>
      <c r="F410" s="12"/>
    </row>
    <row r="411" ht="15.75" customHeight="1">
      <c r="A411" s="12"/>
      <c r="B411" s="12"/>
      <c r="C411" s="12"/>
      <c r="D411" s="12"/>
      <c r="E411" s="12"/>
      <c r="F411" s="12"/>
    </row>
    <row r="412" ht="15.75" customHeight="1">
      <c r="A412" s="12"/>
      <c r="B412" s="12"/>
      <c r="C412" s="12"/>
      <c r="D412" s="12"/>
      <c r="E412" s="12"/>
      <c r="F412" s="12"/>
    </row>
    <row r="413" ht="15.75" customHeight="1">
      <c r="A413" s="12"/>
      <c r="B413" s="12"/>
      <c r="C413" s="12"/>
      <c r="D413" s="12"/>
      <c r="E413" s="12"/>
      <c r="F413" s="12"/>
    </row>
    <row r="414" ht="15.75" customHeight="1">
      <c r="A414" s="12"/>
      <c r="B414" s="12"/>
      <c r="C414" s="12"/>
      <c r="D414" s="12"/>
      <c r="E414" s="12"/>
      <c r="F414" s="12"/>
    </row>
    <row r="415" ht="15.75" customHeight="1">
      <c r="A415" s="12"/>
      <c r="B415" s="12"/>
      <c r="C415" s="12"/>
      <c r="D415" s="12"/>
      <c r="E415" s="12"/>
      <c r="F415" s="12"/>
    </row>
    <row r="416" ht="15.75" customHeight="1">
      <c r="A416" s="12"/>
      <c r="B416" s="12"/>
      <c r="C416" s="12"/>
      <c r="D416" s="12"/>
      <c r="E416" s="12"/>
      <c r="F416" s="12"/>
    </row>
    <row r="417" ht="15.75" customHeight="1">
      <c r="A417" s="12"/>
      <c r="B417" s="12"/>
      <c r="C417" s="12"/>
      <c r="D417" s="12"/>
      <c r="E417" s="12"/>
      <c r="F417" s="12"/>
    </row>
    <row r="418" ht="15.75" customHeight="1">
      <c r="A418" s="12"/>
      <c r="B418" s="12"/>
      <c r="C418" s="12"/>
      <c r="D418" s="12"/>
      <c r="E418" s="12"/>
      <c r="F418" s="12"/>
    </row>
    <row r="419" ht="15.75" customHeight="1">
      <c r="A419" s="12"/>
      <c r="B419" s="12"/>
      <c r="C419" s="12"/>
      <c r="D419" s="12"/>
      <c r="E419" s="12"/>
      <c r="F419" s="12"/>
    </row>
    <row r="420" ht="15.75" customHeight="1">
      <c r="A420" s="12"/>
      <c r="B420" s="12"/>
      <c r="C420" s="12"/>
      <c r="D420" s="12"/>
      <c r="E420" s="12"/>
      <c r="F420" s="12"/>
    </row>
    <row r="421" ht="15.75" customHeight="1">
      <c r="A421" s="12"/>
      <c r="B421" s="12"/>
      <c r="C421" s="12"/>
      <c r="D421" s="12"/>
      <c r="E421" s="12"/>
      <c r="F421" s="12"/>
    </row>
    <row r="422" ht="15.75" customHeight="1">
      <c r="A422" s="12"/>
      <c r="B422" s="12"/>
      <c r="C422" s="12"/>
      <c r="D422" s="12"/>
      <c r="E422" s="12"/>
      <c r="F422" s="12"/>
    </row>
    <row r="423" ht="15.75" customHeight="1">
      <c r="A423" s="12"/>
      <c r="B423" s="12"/>
      <c r="C423" s="12"/>
      <c r="D423" s="12"/>
      <c r="E423" s="12"/>
      <c r="F423" s="12"/>
    </row>
    <row r="424" ht="15.75" customHeight="1">
      <c r="A424" s="12"/>
      <c r="B424" s="12"/>
      <c r="C424" s="12"/>
      <c r="D424" s="12"/>
      <c r="E424" s="12"/>
      <c r="F424" s="12"/>
    </row>
    <row r="425" ht="15.75" customHeight="1">
      <c r="A425" s="12"/>
      <c r="B425" s="12"/>
      <c r="C425" s="12"/>
      <c r="D425" s="12"/>
      <c r="E425" s="12"/>
      <c r="F425" s="12"/>
    </row>
    <row r="426" ht="15.75" customHeight="1">
      <c r="A426" s="12"/>
      <c r="B426" s="12"/>
      <c r="C426" s="12"/>
      <c r="D426" s="12"/>
      <c r="E426" s="12"/>
      <c r="F426" s="12"/>
    </row>
    <row r="427" ht="15.75" customHeight="1">
      <c r="A427" s="12"/>
      <c r="B427" s="12"/>
      <c r="C427" s="12"/>
      <c r="D427" s="12"/>
      <c r="E427" s="12"/>
      <c r="F427" s="12"/>
    </row>
    <row r="428" ht="15.75" customHeight="1">
      <c r="A428" s="12"/>
      <c r="B428" s="12"/>
      <c r="C428" s="12"/>
      <c r="D428" s="12"/>
      <c r="E428" s="12"/>
      <c r="F428" s="12"/>
    </row>
    <row r="429" ht="15.75" customHeight="1">
      <c r="A429" s="12"/>
      <c r="B429" s="12"/>
      <c r="C429" s="12"/>
      <c r="D429" s="12"/>
      <c r="E429" s="12"/>
      <c r="F429" s="12"/>
    </row>
    <row r="430" ht="15.75" customHeight="1">
      <c r="A430" s="12"/>
      <c r="B430" s="12"/>
      <c r="C430" s="12"/>
      <c r="D430" s="12"/>
      <c r="E430" s="12"/>
      <c r="F430" s="12"/>
    </row>
    <row r="431" ht="15.75" customHeight="1">
      <c r="A431" s="12"/>
      <c r="B431" s="12"/>
      <c r="C431" s="12"/>
      <c r="D431" s="12"/>
      <c r="E431" s="12"/>
      <c r="F431" s="12"/>
    </row>
    <row r="432" ht="15.75" customHeight="1">
      <c r="A432" s="12"/>
      <c r="B432" s="12"/>
      <c r="C432" s="12"/>
      <c r="D432" s="12"/>
      <c r="E432" s="12"/>
      <c r="F432" s="12"/>
    </row>
    <row r="433" ht="15.75" customHeight="1">
      <c r="A433" s="12"/>
      <c r="B433" s="12"/>
      <c r="C433" s="12"/>
      <c r="D433" s="12"/>
      <c r="E433" s="12"/>
      <c r="F433" s="12"/>
    </row>
    <row r="434" ht="15.75" customHeight="1">
      <c r="A434" s="12"/>
      <c r="B434" s="12"/>
      <c r="C434" s="12"/>
      <c r="D434" s="12"/>
      <c r="E434" s="12"/>
      <c r="F434" s="12"/>
    </row>
    <row r="435" ht="15.75" customHeight="1">
      <c r="A435" s="12"/>
      <c r="B435" s="12"/>
      <c r="C435" s="12"/>
      <c r="D435" s="12"/>
      <c r="E435" s="12"/>
      <c r="F435" s="12"/>
    </row>
    <row r="436" ht="15.75" customHeight="1">
      <c r="A436" s="12"/>
      <c r="B436" s="12"/>
      <c r="C436" s="12"/>
      <c r="D436" s="12"/>
      <c r="E436" s="12"/>
      <c r="F436" s="12"/>
    </row>
    <row r="437" ht="15.75" customHeight="1">
      <c r="A437" s="12"/>
      <c r="B437" s="12"/>
      <c r="C437" s="12"/>
      <c r="D437" s="12"/>
      <c r="E437" s="12"/>
      <c r="F437" s="12"/>
    </row>
    <row r="438" ht="15.75" customHeight="1">
      <c r="A438" s="12"/>
      <c r="B438" s="12"/>
      <c r="C438" s="12"/>
      <c r="D438" s="12"/>
      <c r="E438" s="12"/>
      <c r="F438" s="12"/>
    </row>
    <row r="439" ht="15.75" customHeight="1">
      <c r="A439" s="12"/>
      <c r="B439" s="12"/>
      <c r="C439" s="12"/>
      <c r="D439" s="12"/>
      <c r="E439" s="12"/>
      <c r="F439" s="12"/>
    </row>
    <row r="440" ht="15.75" customHeight="1">
      <c r="A440" s="12"/>
      <c r="B440" s="12"/>
      <c r="C440" s="12"/>
      <c r="D440" s="12"/>
      <c r="E440" s="12"/>
      <c r="F440" s="12"/>
    </row>
    <row r="441" ht="15.75" customHeight="1">
      <c r="A441" s="12"/>
      <c r="B441" s="12"/>
      <c r="C441" s="12"/>
      <c r="D441" s="12"/>
      <c r="E441" s="12"/>
      <c r="F441" s="12"/>
    </row>
    <row r="442" ht="15.75" customHeight="1">
      <c r="A442" s="12"/>
      <c r="B442" s="12"/>
      <c r="C442" s="12"/>
      <c r="D442" s="12"/>
      <c r="E442" s="12"/>
      <c r="F442" s="12"/>
    </row>
    <row r="443" ht="15.75" customHeight="1">
      <c r="A443" s="12"/>
      <c r="B443" s="12"/>
      <c r="C443" s="12"/>
      <c r="D443" s="12"/>
      <c r="E443" s="12"/>
      <c r="F443" s="12"/>
    </row>
    <row r="444" ht="15.75" customHeight="1">
      <c r="A444" s="12"/>
      <c r="B444" s="12"/>
      <c r="C444" s="12"/>
      <c r="D444" s="12"/>
      <c r="E444" s="12"/>
      <c r="F444" s="12"/>
    </row>
    <row r="445" ht="15.75" customHeight="1">
      <c r="A445" s="12"/>
      <c r="B445" s="12"/>
      <c r="C445" s="12"/>
      <c r="D445" s="12"/>
      <c r="E445" s="12"/>
      <c r="F445" s="12"/>
    </row>
    <row r="446" ht="15.75" customHeight="1">
      <c r="A446" s="12"/>
      <c r="B446" s="12"/>
      <c r="C446" s="12"/>
      <c r="D446" s="12"/>
      <c r="E446" s="12"/>
      <c r="F446" s="12"/>
    </row>
    <row r="447" ht="15.75" customHeight="1">
      <c r="A447" s="12"/>
      <c r="B447" s="12"/>
      <c r="C447" s="12"/>
      <c r="D447" s="12"/>
      <c r="E447" s="12"/>
      <c r="F447" s="12"/>
    </row>
    <row r="448" ht="15.75" customHeight="1">
      <c r="A448" s="12"/>
      <c r="B448" s="12"/>
      <c r="C448" s="12"/>
      <c r="D448" s="12"/>
      <c r="E448" s="12"/>
      <c r="F448" s="12"/>
    </row>
    <row r="449" ht="15.75" customHeight="1">
      <c r="A449" s="12"/>
      <c r="B449" s="12"/>
      <c r="C449" s="12"/>
      <c r="D449" s="12"/>
      <c r="E449" s="12"/>
      <c r="F449" s="12"/>
    </row>
    <row r="450" ht="15.75" customHeight="1">
      <c r="A450" s="12"/>
      <c r="B450" s="12"/>
      <c r="C450" s="12"/>
      <c r="D450" s="12"/>
      <c r="E450" s="12"/>
      <c r="F450" s="12"/>
    </row>
    <row r="451" ht="15.75" customHeight="1">
      <c r="A451" s="12"/>
      <c r="B451" s="12"/>
      <c r="C451" s="12"/>
      <c r="D451" s="12"/>
      <c r="E451" s="12"/>
      <c r="F451" s="12"/>
    </row>
    <row r="452" ht="15.75" customHeight="1">
      <c r="A452" s="12"/>
      <c r="B452" s="12"/>
      <c r="C452" s="12"/>
      <c r="D452" s="12"/>
      <c r="E452" s="12"/>
      <c r="F452" s="12"/>
    </row>
    <row r="453" ht="15.75" customHeight="1">
      <c r="A453" s="12"/>
      <c r="B453" s="12"/>
      <c r="C453" s="12"/>
      <c r="D453" s="12"/>
      <c r="E453" s="12"/>
      <c r="F453" s="12"/>
    </row>
    <row r="454" ht="15.75" customHeight="1">
      <c r="A454" s="12"/>
      <c r="B454" s="12"/>
      <c r="C454" s="12"/>
      <c r="D454" s="12"/>
      <c r="E454" s="12"/>
      <c r="F454" s="12"/>
    </row>
    <row r="455" ht="15.75" customHeight="1">
      <c r="A455" s="12"/>
      <c r="B455" s="12"/>
      <c r="C455" s="12"/>
      <c r="D455" s="12"/>
      <c r="E455" s="12"/>
      <c r="F455" s="12"/>
    </row>
    <row r="456" ht="15.75" customHeight="1">
      <c r="A456" s="12"/>
      <c r="B456" s="12"/>
      <c r="C456" s="12"/>
      <c r="D456" s="12"/>
      <c r="E456" s="12"/>
      <c r="F456" s="12"/>
    </row>
    <row r="457" ht="15.75" customHeight="1">
      <c r="A457" s="12"/>
      <c r="B457" s="12"/>
      <c r="C457" s="12"/>
      <c r="D457" s="12"/>
      <c r="E457" s="12"/>
      <c r="F457" s="12"/>
    </row>
    <row r="458" ht="15.75" customHeight="1">
      <c r="A458" s="12"/>
      <c r="B458" s="12"/>
      <c r="C458" s="12"/>
      <c r="D458" s="12"/>
      <c r="E458" s="12"/>
      <c r="F458" s="12"/>
    </row>
    <row r="459" ht="15.75" customHeight="1">
      <c r="A459" s="12"/>
      <c r="B459" s="12"/>
      <c r="C459" s="12"/>
      <c r="D459" s="12"/>
      <c r="E459" s="12"/>
      <c r="F459" s="12"/>
    </row>
    <row r="460" ht="15.75" customHeight="1">
      <c r="A460" s="12"/>
      <c r="B460" s="12"/>
      <c r="C460" s="12"/>
      <c r="D460" s="12"/>
      <c r="E460" s="12"/>
      <c r="F460" s="12"/>
    </row>
    <row r="461" ht="15.75" customHeight="1">
      <c r="A461" s="12"/>
      <c r="B461" s="12"/>
      <c r="C461" s="12"/>
      <c r="D461" s="12"/>
      <c r="E461" s="12"/>
      <c r="F461" s="12"/>
    </row>
    <row r="462" ht="15.75" customHeight="1">
      <c r="A462" s="12"/>
      <c r="B462" s="12"/>
      <c r="C462" s="12"/>
      <c r="D462" s="12"/>
      <c r="E462" s="12"/>
      <c r="F462" s="12"/>
    </row>
    <row r="463" ht="15.75" customHeight="1">
      <c r="A463" s="12"/>
      <c r="B463" s="12"/>
      <c r="C463" s="12"/>
      <c r="D463" s="12"/>
      <c r="E463" s="12"/>
      <c r="F463" s="12"/>
    </row>
    <row r="464" ht="15.75" customHeight="1">
      <c r="A464" s="12"/>
      <c r="B464" s="12"/>
      <c r="C464" s="12"/>
      <c r="D464" s="12"/>
      <c r="E464" s="12"/>
      <c r="F464" s="12"/>
    </row>
    <row r="465" ht="15.75" customHeight="1">
      <c r="A465" s="12"/>
      <c r="B465" s="12"/>
      <c r="C465" s="12"/>
      <c r="D465" s="12"/>
      <c r="E465" s="12"/>
      <c r="F465" s="12"/>
    </row>
    <row r="466" ht="15.75" customHeight="1">
      <c r="A466" s="12"/>
      <c r="B466" s="12"/>
      <c r="C466" s="12"/>
      <c r="D466" s="12"/>
      <c r="E466" s="12"/>
      <c r="F466" s="12"/>
    </row>
    <row r="467" ht="15.75" customHeight="1">
      <c r="A467" s="12"/>
      <c r="B467" s="12"/>
      <c r="C467" s="12"/>
      <c r="D467" s="12"/>
      <c r="E467" s="12"/>
      <c r="F467" s="12"/>
    </row>
    <row r="468" ht="15.75" customHeight="1">
      <c r="A468" s="12"/>
      <c r="B468" s="12"/>
      <c r="C468" s="12"/>
      <c r="D468" s="12"/>
      <c r="E468" s="12"/>
      <c r="F468" s="12"/>
    </row>
    <row r="469" ht="15.75" customHeight="1">
      <c r="A469" s="12"/>
      <c r="B469" s="12"/>
      <c r="C469" s="12"/>
      <c r="D469" s="12"/>
      <c r="E469" s="12"/>
      <c r="F469" s="12"/>
    </row>
    <row r="470" ht="15.75" customHeight="1">
      <c r="A470" s="12"/>
      <c r="B470" s="12"/>
      <c r="C470" s="12"/>
      <c r="D470" s="12"/>
      <c r="E470" s="12"/>
      <c r="F470" s="12"/>
    </row>
    <row r="471" ht="15.75" customHeight="1">
      <c r="A471" s="12"/>
      <c r="B471" s="12"/>
      <c r="C471" s="12"/>
      <c r="D471" s="12"/>
      <c r="E471" s="12"/>
      <c r="F471" s="12"/>
    </row>
    <row r="472" ht="15.75" customHeight="1">
      <c r="A472" s="12"/>
      <c r="B472" s="12"/>
      <c r="C472" s="12"/>
      <c r="D472" s="12"/>
      <c r="E472" s="12"/>
      <c r="F472" s="12"/>
    </row>
    <row r="473" ht="15.75" customHeight="1">
      <c r="A473" s="12"/>
      <c r="B473" s="12"/>
      <c r="C473" s="12"/>
      <c r="D473" s="12"/>
      <c r="E473" s="12"/>
      <c r="F473" s="12"/>
    </row>
    <row r="474" ht="15.75" customHeight="1">
      <c r="A474" s="12"/>
      <c r="B474" s="12"/>
      <c r="C474" s="12"/>
      <c r="D474" s="12"/>
      <c r="E474" s="12"/>
      <c r="F474" s="12"/>
    </row>
    <row r="475" ht="15.75" customHeight="1">
      <c r="A475" s="12"/>
      <c r="B475" s="12"/>
      <c r="C475" s="12"/>
      <c r="D475" s="12"/>
      <c r="E475" s="12"/>
      <c r="F475" s="12"/>
    </row>
    <row r="476" ht="15.75" customHeight="1">
      <c r="A476" s="12"/>
      <c r="B476" s="12"/>
      <c r="C476" s="12"/>
      <c r="D476" s="12"/>
      <c r="E476" s="12"/>
      <c r="F476" s="12"/>
    </row>
    <row r="477" ht="15.75" customHeight="1">
      <c r="A477" s="12"/>
      <c r="B477" s="12"/>
      <c r="C477" s="12"/>
      <c r="D477" s="12"/>
      <c r="E477" s="12"/>
      <c r="F477" s="12"/>
    </row>
    <row r="478" ht="15.75" customHeight="1">
      <c r="A478" s="12"/>
      <c r="B478" s="12"/>
      <c r="C478" s="12"/>
      <c r="D478" s="12"/>
      <c r="E478" s="12"/>
      <c r="F478" s="12"/>
    </row>
    <row r="479" ht="15.75" customHeight="1">
      <c r="A479" s="12"/>
      <c r="B479" s="12"/>
      <c r="C479" s="12"/>
      <c r="D479" s="12"/>
      <c r="E479" s="12"/>
      <c r="F479" s="12"/>
    </row>
    <row r="480" ht="15.75" customHeight="1">
      <c r="A480" s="12"/>
      <c r="B480" s="12"/>
      <c r="C480" s="12"/>
      <c r="D480" s="12"/>
      <c r="E480" s="12"/>
      <c r="F480" s="12"/>
    </row>
    <row r="481" ht="15.75" customHeight="1">
      <c r="A481" s="12"/>
      <c r="B481" s="12"/>
      <c r="C481" s="12"/>
      <c r="D481" s="12"/>
      <c r="E481" s="12"/>
      <c r="F481" s="12"/>
    </row>
    <row r="482" ht="15.75" customHeight="1">
      <c r="A482" s="12"/>
      <c r="B482" s="12"/>
      <c r="C482" s="12"/>
      <c r="D482" s="12"/>
      <c r="E482" s="12"/>
      <c r="F482" s="12"/>
    </row>
    <row r="483" ht="15.75" customHeight="1">
      <c r="A483" s="12"/>
      <c r="B483" s="12"/>
      <c r="C483" s="12"/>
      <c r="D483" s="12"/>
      <c r="E483" s="12"/>
      <c r="F483" s="12"/>
    </row>
    <row r="484" ht="15.75" customHeight="1">
      <c r="A484" s="12"/>
      <c r="B484" s="12"/>
      <c r="C484" s="12"/>
      <c r="D484" s="12"/>
      <c r="E484" s="12"/>
      <c r="F484" s="12"/>
    </row>
    <row r="485" ht="15.75" customHeight="1">
      <c r="A485" s="12"/>
      <c r="B485" s="12"/>
      <c r="C485" s="12"/>
      <c r="D485" s="12"/>
      <c r="E485" s="12"/>
      <c r="F485" s="12"/>
    </row>
    <row r="486" ht="15.75" customHeight="1">
      <c r="A486" s="12"/>
      <c r="B486" s="12"/>
      <c r="C486" s="12"/>
      <c r="D486" s="12"/>
      <c r="E486" s="12"/>
      <c r="F486" s="12"/>
    </row>
    <row r="487" ht="15.75" customHeight="1">
      <c r="A487" s="12"/>
      <c r="B487" s="12"/>
      <c r="C487" s="12"/>
      <c r="D487" s="12"/>
      <c r="E487" s="12"/>
      <c r="F487" s="12"/>
    </row>
    <row r="488" ht="15.75" customHeight="1">
      <c r="A488" s="12"/>
      <c r="B488" s="12"/>
      <c r="C488" s="12"/>
      <c r="D488" s="12"/>
      <c r="E488" s="12"/>
      <c r="F488" s="12"/>
    </row>
    <row r="489" ht="15.75" customHeight="1">
      <c r="A489" s="12"/>
      <c r="B489" s="12"/>
      <c r="C489" s="12"/>
      <c r="D489" s="12"/>
      <c r="E489" s="12"/>
      <c r="F489" s="12"/>
    </row>
    <row r="490" ht="15.75" customHeight="1">
      <c r="A490" s="12"/>
      <c r="B490" s="12"/>
      <c r="C490" s="12"/>
      <c r="D490" s="12"/>
      <c r="E490" s="12"/>
      <c r="F490" s="12"/>
    </row>
    <row r="491" ht="15.75" customHeight="1">
      <c r="A491" s="12"/>
      <c r="B491" s="12"/>
      <c r="C491" s="12"/>
      <c r="D491" s="12"/>
      <c r="E491" s="12"/>
      <c r="F491" s="12"/>
    </row>
    <row r="492" ht="15.75" customHeight="1">
      <c r="A492" s="12"/>
      <c r="B492" s="12"/>
      <c r="C492" s="12"/>
      <c r="D492" s="12"/>
      <c r="E492" s="12"/>
      <c r="F492" s="12"/>
    </row>
    <row r="493" ht="15.75" customHeight="1">
      <c r="A493" s="12"/>
      <c r="B493" s="12"/>
      <c r="C493" s="12"/>
      <c r="D493" s="12"/>
      <c r="E493" s="12"/>
      <c r="F493" s="12"/>
    </row>
    <row r="494" ht="15.75" customHeight="1">
      <c r="A494" s="12"/>
      <c r="B494" s="12"/>
      <c r="C494" s="12"/>
      <c r="D494" s="12"/>
      <c r="E494" s="12"/>
      <c r="F494" s="12"/>
    </row>
    <row r="495" ht="15.75" customHeight="1">
      <c r="A495" s="12"/>
      <c r="B495" s="12"/>
      <c r="C495" s="12"/>
      <c r="D495" s="12"/>
      <c r="E495" s="12"/>
      <c r="F495" s="12"/>
    </row>
    <row r="496" ht="15.75" customHeight="1">
      <c r="A496" s="12"/>
      <c r="B496" s="12"/>
      <c r="C496" s="12"/>
      <c r="D496" s="12"/>
      <c r="E496" s="12"/>
      <c r="F496" s="12"/>
    </row>
    <row r="497" ht="15.75" customHeight="1">
      <c r="A497" s="12"/>
      <c r="B497" s="12"/>
      <c r="C497" s="12"/>
      <c r="D497" s="12"/>
      <c r="E497" s="12"/>
      <c r="F497" s="12"/>
    </row>
    <row r="498" ht="15.75" customHeight="1">
      <c r="A498" s="12"/>
      <c r="B498" s="12"/>
      <c r="C498" s="12"/>
      <c r="D498" s="12"/>
      <c r="E498" s="12"/>
      <c r="F498" s="12"/>
    </row>
    <row r="499" ht="15.75" customHeight="1">
      <c r="A499" s="12"/>
      <c r="B499" s="12"/>
      <c r="C499" s="12"/>
      <c r="D499" s="12"/>
      <c r="E499" s="12"/>
      <c r="F499" s="12"/>
    </row>
    <row r="500" ht="15.75" customHeight="1">
      <c r="A500" s="12"/>
      <c r="B500" s="12"/>
      <c r="C500" s="12"/>
      <c r="D500" s="12"/>
      <c r="E500" s="12"/>
      <c r="F500" s="12"/>
    </row>
    <row r="501" ht="15.75" customHeight="1">
      <c r="A501" s="12"/>
      <c r="B501" s="12"/>
      <c r="C501" s="12"/>
      <c r="D501" s="12"/>
      <c r="E501" s="12"/>
      <c r="F501" s="12"/>
    </row>
    <row r="502" ht="15.75" customHeight="1">
      <c r="A502" s="12"/>
      <c r="B502" s="12"/>
      <c r="C502" s="12"/>
      <c r="D502" s="12"/>
      <c r="E502" s="12"/>
      <c r="F502" s="12"/>
    </row>
    <row r="503" ht="15.75" customHeight="1">
      <c r="A503" s="12"/>
      <c r="B503" s="12"/>
      <c r="C503" s="12"/>
      <c r="D503" s="12"/>
      <c r="E503" s="12"/>
      <c r="F503" s="12"/>
    </row>
    <row r="504" ht="15.75" customHeight="1">
      <c r="A504" s="12"/>
      <c r="B504" s="12"/>
      <c r="C504" s="12"/>
      <c r="D504" s="12"/>
      <c r="E504" s="12"/>
      <c r="F504" s="12"/>
    </row>
    <row r="505" ht="15.75" customHeight="1">
      <c r="A505" s="12"/>
      <c r="B505" s="12"/>
      <c r="C505" s="12"/>
      <c r="D505" s="12"/>
      <c r="E505" s="12"/>
      <c r="F505" s="12"/>
    </row>
    <row r="506" ht="15.75" customHeight="1">
      <c r="A506" s="12"/>
      <c r="B506" s="12"/>
      <c r="C506" s="12"/>
      <c r="D506" s="12"/>
      <c r="E506" s="12"/>
      <c r="F506" s="12"/>
    </row>
    <row r="507" ht="15.75" customHeight="1">
      <c r="A507" s="12"/>
      <c r="B507" s="12"/>
      <c r="C507" s="12"/>
      <c r="D507" s="12"/>
      <c r="E507" s="12"/>
      <c r="F507" s="12"/>
    </row>
    <row r="508" ht="15.75" customHeight="1">
      <c r="A508" s="12"/>
      <c r="B508" s="12"/>
      <c r="C508" s="12"/>
      <c r="D508" s="12"/>
      <c r="E508" s="12"/>
      <c r="F508" s="12"/>
    </row>
    <row r="509" ht="15.75" customHeight="1">
      <c r="A509" s="12"/>
      <c r="B509" s="12"/>
      <c r="C509" s="12"/>
      <c r="D509" s="12"/>
      <c r="E509" s="12"/>
      <c r="F509" s="12"/>
    </row>
    <row r="510" ht="15.75" customHeight="1">
      <c r="A510" s="12"/>
      <c r="B510" s="12"/>
      <c r="C510" s="12"/>
      <c r="D510" s="12"/>
      <c r="E510" s="12"/>
      <c r="F510" s="12"/>
    </row>
    <row r="511" ht="15.75" customHeight="1">
      <c r="A511" s="12"/>
      <c r="B511" s="12"/>
      <c r="C511" s="12"/>
      <c r="D511" s="12"/>
      <c r="E511" s="12"/>
      <c r="F511" s="12"/>
    </row>
    <row r="512" ht="15.75" customHeight="1">
      <c r="A512" s="12"/>
      <c r="B512" s="12"/>
      <c r="C512" s="12"/>
      <c r="D512" s="12"/>
      <c r="E512" s="12"/>
      <c r="F512" s="12"/>
    </row>
    <row r="513" ht="15.75" customHeight="1">
      <c r="A513" s="12"/>
      <c r="B513" s="12"/>
      <c r="C513" s="12"/>
      <c r="D513" s="12"/>
      <c r="E513" s="12"/>
      <c r="F513" s="12"/>
    </row>
    <row r="514" ht="15.75" customHeight="1">
      <c r="A514" s="12"/>
      <c r="B514" s="12"/>
      <c r="C514" s="12"/>
      <c r="D514" s="12"/>
      <c r="E514" s="12"/>
      <c r="F514" s="12"/>
    </row>
    <row r="515" ht="15.75" customHeight="1">
      <c r="A515" s="12"/>
      <c r="B515" s="12"/>
      <c r="C515" s="12"/>
      <c r="D515" s="12"/>
      <c r="E515" s="12"/>
      <c r="F515" s="12"/>
    </row>
    <row r="516" ht="15.75" customHeight="1">
      <c r="A516" s="12"/>
      <c r="B516" s="12"/>
      <c r="C516" s="12"/>
      <c r="D516" s="12"/>
      <c r="E516" s="12"/>
      <c r="F516" s="12"/>
    </row>
    <row r="517" ht="15.75" customHeight="1">
      <c r="A517" s="12"/>
      <c r="B517" s="12"/>
      <c r="C517" s="12"/>
      <c r="D517" s="12"/>
      <c r="E517" s="12"/>
      <c r="F517" s="12"/>
    </row>
    <row r="518" ht="15.75" customHeight="1">
      <c r="A518" s="12"/>
      <c r="B518" s="12"/>
      <c r="C518" s="12"/>
      <c r="D518" s="12"/>
      <c r="E518" s="12"/>
      <c r="F518" s="12"/>
    </row>
    <row r="519" ht="15.75" customHeight="1">
      <c r="A519" s="12"/>
      <c r="B519" s="12"/>
      <c r="C519" s="12"/>
      <c r="D519" s="12"/>
      <c r="E519" s="12"/>
      <c r="F519" s="12"/>
    </row>
    <row r="520" ht="15.75" customHeight="1">
      <c r="A520" s="12"/>
      <c r="B520" s="12"/>
      <c r="C520" s="12"/>
      <c r="D520" s="12"/>
      <c r="E520" s="12"/>
      <c r="F520" s="12"/>
    </row>
    <row r="521" ht="15.75" customHeight="1">
      <c r="A521" s="12"/>
      <c r="B521" s="12"/>
      <c r="C521" s="12"/>
      <c r="D521" s="12"/>
      <c r="E521" s="12"/>
      <c r="F521" s="12"/>
    </row>
    <row r="522" ht="15.75" customHeight="1">
      <c r="A522" s="12"/>
      <c r="B522" s="12"/>
      <c r="C522" s="12"/>
      <c r="D522" s="12"/>
      <c r="E522" s="12"/>
      <c r="F522" s="12"/>
    </row>
    <row r="523" ht="15.75" customHeight="1">
      <c r="A523" s="12"/>
      <c r="B523" s="12"/>
      <c r="C523" s="12"/>
      <c r="D523" s="12"/>
      <c r="E523" s="12"/>
      <c r="F523" s="12"/>
    </row>
    <row r="524" ht="15.75" customHeight="1">
      <c r="A524" s="12"/>
      <c r="B524" s="12"/>
      <c r="C524" s="12"/>
      <c r="D524" s="12"/>
      <c r="E524" s="12"/>
      <c r="F524" s="12"/>
    </row>
    <row r="525" ht="15.75" customHeight="1">
      <c r="A525" s="12"/>
      <c r="B525" s="12"/>
      <c r="C525" s="12"/>
      <c r="D525" s="12"/>
      <c r="E525" s="12"/>
      <c r="F525" s="12"/>
    </row>
    <row r="526" ht="15.75" customHeight="1">
      <c r="A526" s="12"/>
      <c r="B526" s="12"/>
      <c r="C526" s="12"/>
      <c r="D526" s="12"/>
      <c r="E526" s="12"/>
      <c r="F526" s="12"/>
    </row>
    <row r="527" ht="15.75" customHeight="1">
      <c r="A527" s="12"/>
      <c r="B527" s="12"/>
      <c r="C527" s="12"/>
      <c r="D527" s="12"/>
      <c r="E527" s="12"/>
      <c r="F527" s="12"/>
    </row>
    <row r="528" ht="15.75" customHeight="1">
      <c r="A528" s="12"/>
      <c r="B528" s="12"/>
      <c r="C528" s="12"/>
      <c r="D528" s="12"/>
      <c r="E528" s="12"/>
      <c r="F528" s="12"/>
    </row>
    <row r="529" ht="15.75" customHeight="1">
      <c r="A529" s="12"/>
      <c r="B529" s="12"/>
      <c r="C529" s="12"/>
      <c r="D529" s="12"/>
      <c r="E529" s="12"/>
      <c r="F529" s="12"/>
    </row>
    <row r="530" ht="15.75" customHeight="1">
      <c r="A530" s="12"/>
      <c r="B530" s="12"/>
      <c r="C530" s="12"/>
      <c r="D530" s="12"/>
      <c r="E530" s="12"/>
      <c r="F530" s="12"/>
    </row>
    <row r="531" ht="15.75" customHeight="1">
      <c r="A531" s="12"/>
      <c r="B531" s="12"/>
      <c r="C531" s="12"/>
      <c r="D531" s="12"/>
      <c r="E531" s="12"/>
      <c r="F531" s="12"/>
    </row>
    <row r="532" ht="15.75" customHeight="1">
      <c r="A532" s="12"/>
      <c r="B532" s="12"/>
      <c r="C532" s="12"/>
      <c r="D532" s="12"/>
      <c r="E532" s="12"/>
      <c r="F532" s="12"/>
    </row>
    <row r="533" ht="15.75" customHeight="1">
      <c r="A533" s="12"/>
      <c r="B533" s="12"/>
      <c r="C533" s="12"/>
      <c r="D533" s="12"/>
      <c r="E533" s="12"/>
      <c r="F533" s="12"/>
    </row>
    <row r="534" ht="15.75" customHeight="1">
      <c r="A534" s="12"/>
      <c r="B534" s="12"/>
      <c r="C534" s="12"/>
      <c r="D534" s="12"/>
      <c r="E534" s="12"/>
      <c r="F534" s="12"/>
    </row>
    <row r="535" ht="15.75" customHeight="1">
      <c r="A535" s="12"/>
      <c r="B535" s="12"/>
      <c r="C535" s="12"/>
      <c r="D535" s="12"/>
      <c r="E535" s="12"/>
      <c r="F535" s="12"/>
    </row>
    <row r="536" ht="15.75" customHeight="1">
      <c r="A536" s="12"/>
      <c r="B536" s="12"/>
      <c r="C536" s="12"/>
      <c r="D536" s="12"/>
      <c r="E536" s="12"/>
      <c r="F536" s="12"/>
    </row>
    <row r="537" ht="15.75" customHeight="1">
      <c r="A537" s="12"/>
      <c r="B537" s="12"/>
      <c r="C537" s="12"/>
      <c r="D537" s="12"/>
      <c r="E537" s="12"/>
      <c r="F537" s="12"/>
    </row>
    <row r="538" ht="15.75" customHeight="1">
      <c r="A538" s="12"/>
      <c r="B538" s="12"/>
      <c r="C538" s="12"/>
      <c r="D538" s="12"/>
      <c r="E538" s="12"/>
      <c r="F538" s="12"/>
    </row>
    <row r="539" ht="15.75" customHeight="1">
      <c r="A539" s="12"/>
      <c r="B539" s="12"/>
      <c r="C539" s="12"/>
      <c r="D539" s="12"/>
      <c r="E539" s="12"/>
      <c r="F539" s="12"/>
    </row>
    <row r="540" ht="15.75" customHeight="1">
      <c r="A540" s="12"/>
      <c r="B540" s="12"/>
      <c r="C540" s="12"/>
      <c r="D540" s="12"/>
      <c r="E540" s="12"/>
      <c r="F540" s="12"/>
    </row>
    <row r="541" ht="15.75" customHeight="1">
      <c r="A541" s="12"/>
      <c r="B541" s="12"/>
      <c r="C541" s="12"/>
      <c r="D541" s="12"/>
      <c r="E541" s="12"/>
      <c r="F541" s="12"/>
    </row>
    <row r="542" ht="15.75" customHeight="1">
      <c r="A542" s="12"/>
      <c r="B542" s="12"/>
      <c r="C542" s="12"/>
      <c r="D542" s="12"/>
      <c r="E542" s="12"/>
      <c r="F542" s="12"/>
    </row>
    <row r="543" ht="15.75" customHeight="1">
      <c r="A543" s="12"/>
      <c r="B543" s="12"/>
      <c r="C543" s="12"/>
      <c r="D543" s="12"/>
      <c r="E543" s="12"/>
      <c r="F543" s="12"/>
    </row>
    <row r="544" ht="15.75" customHeight="1">
      <c r="A544" s="12"/>
      <c r="B544" s="12"/>
      <c r="C544" s="12"/>
      <c r="D544" s="12"/>
      <c r="E544" s="12"/>
      <c r="F544" s="12"/>
    </row>
    <row r="545" ht="15.75" customHeight="1">
      <c r="A545" s="12"/>
      <c r="B545" s="12"/>
      <c r="C545" s="12"/>
      <c r="D545" s="12"/>
      <c r="E545" s="12"/>
      <c r="F545" s="12"/>
    </row>
    <row r="546" ht="15.75" customHeight="1">
      <c r="A546" s="12"/>
      <c r="B546" s="12"/>
      <c r="C546" s="12"/>
      <c r="D546" s="12"/>
      <c r="E546" s="12"/>
      <c r="F546" s="12"/>
    </row>
    <row r="547" ht="15.75" customHeight="1">
      <c r="A547" s="12"/>
      <c r="B547" s="12"/>
      <c r="C547" s="12"/>
      <c r="D547" s="12"/>
      <c r="E547" s="12"/>
      <c r="F547" s="12"/>
    </row>
    <row r="548" ht="15.75" customHeight="1">
      <c r="A548" s="12"/>
      <c r="B548" s="12"/>
      <c r="C548" s="12"/>
      <c r="D548" s="12"/>
      <c r="E548" s="12"/>
      <c r="F548" s="12"/>
    </row>
    <row r="549" ht="15.75" customHeight="1">
      <c r="A549" s="12"/>
      <c r="B549" s="12"/>
      <c r="C549" s="12"/>
      <c r="D549" s="12"/>
      <c r="E549" s="12"/>
      <c r="F549" s="12"/>
    </row>
    <row r="550" ht="15.75" customHeight="1">
      <c r="A550" s="12"/>
      <c r="B550" s="12"/>
      <c r="C550" s="12"/>
      <c r="D550" s="12"/>
      <c r="E550" s="12"/>
      <c r="F550" s="12"/>
    </row>
    <row r="551" ht="15.75" customHeight="1">
      <c r="A551" s="12"/>
      <c r="B551" s="12"/>
      <c r="C551" s="12"/>
      <c r="D551" s="12"/>
      <c r="E551" s="12"/>
      <c r="F551" s="12"/>
    </row>
    <row r="552" ht="15.75" customHeight="1">
      <c r="A552" s="12"/>
      <c r="B552" s="12"/>
      <c r="C552" s="12"/>
      <c r="D552" s="12"/>
      <c r="E552" s="12"/>
      <c r="F552" s="12"/>
    </row>
    <row r="553" ht="15.75" customHeight="1">
      <c r="A553" s="12"/>
      <c r="B553" s="12"/>
      <c r="C553" s="12"/>
      <c r="D553" s="12"/>
      <c r="E553" s="12"/>
      <c r="F553" s="12"/>
    </row>
    <row r="554" ht="15.75" customHeight="1">
      <c r="A554" s="12"/>
      <c r="B554" s="12"/>
      <c r="C554" s="12"/>
      <c r="D554" s="12"/>
      <c r="E554" s="12"/>
      <c r="F554" s="12"/>
    </row>
    <row r="555" ht="15.75" customHeight="1">
      <c r="A555" s="12"/>
      <c r="B555" s="12"/>
      <c r="C555" s="12"/>
      <c r="D555" s="12"/>
      <c r="E555" s="12"/>
      <c r="F555" s="12"/>
    </row>
    <row r="556" ht="15.75" customHeight="1">
      <c r="A556" s="12"/>
      <c r="B556" s="12"/>
      <c r="C556" s="12"/>
      <c r="D556" s="12"/>
      <c r="E556" s="12"/>
      <c r="F556" s="12"/>
    </row>
    <row r="557" ht="15.75" customHeight="1">
      <c r="A557" s="12"/>
      <c r="B557" s="12"/>
      <c r="C557" s="12"/>
      <c r="D557" s="12"/>
      <c r="E557" s="12"/>
      <c r="F557" s="12"/>
    </row>
    <row r="558" ht="15.75" customHeight="1">
      <c r="A558" s="12"/>
      <c r="B558" s="12"/>
      <c r="C558" s="12"/>
      <c r="D558" s="12"/>
      <c r="E558" s="12"/>
      <c r="F558" s="12"/>
    </row>
    <row r="559" ht="15.75" customHeight="1">
      <c r="A559" s="12"/>
      <c r="B559" s="12"/>
      <c r="C559" s="12"/>
      <c r="D559" s="12"/>
      <c r="E559" s="12"/>
      <c r="F559" s="12"/>
    </row>
    <row r="560" ht="15.75" customHeight="1">
      <c r="A560" s="12"/>
      <c r="B560" s="12"/>
      <c r="C560" s="12"/>
      <c r="D560" s="12"/>
      <c r="E560" s="12"/>
      <c r="F560" s="12"/>
    </row>
    <row r="561" ht="15.75" customHeight="1">
      <c r="A561" s="12"/>
      <c r="B561" s="12"/>
      <c r="C561" s="12"/>
      <c r="D561" s="12"/>
      <c r="E561" s="12"/>
      <c r="F561" s="12"/>
    </row>
    <row r="562" ht="15.75" customHeight="1">
      <c r="A562" s="12"/>
      <c r="B562" s="12"/>
      <c r="C562" s="12"/>
      <c r="D562" s="12"/>
      <c r="E562" s="12"/>
      <c r="F562" s="12"/>
    </row>
    <row r="563" ht="15.75" customHeight="1">
      <c r="A563" s="12"/>
      <c r="B563" s="12"/>
      <c r="C563" s="12"/>
      <c r="D563" s="12"/>
      <c r="E563" s="12"/>
      <c r="F563" s="12"/>
    </row>
    <row r="564" ht="15.75" customHeight="1">
      <c r="A564" s="12"/>
      <c r="B564" s="12"/>
      <c r="C564" s="12"/>
      <c r="D564" s="12"/>
      <c r="E564" s="12"/>
      <c r="F564" s="12"/>
    </row>
    <row r="565" ht="15.75" customHeight="1">
      <c r="A565" s="12"/>
      <c r="B565" s="12"/>
      <c r="C565" s="12"/>
      <c r="D565" s="12"/>
      <c r="E565" s="12"/>
      <c r="F565" s="12"/>
    </row>
    <row r="566" ht="15.75" customHeight="1">
      <c r="A566" s="12"/>
      <c r="B566" s="12"/>
      <c r="C566" s="12"/>
      <c r="D566" s="12"/>
      <c r="E566" s="12"/>
      <c r="F566" s="12"/>
    </row>
    <row r="567" ht="15.75" customHeight="1">
      <c r="A567" s="12"/>
      <c r="B567" s="12"/>
      <c r="C567" s="12"/>
      <c r="D567" s="12"/>
      <c r="E567" s="12"/>
      <c r="F567" s="12"/>
    </row>
    <row r="568" ht="15.75" customHeight="1">
      <c r="A568" s="12"/>
      <c r="B568" s="12"/>
      <c r="C568" s="12"/>
      <c r="D568" s="12"/>
      <c r="E568" s="12"/>
      <c r="F568" s="12"/>
    </row>
    <row r="569" ht="15.75" customHeight="1">
      <c r="A569" s="12"/>
      <c r="B569" s="12"/>
      <c r="C569" s="12"/>
      <c r="D569" s="12"/>
      <c r="E569" s="12"/>
      <c r="F569" s="12"/>
    </row>
    <row r="570" ht="15.75" customHeight="1">
      <c r="A570" s="12"/>
      <c r="B570" s="12"/>
      <c r="C570" s="12"/>
      <c r="D570" s="12"/>
      <c r="E570" s="12"/>
      <c r="F570" s="12"/>
    </row>
    <row r="571" ht="15.75" customHeight="1">
      <c r="A571" s="12"/>
      <c r="B571" s="12"/>
      <c r="C571" s="12"/>
      <c r="D571" s="12"/>
      <c r="E571" s="12"/>
      <c r="F571" s="12"/>
    </row>
    <row r="572" ht="15.75" customHeight="1">
      <c r="A572" s="12"/>
      <c r="B572" s="12"/>
      <c r="C572" s="12"/>
      <c r="D572" s="12"/>
      <c r="E572" s="12"/>
      <c r="F572" s="12"/>
    </row>
    <row r="573" ht="15.75" customHeight="1">
      <c r="A573" s="12"/>
      <c r="B573" s="12"/>
      <c r="C573" s="12"/>
      <c r="D573" s="12"/>
      <c r="E573" s="12"/>
      <c r="F573" s="12"/>
    </row>
    <row r="574" ht="15.75" customHeight="1">
      <c r="A574" s="12"/>
      <c r="B574" s="12"/>
      <c r="C574" s="12"/>
      <c r="D574" s="12"/>
      <c r="E574" s="12"/>
      <c r="F574" s="12"/>
    </row>
    <row r="575" ht="15.75" customHeight="1">
      <c r="A575" s="12"/>
      <c r="B575" s="12"/>
      <c r="C575" s="12"/>
      <c r="D575" s="12"/>
      <c r="E575" s="12"/>
      <c r="F575" s="12"/>
    </row>
    <row r="576" ht="15.75" customHeight="1">
      <c r="A576" s="12"/>
      <c r="B576" s="12"/>
      <c r="C576" s="12"/>
      <c r="D576" s="12"/>
      <c r="E576" s="12"/>
      <c r="F576" s="12"/>
    </row>
    <row r="577" ht="15.75" customHeight="1">
      <c r="A577" s="12"/>
      <c r="B577" s="12"/>
      <c r="C577" s="12"/>
      <c r="D577" s="12"/>
      <c r="E577" s="12"/>
      <c r="F577" s="12"/>
    </row>
    <row r="578" ht="15.75" customHeight="1">
      <c r="A578" s="12"/>
      <c r="B578" s="12"/>
      <c r="C578" s="12"/>
      <c r="D578" s="12"/>
      <c r="E578" s="12"/>
      <c r="F578" s="12"/>
    </row>
    <row r="579" ht="15.75" customHeight="1">
      <c r="A579" s="12"/>
      <c r="B579" s="12"/>
      <c r="C579" s="12"/>
      <c r="D579" s="12"/>
      <c r="E579" s="12"/>
      <c r="F579" s="12"/>
    </row>
    <row r="580" ht="15.75" customHeight="1">
      <c r="A580" s="12"/>
      <c r="B580" s="12"/>
      <c r="C580" s="12"/>
      <c r="D580" s="12"/>
      <c r="E580" s="12"/>
      <c r="F580" s="12"/>
    </row>
    <row r="581" ht="15.75" customHeight="1">
      <c r="A581" s="12"/>
      <c r="B581" s="12"/>
      <c r="C581" s="12"/>
      <c r="D581" s="12"/>
      <c r="E581" s="12"/>
      <c r="F581" s="12"/>
    </row>
    <row r="582" ht="15.75" customHeight="1">
      <c r="A582" s="12"/>
      <c r="B582" s="12"/>
      <c r="C582" s="12"/>
      <c r="D582" s="12"/>
      <c r="E582" s="12"/>
      <c r="F582" s="12"/>
    </row>
    <row r="583" ht="15.75" customHeight="1">
      <c r="A583" s="12"/>
      <c r="B583" s="12"/>
      <c r="C583" s="12"/>
      <c r="D583" s="12"/>
      <c r="E583" s="12"/>
      <c r="F583" s="12"/>
    </row>
    <row r="584" ht="15.75" customHeight="1">
      <c r="A584" s="12"/>
      <c r="B584" s="12"/>
      <c r="C584" s="12"/>
      <c r="D584" s="12"/>
      <c r="E584" s="12"/>
      <c r="F584" s="12"/>
    </row>
    <row r="585" ht="15.75" customHeight="1">
      <c r="A585" s="12"/>
      <c r="B585" s="12"/>
      <c r="C585" s="12"/>
      <c r="D585" s="12"/>
      <c r="E585" s="12"/>
      <c r="F585" s="12"/>
    </row>
    <row r="586" ht="15.75" customHeight="1">
      <c r="A586" s="12"/>
      <c r="B586" s="12"/>
      <c r="C586" s="12"/>
      <c r="D586" s="12"/>
      <c r="E586" s="12"/>
      <c r="F586" s="12"/>
    </row>
    <row r="587" ht="15.75" customHeight="1">
      <c r="A587" s="12"/>
      <c r="B587" s="12"/>
      <c r="C587" s="12"/>
      <c r="D587" s="12"/>
      <c r="E587" s="12"/>
      <c r="F587" s="12"/>
    </row>
    <row r="588" ht="15.75" customHeight="1">
      <c r="A588" s="12"/>
      <c r="B588" s="12"/>
      <c r="C588" s="12"/>
      <c r="D588" s="12"/>
      <c r="E588" s="12"/>
      <c r="F588" s="12"/>
    </row>
    <row r="589" ht="15.75" customHeight="1">
      <c r="A589" s="12"/>
      <c r="B589" s="12"/>
      <c r="C589" s="12"/>
      <c r="D589" s="12"/>
      <c r="E589" s="12"/>
      <c r="F589" s="12"/>
    </row>
    <row r="590" ht="15.75" customHeight="1">
      <c r="A590" s="12"/>
      <c r="B590" s="12"/>
      <c r="C590" s="12"/>
      <c r="D590" s="12"/>
      <c r="E590" s="12"/>
      <c r="F590" s="12"/>
    </row>
    <row r="591" ht="15.75" customHeight="1">
      <c r="A591" s="12"/>
      <c r="B591" s="12"/>
      <c r="C591" s="12"/>
      <c r="D591" s="12"/>
      <c r="E591" s="12"/>
      <c r="F591" s="12"/>
    </row>
    <row r="592" ht="15.75" customHeight="1">
      <c r="A592" s="12"/>
      <c r="B592" s="12"/>
      <c r="C592" s="12"/>
      <c r="D592" s="12"/>
      <c r="E592" s="12"/>
      <c r="F592" s="12"/>
    </row>
    <row r="593" ht="15.75" customHeight="1">
      <c r="A593" s="12"/>
      <c r="B593" s="12"/>
      <c r="C593" s="12"/>
      <c r="D593" s="12"/>
      <c r="E593" s="12"/>
      <c r="F593" s="12"/>
    </row>
    <row r="594" ht="15.75" customHeight="1">
      <c r="A594" s="12"/>
      <c r="B594" s="12"/>
      <c r="C594" s="12"/>
      <c r="D594" s="12"/>
      <c r="E594" s="12"/>
      <c r="F594" s="12"/>
    </row>
    <row r="595" ht="15.75" customHeight="1">
      <c r="A595" s="12"/>
      <c r="B595" s="12"/>
      <c r="C595" s="12"/>
      <c r="D595" s="12"/>
      <c r="E595" s="12"/>
      <c r="F595" s="12"/>
    </row>
    <row r="596" ht="15.75" customHeight="1">
      <c r="A596" s="12"/>
      <c r="B596" s="12"/>
      <c r="C596" s="12"/>
      <c r="D596" s="12"/>
      <c r="E596" s="12"/>
      <c r="F596" s="12"/>
    </row>
    <row r="597" ht="15.75" customHeight="1">
      <c r="A597" s="12"/>
      <c r="B597" s="12"/>
      <c r="C597" s="12"/>
      <c r="D597" s="12"/>
      <c r="E597" s="12"/>
      <c r="F597" s="12"/>
    </row>
    <row r="598" ht="15.75" customHeight="1">
      <c r="A598" s="12"/>
      <c r="B598" s="12"/>
      <c r="C598" s="12"/>
      <c r="D598" s="12"/>
      <c r="E598" s="12"/>
      <c r="F598" s="12"/>
    </row>
    <row r="599" ht="15.75" customHeight="1">
      <c r="A599" s="12"/>
      <c r="B599" s="12"/>
      <c r="C599" s="12"/>
      <c r="D599" s="12"/>
      <c r="E599" s="12"/>
      <c r="F599" s="12"/>
    </row>
    <row r="600" ht="15.75" customHeight="1">
      <c r="A600" s="12"/>
      <c r="B600" s="12"/>
      <c r="C600" s="12"/>
      <c r="D600" s="12"/>
      <c r="E600" s="12"/>
      <c r="F600" s="12"/>
    </row>
    <row r="601" ht="15.75" customHeight="1">
      <c r="A601" s="12"/>
      <c r="B601" s="12"/>
      <c r="C601" s="12"/>
      <c r="D601" s="12"/>
      <c r="E601" s="12"/>
      <c r="F601" s="12"/>
    </row>
    <row r="602" ht="15.75" customHeight="1">
      <c r="A602" s="12"/>
      <c r="B602" s="12"/>
      <c r="C602" s="12"/>
      <c r="D602" s="12"/>
      <c r="E602" s="12"/>
      <c r="F602" s="12"/>
    </row>
    <row r="603" ht="15.75" customHeight="1">
      <c r="A603" s="12"/>
      <c r="B603" s="12"/>
      <c r="C603" s="12"/>
      <c r="D603" s="12"/>
      <c r="E603" s="12"/>
      <c r="F603" s="12"/>
    </row>
    <row r="604" ht="15.75" customHeight="1">
      <c r="A604" s="12"/>
      <c r="B604" s="12"/>
      <c r="C604" s="12"/>
      <c r="D604" s="12"/>
      <c r="E604" s="12"/>
      <c r="F604" s="12"/>
    </row>
    <row r="605" ht="15.75" customHeight="1">
      <c r="A605" s="12"/>
      <c r="B605" s="12"/>
      <c r="C605" s="12"/>
      <c r="D605" s="12"/>
      <c r="E605" s="12"/>
      <c r="F605" s="12"/>
    </row>
    <row r="606" ht="15.75" customHeight="1">
      <c r="A606" s="12"/>
      <c r="B606" s="12"/>
      <c r="C606" s="12"/>
      <c r="D606" s="12"/>
      <c r="E606" s="12"/>
      <c r="F606" s="12"/>
    </row>
    <row r="607" ht="15.75" customHeight="1">
      <c r="A607" s="12"/>
      <c r="B607" s="12"/>
      <c r="C607" s="12"/>
      <c r="D607" s="12"/>
      <c r="E607" s="12"/>
      <c r="F607" s="12"/>
    </row>
    <row r="608" ht="15.75" customHeight="1">
      <c r="A608" s="12"/>
      <c r="B608" s="12"/>
      <c r="C608" s="12"/>
      <c r="D608" s="12"/>
      <c r="E608" s="12"/>
      <c r="F608" s="12"/>
    </row>
    <row r="609" ht="15.75" customHeight="1">
      <c r="A609" s="12"/>
      <c r="B609" s="12"/>
      <c r="C609" s="12"/>
      <c r="D609" s="12"/>
      <c r="E609" s="12"/>
      <c r="F609" s="12"/>
    </row>
    <row r="610" ht="15.75" customHeight="1">
      <c r="A610" s="12"/>
      <c r="B610" s="12"/>
      <c r="C610" s="12"/>
      <c r="D610" s="12"/>
      <c r="E610" s="12"/>
      <c r="F610" s="12"/>
    </row>
    <row r="611" ht="15.75" customHeight="1">
      <c r="A611" s="12"/>
      <c r="B611" s="12"/>
      <c r="C611" s="12"/>
      <c r="D611" s="12"/>
      <c r="E611" s="12"/>
      <c r="F611" s="12"/>
    </row>
    <row r="612" ht="15.75" customHeight="1">
      <c r="A612" s="12"/>
      <c r="B612" s="12"/>
      <c r="C612" s="12"/>
      <c r="D612" s="12"/>
      <c r="E612" s="12"/>
      <c r="F612" s="12"/>
    </row>
    <row r="613" ht="15.75" customHeight="1">
      <c r="A613" s="12"/>
      <c r="B613" s="12"/>
      <c r="C613" s="12"/>
      <c r="D613" s="12"/>
      <c r="E613" s="12"/>
      <c r="F613" s="12"/>
    </row>
    <row r="614" ht="15.75" customHeight="1">
      <c r="A614" s="12"/>
      <c r="B614" s="12"/>
      <c r="C614" s="12"/>
      <c r="D614" s="12"/>
      <c r="E614" s="12"/>
      <c r="F614" s="12"/>
    </row>
    <row r="615" ht="15.75" customHeight="1">
      <c r="A615" s="12"/>
      <c r="B615" s="12"/>
      <c r="C615" s="12"/>
      <c r="D615" s="12"/>
      <c r="E615" s="12"/>
      <c r="F615" s="12"/>
    </row>
    <row r="616" ht="15.75" customHeight="1">
      <c r="A616" s="12"/>
      <c r="B616" s="12"/>
      <c r="C616" s="12"/>
      <c r="D616" s="12"/>
      <c r="E616" s="12"/>
      <c r="F616" s="12"/>
    </row>
    <row r="617" ht="15.75" customHeight="1">
      <c r="A617" s="12"/>
      <c r="B617" s="12"/>
      <c r="C617" s="12"/>
      <c r="D617" s="12"/>
      <c r="E617" s="12"/>
      <c r="F617" s="12"/>
    </row>
    <row r="618" ht="15.75" customHeight="1">
      <c r="A618" s="12"/>
      <c r="B618" s="12"/>
      <c r="C618" s="12"/>
      <c r="D618" s="12"/>
      <c r="E618" s="12"/>
      <c r="F618" s="12"/>
    </row>
    <row r="619" ht="15.75" customHeight="1">
      <c r="A619" s="12"/>
      <c r="B619" s="12"/>
      <c r="C619" s="12"/>
      <c r="D619" s="12"/>
      <c r="E619" s="12"/>
      <c r="F619" s="12"/>
    </row>
    <row r="620" ht="15.75" customHeight="1">
      <c r="A620" s="12"/>
      <c r="B620" s="12"/>
      <c r="C620" s="12"/>
      <c r="D620" s="12"/>
      <c r="E620" s="12"/>
      <c r="F620" s="12"/>
    </row>
    <row r="621" ht="15.75" customHeight="1">
      <c r="A621" s="12"/>
      <c r="B621" s="12"/>
      <c r="C621" s="12"/>
      <c r="D621" s="12"/>
      <c r="E621" s="12"/>
      <c r="F621" s="12"/>
    </row>
    <row r="622" ht="15.75" customHeight="1">
      <c r="A622" s="12"/>
      <c r="B622" s="12"/>
      <c r="C622" s="12"/>
      <c r="D622" s="12"/>
      <c r="E622" s="12"/>
      <c r="F622" s="12"/>
    </row>
    <row r="623" ht="15.75" customHeight="1">
      <c r="A623" s="12"/>
      <c r="B623" s="12"/>
      <c r="C623" s="12"/>
      <c r="D623" s="12"/>
      <c r="E623" s="12"/>
      <c r="F623" s="12"/>
    </row>
    <row r="624" ht="15.75" customHeight="1">
      <c r="A624" s="12"/>
      <c r="B624" s="12"/>
      <c r="C624" s="12"/>
      <c r="D624" s="12"/>
      <c r="E624" s="12"/>
      <c r="F624" s="12"/>
    </row>
    <row r="625" ht="15.75" customHeight="1">
      <c r="A625" s="12"/>
      <c r="B625" s="12"/>
      <c r="C625" s="12"/>
      <c r="D625" s="12"/>
      <c r="E625" s="12"/>
      <c r="F625" s="12"/>
    </row>
    <row r="626" ht="15.75" customHeight="1">
      <c r="A626" s="12"/>
      <c r="B626" s="12"/>
      <c r="C626" s="12"/>
      <c r="D626" s="12"/>
      <c r="E626" s="12"/>
      <c r="F626" s="12"/>
    </row>
    <row r="627" ht="15.75" customHeight="1">
      <c r="A627" s="12"/>
      <c r="B627" s="12"/>
      <c r="C627" s="12"/>
      <c r="D627" s="12"/>
      <c r="E627" s="12"/>
      <c r="F627" s="12"/>
    </row>
    <row r="628" ht="15.75" customHeight="1">
      <c r="A628" s="12"/>
      <c r="B628" s="12"/>
      <c r="C628" s="12"/>
      <c r="D628" s="12"/>
      <c r="E628" s="12"/>
      <c r="F628" s="12"/>
    </row>
    <row r="629" ht="15.75" customHeight="1">
      <c r="A629" s="12"/>
      <c r="B629" s="12"/>
      <c r="C629" s="12"/>
      <c r="D629" s="12"/>
      <c r="E629" s="12"/>
      <c r="F629" s="12"/>
    </row>
    <row r="630" ht="15.75" customHeight="1">
      <c r="A630" s="12"/>
      <c r="B630" s="12"/>
      <c r="C630" s="12"/>
      <c r="D630" s="12"/>
      <c r="E630" s="12"/>
      <c r="F630" s="12"/>
    </row>
    <row r="631" ht="15.75" customHeight="1">
      <c r="A631" s="12"/>
      <c r="B631" s="12"/>
      <c r="C631" s="12"/>
      <c r="D631" s="12"/>
      <c r="E631" s="12"/>
      <c r="F631" s="12"/>
    </row>
    <row r="632" ht="15.75" customHeight="1">
      <c r="A632" s="12"/>
      <c r="B632" s="12"/>
      <c r="C632" s="12"/>
      <c r="D632" s="12"/>
      <c r="E632" s="12"/>
      <c r="F632" s="12"/>
    </row>
    <row r="633" ht="15.75" customHeight="1">
      <c r="A633" s="12"/>
      <c r="B633" s="12"/>
      <c r="C633" s="12"/>
      <c r="D633" s="12"/>
      <c r="E633" s="12"/>
      <c r="F633" s="12"/>
    </row>
    <row r="634" ht="15.75" customHeight="1">
      <c r="A634" s="12"/>
      <c r="B634" s="12"/>
      <c r="C634" s="12"/>
      <c r="D634" s="12"/>
      <c r="E634" s="12"/>
      <c r="F634" s="12"/>
    </row>
    <row r="635" ht="15.75" customHeight="1">
      <c r="A635" s="12"/>
      <c r="B635" s="12"/>
      <c r="C635" s="12"/>
      <c r="D635" s="12"/>
      <c r="E635" s="12"/>
      <c r="F635" s="12"/>
    </row>
    <row r="636" ht="15.75" customHeight="1">
      <c r="A636" s="12"/>
      <c r="B636" s="12"/>
      <c r="C636" s="12"/>
      <c r="D636" s="12"/>
      <c r="E636" s="12"/>
      <c r="F636" s="12"/>
    </row>
    <row r="637" ht="15.75" customHeight="1">
      <c r="A637" s="12"/>
      <c r="B637" s="12"/>
      <c r="C637" s="12"/>
      <c r="D637" s="12"/>
      <c r="E637" s="12"/>
      <c r="F637" s="12"/>
    </row>
    <row r="638" ht="15.75" customHeight="1">
      <c r="A638" s="12"/>
      <c r="B638" s="12"/>
      <c r="C638" s="12"/>
      <c r="D638" s="12"/>
      <c r="E638" s="12"/>
      <c r="F638" s="12"/>
    </row>
    <row r="639" ht="15.75" customHeight="1">
      <c r="A639" s="12"/>
      <c r="B639" s="12"/>
      <c r="C639" s="12"/>
      <c r="D639" s="12"/>
      <c r="E639" s="12"/>
      <c r="F639" s="12"/>
    </row>
    <row r="640" ht="15.75" customHeight="1">
      <c r="A640" s="12"/>
      <c r="B640" s="12"/>
      <c r="C640" s="12"/>
      <c r="D640" s="12"/>
      <c r="E640" s="12"/>
      <c r="F640" s="12"/>
    </row>
    <row r="641" ht="15.75" customHeight="1">
      <c r="A641" s="12"/>
      <c r="B641" s="12"/>
      <c r="C641" s="12"/>
      <c r="D641" s="12"/>
      <c r="E641" s="12"/>
      <c r="F641" s="12"/>
    </row>
    <row r="642" ht="15.75" customHeight="1">
      <c r="A642" s="12"/>
      <c r="B642" s="12"/>
      <c r="C642" s="12"/>
      <c r="D642" s="12"/>
      <c r="E642" s="12"/>
      <c r="F642" s="12"/>
    </row>
    <row r="643" ht="15.75" customHeight="1">
      <c r="A643" s="12"/>
      <c r="B643" s="12"/>
      <c r="C643" s="12"/>
      <c r="D643" s="12"/>
      <c r="E643" s="12"/>
      <c r="F643" s="12"/>
    </row>
    <row r="644" ht="15.75" customHeight="1">
      <c r="A644" s="12"/>
      <c r="B644" s="12"/>
      <c r="C644" s="12"/>
      <c r="D644" s="12"/>
      <c r="E644" s="12"/>
      <c r="F644" s="12"/>
    </row>
    <row r="645" ht="15.75" customHeight="1">
      <c r="A645" s="12"/>
      <c r="B645" s="12"/>
      <c r="C645" s="12"/>
      <c r="D645" s="12"/>
      <c r="E645" s="12"/>
      <c r="F645" s="12"/>
    </row>
    <row r="646" ht="15.75" customHeight="1">
      <c r="A646" s="12"/>
      <c r="B646" s="12"/>
      <c r="C646" s="12"/>
      <c r="D646" s="12"/>
      <c r="E646" s="12"/>
      <c r="F646" s="12"/>
    </row>
    <row r="647" ht="15.75" customHeight="1">
      <c r="A647" s="12"/>
      <c r="B647" s="12"/>
      <c r="C647" s="12"/>
      <c r="D647" s="12"/>
      <c r="E647" s="12"/>
      <c r="F647" s="12"/>
    </row>
    <row r="648" ht="15.75" customHeight="1">
      <c r="A648" s="12"/>
      <c r="B648" s="12"/>
      <c r="C648" s="12"/>
      <c r="D648" s="12"/>
      <c r="E648" s="12"/>
      <c r="F648" s="12"/>
    </row>
    <row r="649" ht="15.75" customHeight="1">
      <c r="A649" s="12"/>
      <c r="B649" s="12"/>
      <c r="C649" s="12"/>
      <c r="D649" s="12"/>
      <c r="E649" s="12"/>
      <c r="F649" s="12"/>
    </row>
    <row r="650" ht="15.75" customHeight="1">
      <c r="A650" s="12"/>
      <c r="B650" s="12"/>
      <c r="C650" s="12"/>
      <c r="D650" s="12"/>
      <c r="E650" s="12"/>
      <c r="F650" s="12"/>
    </row>
    <row r="651" ht="15.75" customHeight="1">
      <c r="A651" s="12"/>
      <c r="B651" s="12"/>
      <c r="C651" s="12"/>
      <c r="D651" s="12"/>
      <c r="E651" s="12"/>
      <c r="F651" s="12"/>
    </row>
    <row r="652" ht="15.75" customHeight="1">
      <c r="A652" s="12"/>
      <c r="B652" s="12"/>
      <c r="C652" s="12"/>
      <c r="D652" s="12"/>
      <c r="E652" s="12"/>
      <c r="F652" s="12"/>
    </row>
    <row r="653" ht="15.75" customHeight="1">
      <c r="A653" s="12"/>
      <c r="B653" s="12"/>
      <c r="C653" s="12"/>
      <c r="D653" s="12"/>
      <c r="E653" s="12"/>
      <c r="F653" s="12"/>
    </row>
    <row r="654" ht="15.75" customHeight="1">
      <c r="A654" s="12"/>
      <c r="B654" s="12"/>
      <c r="C654" s="12"/>
      <c r="D654" s="12"/>
      <c r="E654" s="12"/>
      <c r="F654" s="12"/>
    </row>
    <row r="655" ht="15.75" customHeight="1">
      <c r="A655" s="12"/>
      <c r="B655" s="12"/>
      <c r="C655" s="12"/>
      <c r="D655" s="12"/>
      <c r="E655" s="12"/>
      <c r="F655" s="12"/>
    </row>
    <row r="656" ht="15.75" customHeight="1">
      <c r="A656" s="12"/>
      <c r="B656" s="12"/>
      <c r="C656" s="12"/>
      <c r="D656" s="12"/>
      <c r="E656" s="12"/>
      <c r="F656" s="12"/>
    </row>
    <row r="657" ht="15.75" customHeight="1">
      <c r="A657" s="12"/>
      <c r="B657" s="12"/>
      <c r="C657" s="12"/>
      <c r="D657" s="12"/>
      <c r="E657" s="12"/>
      <c r="F657" s="12"/>
    </row>
    <row r="658" ht="15.75" customHeight="1">
      <c r="A658" s="12"/>
      <c r="B658" s="12"/>
      <c r="C658" s="12"/>
      <c r="D658" s="12"/>
      <c r="E658" s="12"/>
      <c r="F658" s="12"/>
    </row>
    <row r="659" ht="15.75" customHeight="1">
      <c r="A659" s="12"/>
      <c r="B659" s="12"/>
      <c r="C659" s="12"/>
      <c r="D659" s="12"/>
      <c r="E659" s="12"/>
      <c r="F659" s="12"/>
    </row>
    <row r="660" ht="15.75" customHeight="1">
      <c r="A660" s="12"/>
      <c r="B660" s="12"/>
      <c r="C660" s="12"/>
      <c r="D660" s="12"/>
      <c r="E660" s="12"/>
      <c r="F660" s="12"/>
    </row>
    <row r="661" ht="15.75" customHeight="1">
      <c r="A661" s="12"/>
      <c r="B661" s="12"/>
      <c r="C661" s="12"/>
      <c r="D661" s="12"/>
      <c r="E661" s="12"/>
      <c r="F661" s="12"/>
    </row>
    <row r="662" ht="15.75" customHeight="1">
      <c r="A662" s="12"/>
      <c r="B662" s="12"/>
      <c r="C662" s="12"/>
      <c r="D662" s="12"/>
      <c r="E662" s="12"/>
      <c r="F662" s="12"/>
    </row>
    <row r="663" ht="15.75" customHeight="1">
      <c r="A663" s="12"/>
      <c r="B663" s="12"/>
      <c r="C663" s="12"/>
      <c r="D663" s="12"/>
      <c r="E663" s="12"/>
      <c r="F663" s="12"/>
    </row>
    <row r="664" ht="15.75" customHeight="1">
      <c r="A664" s="12"/>
      <c r="B664" s="12"/>
      <c r="C664" s="12"/>
      <c r="D664" s="12"/>
      <c r="E664" s="12"/>
      <c r="F664" s="12"/>
    </row>
    <row r="665" ht="15.75" customHeight="1">
      <c r="A665" s="12"/>
      <c r="B665" s="12"/>
      <c r="C665" s="12"/>
      <c r="D665" s="12"/>
      <c r="E665" s="12"/>
      <c r="F665" s="12"/>
    </row>
    <row r="666" ht="15.75" customHeight="1">
      <c r="A666" s="12"/>
      <c r="B666" s="12"/>
      <c r="C666" s="12"/>
      <c r="D666" s="12"/>
      <c r="E666" s="12"/>
      <c r="F666" s="12"/>
    </row>
    <row r="667" ht="15.75" customHeight="1">
      <c r="A667" s="12"/>
      <c r="B667" s="12"/>
      <c r="C667" s="12"/>
      <c r="D667" s="12"/>
      <c r="E667" s="12"/>
      <c r="F667" s="12"/>
    </row>
    <row r="668" ht="15.75" customHeight="1">
      <c r="A668" s="12"/>
      <c r="B668" s="12"/>
      <c r="C668" s="12"/>
      <c r="D668" s="12"/>
      <c r="E668" s="12"/>
      <c r="F668" s="12"/>
    </row>
    <row r="669" ht="15.75" customHeight="1">
      <c r="A669" s="12"/>
      <c r="B669" s="12"/>
      <c r="C669" s="12"/>
      <c r="D669" s="12"/>
      <c r="E669" s="12"/>
      <c r="F669" s="12"/>
    </row>
    <row r="670" ht="15.75" customHeight="1">
      <c r="A670" s="12"/>
      <c r="B670" s="12"/>
      <c r="C670" s="12"/>
      <c r="D670" s="12"/>
      <c r="E670" s="12"/>
      <c r="F670" s="12"/>
    </row>
    <row r="671" ht="15.75" customHeight="1">
      <c r="A671" s="12"/>
      <c r="B671" s="12"/>
      <c r="C671" s="12"/>
      <c r="D671" s="12"/>
      <c r="E671" s="12"/>
      <c r="F671" s="12"/>
    </row>
    <row r="672" ht="15.75" customHeight="1">
      <c r="A672" s="12"/>
      <c r="B672" s="12"/>
      <c r="C672" s="12"/>
      <c r="D672" s="12"/>
      <c r="E672" s="12"/>
      <c r="F672" s="12"/>
    </row>
    <row r="673" ht="15.75" customHeight="1">
      <c r="A673" s="12"/>
      <c r="B673" s="12"/>
      <c r="C673" s="12"/>
      <c r="D673" s="12"/>
      <c r="E673" s="12"/>
      <c r="F673" s="12"/>
    </row>
    <row r="674" ht="15.75" customHeight="1">
      <c r="A674" s="12"/>
      <c r="B674" s="12"/>
      <c r="C674" s="12"/>
      <c r="D674" s="12"/>
      <c r="E674" s="12"/>
      <c r="F674" s="12"/>
    </row>
    <row r="675" ht="15.75" customHeight="1">
      <c r="A675" s="12"/>
      <c r="B675" s="12"/>
      <c r="C675" s="12"/>
      <c r="D675" s="12"/>
      <c r="E675" s="12"/>
      <c r="F675" s="12"/>
    </row>
    <row r="676" ht="15.75" customHeight="1">
      <c r="A676" s="12"/>
      <c r="B676" s="12"/>
      <c r="C676" s="12"/>
      <c r="D676" s="12"/>
      <c r="E676" s="12"/>
      <c r="F676" s="12"/>
    </row>
    <row r="677" ht="15.75" customHeight="1">
      <c r="A677" s="12"/>
      <c r="B677" s="12"/>
      <c r="C677" s="12"/>
      <c r="D677" s="12"/>
      <c r="E677" s="12"/>
      <c r="F677" s="12"/>
    </row>
    <row r="678" ht="15.75" customHeight="1">
      <c r="A678" s="12"/>
      <c r="B678" s="12"/>
      <c r="C678" s="12"/>
      <c r="D678" s="12"/>
      <c r="E678" s="12"/>
      <c r="F678" s="12"/>
    </row>
    <row r="679" ht="15.75" customHeight="1">
      <c r="A679" s="12"/>
      <c r="B679" s="12"/>
      <c r="C679" s="12"/>
      <c r="D679" s="12"/>
      <c r="E679" s="12"/>
      <c r="F679" s="12"/>
    </row>
    <row r="680" ht="15.75" customHeight="1">
      <c r="A680" s="12"/>
      <c r="B680" s="12"/>
      <c r="C680" s="12"/>
      <c r="D680" s="12"/>
      <c r="E680" s="12"/>
      <c r="F680" s="12"/>
    </row>
    <row r="681" ht="15.75" customHeight="1">
      <c r="A681" s="12"/>
      <c r="B681" s="12"/>
      <c r="C681" s="12"/>
      <c r="D681" s="12"/>
      <c r="E681" s="12"/>
      <c r="F681" s="12"/>
    </row>
    <row r="682" ht="15.75" customHeight="1">
      <c r="A682" s="12"/>
      <c r="B682" s="12"/>
      <c r="C682" s="12"/>
      <c r="D682" s="12"/>
      <c r="E682" s="12"/>
      <c r="F682" s="12"/>
    </row>
    <row r="683" ht="15.75" customHeight="1">
      <c r="A683" s="12"/>
      <c r="B683" s="12"/>
      <c r="C683" s="12"/>
      <c r="D683" s="12"/>
      <c r="E683" s="12"/>
      <c r="F683" s="12"/>
    </row>
    <row r="684" ht="15.75" customHeight="1">
      <c r="A684" s="12"/>
      <c r="B684" s="12"/>
      <c r="C684" s="12"/>
      <c r="D684" s="12"/>
      <c r="E684" s="12"/>
      <c r="F684" s="12"/>
    </row>
    <row r="685" ht="15.75" customHeight="1">
      <c r="A685" s="12"/>
      <c r="B685" s="12"/>
      <c r="C685" s="12"/>
      <c r="D685" s="12"/>
      <c r="E685" s="12"/>
      <c r="F685" s="12"/>
    </row>
    <row r="686" ht="15.75" customHeight="1">
      <c r="A686" s="12"/>
      <c r="B686" s="12"/>
      <c r="C686" s="12"/>
      <c r="D686" s="12"/>
      <c r="E686" s="12"/>
      <c r="F686" s="12"/>
    </row>
    <row r="687" ht="15.75" customHeight="1">
      <c r="A687" s="12"/>
      <c r="B687" s="12"/>
      <c r="C687" s="12"/>
      <c r="D687" s="12"/>
      <c r="E687" s="12"/>
      <c r="F687" s="12"/>
    </row>
    <row r="688" ht="15.75" customHeight="1">
      <c r="A688" s="12"/>
      <c r="B688" s="12"/>
      <c r="C688" s="12"/>
      <c r="D688" s="12"/>
      <c r="E688" s="12"/>
      <c r="F688" s="12"/>
    </row>
    <row r="689" ht="15.75" customHeight="1">
      <c r="A689" s="12"/>
      <c r="B689" s="12"/>
      <c r="C689" s="12"/>
      <c r="D689" s="12"/>
      <c r="E689" s="12"/>
      <c r="F689" s="12"/>
    </row>
    <row r="690" ht="15.75" customHeight="1">
      <c r="A690" s="12"/>
      <c r="B690" s="12"/>
      <c r="C690" s="12"/>
      <c r="D690" s="12"/>
      <c r="E690" s="12"/>
      <c r="F690" s="12"/>
    </row>
    <row r="691" ht="15.75" customHeight="1">
      <c r="A691" s="12"/>
      <c r="B691" s="12"/>
      <c r="C691" s="12"/>
      <c r="D691" s="12"/>
      <c r="E691" s="12"/>
      <c r="F691" s="12"/>
    </row>
    <row r="692" ht="15.75" customHeight="1">
      <c r="A692" s="12"/>
      <c r="B692" s="12"/>
      <c r="C692" s="12"/>
      <c r="D692" s="12"/>
      <c r="E692" s="12"/>
      <c r="F692" s="12"/>
    </row>
    <row r="693" ht="15.75" customHeight="1">
      <c r="A693" s="12"/>
      <c r="B693" s="12"/>
      <c r="C693" s="12"/>
      <c r="D693" s="12"/>
      <c r="E693" s="12"/>
      <c r="F693" s="12"/>
    </row>
    <row r="694" ht="15.75" customHeight="1">
      <c r="A694" s="12"/>
      <c r="B694" s="12"/>
      <c r="C694" s="12"/>
      <c r="D694" s="12"/>
      <c r="E694" s="12"/>
      <c r="F694" s="12"/>
    </row>
    <row r="695" ht="15.75" customHeight="1">
      <c r="A695" s="12"/>
      <c r="B695" s="12"/>
      <c r="C695" s="12"/>
      <c r="D695" s="12"/>
      <c r="E695" s="12"/>
      <c r="F695" s="12"/>
    </row>
    <row r="696" ht="15.75" customHeight="1">
      <c r="A696" s="12"/>
      <c r="B696" s="12"/>
      <c r="C696" s="12"/>
      <c r="D696" s="12"/>
      <c r="E696" s="12"/>
      <c r="F696" s="12"/>
    </row>
    <row r="697" ht="15.75" customHeight="1">
      <c r="A697" s="12"/>
      <c r="B697" s="12"/>
      <c r="C697" s="12"/>
      <c r="D697" s="12"/>
      <c r="E697" s="12"/>
      <c r="F697" s="12"/>
    </row>
    <row r="698" ht="15.75" customHeight="1">
      <c r="A698" s="12"/>
      <c r="B698" s="12"/>
      <c r="C698" s="12"/>
      <c r="D698" s="12"/>
      <c r="E698" s="12"/>
      <c r="F698" s="12"/>
    </row>
    <row r="699" ht="15.75" customHeight="1">
      <c r="A699" s="12"/>
      <c r="B699" s="12"/>
      <c r="C699" s="12"/>
      <c r="D699" s="12"/>
      <c r="E699" s="12"/>
      <c r="F699" s="12"/>
    </row>
    <row r="700" ht="15.75" customHeight="1">
      <c r="A700" s="12"/>
      <c r="B700" s="12"/>
      <c r="C700" s="12"/>
      <c r="D700" s="12"/>
      <c r="E700" s="12"/>
      <c r="F700" s="12"/>
    </row>
    <row r="701" ht="15.75" customHeight="1">
      <c r="A701" s="12"/>
      <c r="B701" s="12"/>
      <c r="C701" s="12"/>
      <c r="D701" s="12"/>
      <c r="E701" s="12"/>
      <c r="F701" s="12"/>
    </row>
    <row r="702" ht="15.75" customHeight="1">
      <c r="A702" s="12"/>
      <c r="B702" s="12"/>
      <c r="C702" s="12"/>
      <c r="D702" s="12"/>
      <c r="E702" s="12"/>
      <c r="F702" s="12"/>
    </row>
    <row r="703" ht="15.75" customHeight="1">
      <c r="A703" s="12"/>
      <c r="B703" s="12"/>
      <c r="C703" s="12"/>
      <c r="D703" s="12"/>
      <c r="E703" s="12"/>
      <c r="F703" s="12"/>
    </row>
    <row r="704" ht="15.75" customHeight="1">
      <c r="A704" s="12"/>
      <c r="B704" s="12"/>
      <c r="C704" s="12"/>
      <c r="D704" s="12"/>
      <c r="E704" s="12"/>
      <c r="F704" s="12"/>
    </row>
    <row r="705" ht="15.75" customHeight="1">
      <c r="A705" s="12"/>
      <c r="B705" s="12"/>
      <c r="C705" s="12"/>
      <c r="D705" s="12"/>
      <c r="E705" s="12"/>
      <c r="F705" s="12"/>
    </row>
    <row r="706" ht="15.75" customHeight="1">
      <c r="A706" s="12"/>
      <c r="B706" s="12"/>
      <c r="C706" s="12"/>
      <c r="D706" s="12"/>
      <c r="E706" s="12"/>
      <c r="F706" s="12"/>
    </row>
    <row r="707" ht="15.75" customHeight="1">
      <c r="A707" s="12"/>
      <c r="B707" s="12"/>
      <c r="C707" s="12"/>
      <c r="D707" s="12"/>
      <c r="E707" s="12"/>
      <c r="F707" s="12"/>
    </row>
    <row r="708" ht="15.75" customHeight="1">
      <c r="A708" s="12"/>
      <c r="B708" s="12"/>
      <c r="C708" s="12"/>
      <c r="D708" s="12"/>
      <c r="E708" s="12"/>
      <c r="F708" s="12"/>
    </row>
    <row r="709" ht="15.75" customHeight="1">
      <c r="A709" s="12"/>
      <c r="B709" s="12"/>
      <c r="C709" s="12"/>
      <c r="D709" s="12"/>
      <c r="E709" s="12"/>
      <c r="F709" s="12"/>
    </row>
    <row r="710" ht="15.75" customHeight="1">
      <c r="A710" s="12"/>
      <c r="B710" s="12"/>
      <c r="C710" s="12"/>
      <c r="D710" s="12"/>
      <c r="E710" s="12"/>
      <c r="F710" s="12"/>
    </row>
    <row r="711" ht="15.75" customHeight="1">
      <c r="A711" s="12"/>
      <c r="B711" s="12"/>
      <c r="C711" s="12"/>
      <c r="D711" s="12"/>
      <c r="E711" s="12"/>
      <c r="F711" s="12"/>
    </row>
    <row r="712" ht="15.75" customHeight="1">
      <c r="A712" s="12"/>
      <c r="B712" s="12"/>
      <c r="C712" s="12"/>
      <c r="D712" s="12"/>
      <c r="E712" s="12"/>
      <c r="F712" s="12"/>
    </row>
    <row r="713" ht="15.75" customHeight="1">
      <c r="A713" s="12"/>
      <c r="B713" s="12"/>
      <c r="C713" s="12"/>
      <c r="D713" s="12"/>
      <c r="E713" s="12"/>
      <c r="F713" s="12"/>
    </row>
    <row r="714" ht="15.75" customHeight="1">
      <c r="A714" s="12"/>
      <c r="B714" s="12"/>
      <c r="C714" s="12"/>
      <c r="D714" s="12"/>
      <c r="E714" s="12"/>
      <c r="F714" s="12"/>
    </row>
    <row r="715" ht="15.75" customHeight="1">
      <c r="A715" s="12"/>
      <c r="B715" s="12"/>
      <c r="C715" s="12"/>
      <c r="D715" s="12"/>
      <c r="E715" s="12"/>
      <c r="F715" s="12"/>
    </row>
    <row r="716" ht="15.75" customHeight="1">
      <c r="A716" s="12"/>
      <c r="B716" s="12"/>
      <c r="C716" s="12"/>
      <c r="D716" s="12"/>
      <c r="E716" s="12"/>
      <c r="F716" s="12"/>
    </row>
    <row r="717" ht="15.75" customHeight="1">
      <c r="A717" s="12"/>
      <c r="B717" s="12"/>
      <c r="C717" s="12"/>
      <c r="D717" s="12"/>
      <c r="E717" s="12"/>
      <c r="F717" s="12"/>
    </row>
    <row r="718" ht="15.75" customHeight="1">
      <c r="A718" s="12"/>
      <c r="B718" s="12"/>
      <c r="C718" s="12"/>
      <c r="D718" s="12"/>
      <c r="E718" s="12"/>
      <c r="F718" s="12"/>
    </row>
    <row r="719" ht="15.75" customHeight="1">
      <c r="A719" s="12"/>
      <c r="B719" s="12"/>
      <c r="C719" s="12"/>
      <c r="D719" s="12"/>
      <c r="E719" s="12"/>
      <c r="F719" s="12"/>
    </row>
    <row r="720" ht="15.75" customHeight="1">
      <c r="A720" s="12"/>
      <c r="B720" s="12"/>
      <c r="C720" s="12"/>
      <c r="D720" s="12"/>
      <c r="E720" s="12"/>
      <c r="F720" s="12"/>
    </row>
    <row r="721" ht="15.75" customHeight="1">
      <c r="A721" s="12"/>
      <c r="B721" s="12"/>
      <c r="C721" s="12"/>
      <c r="D721" s="12"/>
      <c r="E721" s="12"/>
      <c r="F721" s="12"/>
    </row>
    <row r="722" ht="15.75" customHeight="1">
      <c r="A722" s="12"/>
      <c r="B722" s="12"/>
      <c r="C722" s="12"/>
      <c r="D722" s="12"/>
      <c r="E722" s="12"/>
      <c r="F722" s="12"/>
    </row>
    <row r="723" ht="15.75" customHeight="1">
      <c r="A723" s="12"/>
      <c r="B723" s="12"/>
      <c r="C723" s="12"/>
      <c r="D723" s="12"/>
      <c r="E723" s="12"/>
      <c r="F723" s="12"/>
    </row>
    <row r="724" ht="15.75" customHeight="1">
      <c r="A724" s="12"/>
      <c r="B724" s="12"/>
      <c r="C724" s="12"/>
      <c r="D724" s="12"/>
      <c r="E724" s="12"/>
      <c r="F724" s="12"/>
    </row>
    <row r="725" ht="15.75" customHeight="1">
      <c r="A725" s="12"/>
      <c r="B725" s="12"/>
      <c r="C725" s="12"/>
      <c r="D725" s="12"/>
      <c r="E725" s="12"/>
      <c r="F725" s="12"/>
    </row>
    <row r="726" ht="15.75" customHeight="1">
      <c r="A726" s="12"/>
      <c r="B726" s="12"/>
      <c r="C726" s="12"/>
      <c r="D726" s="12"/>
      <c r="E726" s="12"/>
      <c r="F726" s="12"/>
    </row>
    <row r="727" ht="15.75" customHeight="1">
      <c r="A727" s="12"/>
      <c r="B727" s="12"/>
      <c r="C727" s="12"/>
      <c r="D727" s="12"/>
      <c r="E727" s="12"/>
      <c r="F727" s="12"/>
    </row>
    <row r="728" ht="15.75" customHeight="1">
      <c r="A728" s="12"/>
      <c r="B728" s="12"/>
      <c r="C728" s="12"/>
      <c r="D728" s="12"/>
      <c r="E728" s="12"/>
      <c r="F728" s="12"/>
    </row>
    <row r="729" ht="15.75" customHeight="1">
      <c r="A729" s="12"/>
      <c r="B729" s="12"/>
      <c r="C729" s="12"/>
      <c r="D729" s="12"/>
      <c r="E729" s="12"/>
      <c r="F729" s="12"/>
    </row>
    <row r="730" ht="15.75" customHeight="1">
      <c r="A730" s="12"/>
      <c r="B730" s="12"/>
      <c r="C730" s="12"/>
      <c r="D730" s="12"/>
      <c r="E730" s="12"/>
      <c r="F730" s="12"/>
    </row>
    <row r="731" ht="15.75" customHeight="1">
      <c r="A731" s="12"/>
      <c r="B731" s="12"/>
      <c r="C731" s="12"/>
      <c r="D731" s="12"/>
      <c r="E731" s="12"/>
      <c r="F731" s="12"/>
    </row>
    <row r="732" ht="15.75" customHeight="1">
      <c r="A732" s="12"/>
      <c r="B732" s="12"/>
      <c r="C732" s="12"/>
      <c r="D732" s="12"/>
      <c r="E732" s="12"/>
      <c r="F732" s="12"/>
    </row>
    <row r="733" ht="15.75" customHeight="1">
      <c r="A733" s="12"/>
      <c r="B733" s="12"/>
      <c r="C733" s="12"/>
      <c r="D733" s="12"/>
      <c r="E733" s="12"/>
      <c r="F733" s="12"/>
    </row>
    <row r="734" ht="15.75" customHeight="1">
      <c r="A734" s="12"/>
      <c r="B734" s="12"/>
      <c r="C734" s="12"/>
      <c r="D734" s="12"/>
      <c r="E734" s="12"/>
      <c r="F734" s="12"/>
    </row>
    <row r="735" ht="15.75" customHeight="1">
      <c r="A735" s="12"/>
      <c r="B735" s="12"/>
      <c r="C735" s="12"/>
      <c r="D735" s="12"/>
      <c r="E735" s="12"/>
      <c r="F735" s="12"/>
    </row>
    <row r="736" ht="15.75" customHeight="1">
      <c r="A736" s="12"/>
      <c r="B736" s="12"/>
      <c r="C736" s="12"/>
      <c r="D736" s="12"/>
      <c r="E736" s="12"/>
      <c r="F736" s="12"/>
    </row>
    <row r="737" ht="15.75" customHeight="1">
      <c r="A737" s="12"/>
      <c r="B737" s="12"/>
      <c r="C737" s="12"/>
      <c r="D737" s="12"/>
      <c r="E737" s="12"/>
      <c r="F737" s="12"/>
    </row>
    <row r="738" ht="15.75" customHeight="1">
      <c r="A738" s="12"/>
      <c r="B738" s="12"/>
      <c r="C738" s="12"/>
      <c r="D738" s="12"/>
      <c r="E738" s="12"/>
      <c r="F738" s="12"/>
    </row>
    <row r="739" ht="15.75" customHeight="1">
      <c r="A739" s="12"/>
      <c r="B739" s="12"/>
      <c r="C739" s="12"/>
      <c r="D739" s="12"/>
      <c r="E739" s="12"/>
      <c r="F739" s="12"/>
    </row>
    <row r="740" ht="15.75" customHeight="1">
      <c r="A740" s="12"/>
      <c r="B740" s="12"/>
      <c r="C740" s="12"/>
      <c r="D740" s="12"/>
      <c r="E740" s="12"/>
      <c r="F740" s="12"/>
    </row>
    <row r="741" ht="15.75" customHeight="1">
      <c r="A741" s="12"/>
      <c r="B741" s="12"/>
      <c r="C741" s="12"/>
      <c r="D741" s="12"/>
      <c r="E741" s="12"/>
      <c r="F741" s="12"/>
    </row>
    <row r="742" ht="15.75" customHeight="1">
      <c r="A742" s="12"/>
      <c r="B742" s="12"/>
      <c r="C742" s="12"/>
      <c r="D742" s="12"/>
      <c r="E742" s="12"/>
      <c r="F742" s="12"/>
    </row>
    <row r="743" ht="15.75" customHeight="1">
      <c r="A743" s="12"/>
      <c r="B743" s="12"/>
      <c r="C743" s="12"/>
      <c r="D743" s="12"/>
      <c r="E743" s="12"/>
      <c r="F743" s="12"/>
    </row>
    <row r="744" ht="15.75" customHeight="1">
      <c r="A744" s="12"/>
      <c r="B744" s="12"/>
      <c r="C744" s="12"/>
      <c r="D744" s="12"/>
      <c r="E744" s="12"/>
      <c r="F744" s="12"/>
    </row>
    <row r="745" ht="15.75" customHeight="1">
      <c r="A745" s="12"/>
      <c r="B745" s="12"/>
      <c r="C745" s="12"/>
      <c r="D745" s="12"/>
      <c r="E745" s="12"/>
      <c r="F745" s="12"/>
    </row>
    <row r="746" ht="15.75" customHeight="1">
      <c r="A746" s="12"/>
      <c r="B746" s="12"/>
      <c r="C746" s="12"/>
      <c r="D746" s="12"/>
      <c r="E746" s="12"/>
      <c r="F746" s="12"/>
    </row>
    <row r="747" ht="15.75" customHeight="1">
      <c r="A747" s="12"/>
      <c r="B747" s="12"/>
      <c r="C747" s="12"/>
      <c r="D747" s="12"/>
      <c r="E747" s="12"/>
      <c r="F747" s="12"/>
    </row>
    <row r="748" ht="15.75" customHeight="1">
      <c r="A748" s="12"/>
      <c r="B748" s="12"/>
      <c r="C748" s="12"/>
      <c r="D748" s="12"/>
      <c r="E748" s="12"/>
      <c r="F748" s="12"/>
    </row>
    <row r="749" ht="15.75" customHeight="1">
      <c r="A749" s="12"/>
      <c r="B749" s="12"/>
      <c r="C749" s="12"/>
      <c r="D749" s="12"/>
      <c r="E749" s="12"/>
      <c r="F749" s="12"/>
    </row>
    <row r="750" ht="15.75" customHeight="1">
      <c r="A750" s="12"/>
      <c r="B750" s="12"/>
      <c r="C750" s="12"/>
      <c r="D750" s="12"/>
      <c r="E750" s="12"/>
      <c r="F750" s="12"/>
    </row>
    <row r="751" ht="15.75" customHeight="1">
      <c r="A751" s="12"/>
      <c r="B751" s="12"/>
      <c r="C751" s="12"/>
      <c r="D751" s="12"/>
      <c r="E751" s="12"/>
      <c r="F751" s="12"/>
    </row>
    <row r="752" ht="15.75" customHeight="1">
      <c r="A752" s="12"/>
      <c r="B752" s="12"/>
      <c r="C752" s="12"/>
      <c r="D752" s="12"/>
      <c r="E752" s="12"/>
      <c r="F752" s="12"/>
    </row>
    <row r="753" ht="15.75" customHeight="1">
      <c r="A753" s="12"/>
      <c r="B753" s="12"/>
      <c r="C753" s="12"/>
      <c r="D753" s="12"/>
      <c r="E753" s="12"/>
      <c r="F753" s="12"/>
    </row>
    <row r="754" ht="15.75" customHeight="1">
      <c r="A754" s="12"/>
      <c r="B754" s="12"/>
      <c r="C754" s="12"/>
      <c r="D754" s="12"/>
      <c r="E754" s="12"/>
      <c r="F754" s="12"/>
    </row>
    <row r="755" ht="15.75" customHeight="1">
      <c r="A755" s="12"/>
      <c r="B755" s="12"/>
      <c r="C755" s="12"/>
      <c r="D755" s="12"/>
      <c r="E755" s="12"/>
      <c r="F755" s="12"/>
    </row>
    <row r="756" ht="15.75" customHeight="1">
      <c r="A756" s="12"/>
      <c r="B756" s="12"/>
      <c r="C756" s="12"/>
      <c r="D756" s="12"/>
      <c r="E756" s="12"/>
      <c r="F756" s="12"/>
    </row>
    <row r="757" ht="15.75" customHeight="1">
      <c r="A757" s="12"/>
      <c r="B757" s="12"/>
      <c r="C757" s="12"/>
      <c r="D757" s="12"/>
      <c r="E757" s="12"/>
      <c r="F757" s="12"/>
    </row>
    <row r="758" ht="15.75" customHeight="1">
      <c r="A758" s="12"/>
      <c r="B758" s="12"/>
      <c r="C758" s="12"/>
      <c r="D758" s="12"/>
      <c r="E758" s="12"/>
      <c r="F758" s="12"/>
    </row>
    <row r="759" ht="15.75" customHeight="1">
      <c r="A759" s="12"/>
      <c r="B759" s="12"/>
      <c r="C759" s="12"/>
      <c r="D759" s="12"/>
      <c r="E759" s="12"/>
      <c r="F759" s="12"/>
    </row>
    <row r="760" ht="15.75" customHeight="1">
      <c r="A760" s="12"/>
      <c r="B760" s="12"/>
      <c r="C760" s="12"/>
      <c r="D760" s="12"/>
      <c r="E760" s="12"/>
      <c r="F760" s="12"/>
    </row>
    <row r="761" ht="15.75" customHeight="1">
      <c r="A761" s="12"/>
      <c r="B761" s="12"/>
      <c r="C761" s="12"/>
      <c r="D761" s="12"/>
      <c r="E761" s="12"/>
      <c r="F761" s="12"/>
    </row>
    <row r="762" ht="15.75" customHeight="1">
      <c r="A762" s="12"/>
      <c r="B762" s="12"/>
      <c r="C762" s="12"/>
      <c r="D762" s="12"/>
      <c r="E762" s="12"/>
      <c r="F762" s="12"/>
    </row>
    <row r="763" ht="15.75" customHeight="1">
      <c r="A763" s="12"/>
      <c r="B763" s="12"/>
      <c r="C763" s="12"/>
      <c r="D763" s="12"/>
      <c r="E763" s="12"/>
      <c r="F763" s="12"/>
    </row>
    <row r="764" ht="15.75" customHeight="1">
      <c r="A764" s="12"/>
      <c r="B764" s="12"/>
      <c r="C764" s="12"/>
      <c r="D764" s="12"/>
      <c r="E764" s="12"/>
      <c r="F764" s="12"/>
    </row>
    <row r="765" ht="15.75" customHeight="1">
      <c r="A765" s="12"/>
      <c r="B765" s="12"/>
      <c r="C765" s="12"/>
      <c r="D765" s="12"/>
      <c r="E765" s="12"/>
      <c r="F765" s="12"/>
    </row>
    <row r="766" ht="15.75" customHeight="1">
      <c r="A766" s="12"/>
      <c r="B766" s="12"/>
      <c r="C766" s="12"/>
      <c r="D766" s="12"/>
      <c r="E766" s="12"/>
      <c r="F766" s="12"/>
    </row>
    <row r="767" ht="15.75" customHeight="1">
      <c r="A767" s="12"/>
      <c r="B767" s="12"/>
      <c r="C767" s="12"/>
      <c r="D767" s="12"/>
      <c r="E767" s="12"/>
      <c r="F767" s="12"/>
    </row>
    <row r="768" ht="15.75" customHeight="1">
      <c r="A768" s="12"/>
      <c r="B768" s="12"/>
      <c r="C768" s="12"/>
      <c r="D768" s="12"/>
      <c r="E768" s="12"/>
      <c r="F768" s="12"/>
    </row>
    <row r="769" ht="15.75" customHeight="1">
      <c r="A769" s="12"/>
      <c r="B769" s="12"/>
      <c r="C769" s="12"/>
      <c r="D769" s="12"/>
      <c r="E769" s="12"/>
      <c r="F769" s="12"/>
    </row>
    <row r="770" ht="15.75" customHeight="1">
      <c r="A770" s="12"/>
      <c r="B770" s="12"/>
      <c r="C770" s="12"/>
      <c r="D770" s="12"/>
      <c r="E770" s="12"/>
      <c r="F770" s="12"/>
    </row>
    <row r="771" ht="15.75" customHeight="1">
      <c r="A771" s="12"/>
      <c r="B771" s="12"/>
      <c r="C771" s="12"/>
      <c r="D771" s="12"/>
      <c r="E771" s="12"/>
      <c r="F771" s="12"/>
    </row>
    <row r="772" ht="15.75" customHeight="1">
      <c r="A772" s="12"/>
      <c r="B772" s="12"/>
      <c r="C772" s="12"/>
      <c r="D772" s="12"/>
      <c r="E772" s="12"/>
      <c r="F772" s="12"/>
    </row>
    <row r="773" ht="15.75" customHeight="1">
      <c r="A773" s="12"/>
      <c r="B773" s="12"/>
      <c r="C773" s="12"/>
      <c r="D773" s="12"/>
      <c r="E773" s="12"/>
      <c r="F773" s="12"/>
    </row>
    <row r="774" ht="15.75" customHeight="1">
      <c r="A774" s="12"/>
      <c r="B774" s="12"/>
      <c r="C774" s="12"/>
      <c r="D774" s="12"/>
      <c r="E774" s="12"/>
      <c r="F774" s="12"/>
    </row>
    <row r="775" ht="15.75" customHeight="1">
      <c r="A775" s="12"/>
      <c r="B775" s="12"/>
      <c r="C775" s="12"/>
      <c r="D775" s="12"/>
      <c r="E775" s="12"/>
      <c r="F775" s="12"/>
    </row>
    <row r="776" ht="15.75" customHeight="1">
      <c r="A776" s="12"/>
      <c r="B776" s="12"/>
      <c r="C776" s="12"/>
      <c r="D776" s="12"/>
      <c r="E776" s="12"/>
      <c r="F776" s="12"/>
    </row>
    <row r="777" ht="15.75" customHeight="1">
      <c r="A777" s="12"/>
      <c r="B777" s="12"/>
      <c r="C777" s="12"/>
      <c r="D777" s="12"/>
      <c r="E777" s="12"/>
      <c r="F777" s="12"/>
    </row>
    <row r="778" ht="15.75" customHeight="1">
      <c r="A778" s="12"/>
      <c r="B778" s="12"/>
      <c r="C778" s="12"/>
      <c r="D778" s="12"/>
      <c r="E778" s="12"/>
      <c r="F778" s="12"/>
    </row>
    <row r="779" ht="15.75" customHeight="1">
      <c r="A779" s="12"/>
      <c r="B779" s="12"/>
      <c r="C779" s="12"/>
      <c r="D779" s="12"/>
      <c r="E779" s="12"/>
      <c r="F779" s="12"/>
    </row>
    <row r="780" ht="15.75" customHeight="1">
      <c r="A780" s="12"/>
      <c r="B780" s="12"/>
      <c r="C780" s="12"/>
      <c r="D780" s="12"/>
      <c r="E780" s="12"/>
      <c r="F780" s="12"/>
    </row>
    <row r="781" ht="15.75" customHeight="1">
      <c r="A781" s="12"/>
      <c r="B781" s="12"/>
      <c r="C781" s="12"/>
      <c r="D781" s="12"/>
      <c r="E781" s="12"/>
      <c r="F781" s="12"/>
    </row>
    <row r="782" ht="15.75" customHeight="1">
      <c r="A782" s="12"/>
      <c r="B782" s="12"/>
      <c r="C782" s="12"/>
      <c r="D782" s="12"/>
      <c r="E782" s="12"/>
      <c r="F782" s="12"/>
    </row>
    <row r="783" ht="15.75" customHeight="1">
      <c r="A783" s="12"/>
      <c r="B783" s="12"/>
      <c r="C783" s="12"/>
      <c r="D783" s="12"/>
      <c r="E783" s="12"/>
      <c r="F783" s="12"/>
    </row>
    <row r="784" ht="15.75" customHeight="1">
      <c r="A784" s="12"/>
      <c r="B784" s="12"/>
      <c r="C784" s="12"/>
      <c r="D784" s="12"/>
      <c r="E784" s="12"/>
      <c r="F784" s="12"/>
    </row>
    <row r="785" ht="15.75" customHeight="1">
      <c r="A785" s="12"/>
      <c r="B785" s="12"/>
      <c r="C785" s="12"/>
      <c r="D785" s="12"/>
      <c r="E785" s="12"/>
      <c r="F785" s="12"/>
    </row>
    <row r="786" ht="15.75" customHeight="1">
      <c r="A786" s="12"/>
      <c r="B786" s="12"/>
      <c r="C786" s="12"/>
      <c r="D786" s="12"/>
      <c r="E786" s="12"/>
      <c r="F786" s="12"/>
    </row>
    <row r="787" ht="15.75" customHeight="1">
      <c r="A787" s="12"/>
      <c r="B787" s="12"/>
      <c r="C787" s="12"/>
      <c r="D787" s="12"/>
      <c r="E787" s="12"/>
      <c r="F787" s="12"/>
    </row>
    <row r="788" ht="15.75" customHeight="1">
      <c r="A788" s="12"/>
      <c r="B788" s="12"/>
      <c r="C788" s="12"/>
      <c r="D788" s="12"/>
      <c r="E788" s="12"/>
      <c r="F788" s="12"/>
    </row>
    <row r="789" ht="15.75" customHeight="1">
      <c r="A789" s="12"/>
      <c r="B789" s="12"/>
      <c r="C789" s="12"/>
      <c r="D789" s="12"/>
      <c r="E789" s="12"/>
      <c r="F789" s="12"/>
    </row>
    <row r="790" ht="15.75" customHeight="1">
      <c r="A790" s="12"/>
      <c r="B790" s="12"/>
      <c r="C790" s="12"/>
      <c r="D790" s="12"/>
      <c r="E790" s="12"/>
      <c r="F790" s="12"/>
    </row>
    <row r="791" ht="15.75" customHeight="1">
      <c r="A791" s="12"/>
      <c r="B791" s="12"/>
      <c r="C791" s="12"/>
      <c r="D791" s="12"/>
      <c r="E791" s="12"/>
      <c r="F791" s="12"/>
    </row>
    <row r="792" ht="15.75" customHeight="1">
      <c r="A792" s="12"/>
      <c r="B792" s="12"/>
      <c r="C792" s="12"/>
      <c r="D792" s="12"/>
      <c r="E792" s="12"/>
      <c r="F792" s="12"/>
    </row>
    <row r="793" ht="15.75" customHeight="1">
      <c r="A793" s="12"/>
      <c r="B793" s="12"/>
      <c r="C793" s="12"/>
      <c r="D793" s="12"/>
      <c r="E793" s="12"/>
      <c r="F793" s="12"/>
    </row>
    <row r="794" ht="15.75" customHeight="1">
      <c r="A794" s="12"/>
      <c r="B794" s="12"/>
      <c r="C794" s="12"/>
      <c r="D794" s="12"/>
      <c r="E794" s="12"/>
      <c r="F794" s="12"/>
    </row>
    <row r="795" ht="15.75" customHeight="1">
      <c r="A795" s="12"/>
      <c r="B795" s="12"/>
      <c r="C795" s="12"/>
      <c r="D795" s="12"/>
      <c r="E795" s="12"/>
      <c r="F795" s="12"/>
    </row>
    <row r="796" ht="15.75" customHeight="1">
      <c r="A796" s="12"/>
      <c r="B796" s="12"/>
      <c r="C796" s="12"/>
      <c r="D796" s="12"/>
      <c r="E796" s="12"/>
      <c r="F796" s="12"/>
    </row>
    <row r="797" ht="15.75" customHeight="1">
      <c r="A797" s="12"/>
      <c r="B797" s="12"/>
      <c r="C797" s="12"/>
      <c r="D797" s="12"/>
      <c r="E797" s="12"/>
      <c r="F797" s="12"/>
    </row>
    <row r="798" ht="15.75" customHeight="1">
      <c r="A798" s="12"/>
      <c r="B798" s="12"/>
      <c r="C798" s="12"/>
      <c r="D798" s="12"/>
      <c r="E798" s="12"/>
      <c r="F798" s="12"/>
    </row>
    <row r="799" ht="15.75" customHeight="1">
      <c r="A799" s="12"/>
      <c r="B799" s="12"/>
      <c r="C799" s="12"/>
      <c r="D799" s="12"/>
      <c r="E799" s="12"/>
      <c r="F799" s="12"/>
    </row>
    <row r="800" ht="15.75" customHeight="1">
      <c r="A800" s="12"/>
      <c r="B800" s="12"/>
      <c r="C800" s="12"/>
      <c r="D800" s="12"/>
      <c r="E800" s="12"/>
      <c r="F800" s="12"/>
    </row>
    <row r="801" ht="15.75" customHeight="1">
      <c r="A801" s="12"/>
      <c r="B801" s="12"/>
      <c r="C801" s="12"/>
      <c r="D801" s="12"/>
      <c r="E801" s="12"/>
      <c r="F801" s="12"/>
    </row>
    <row r="802" ht="15.75" customHeight="1">
      <c r="A802" s="12"/>
      <c r="B802" s="12"/>
      <c r="C802" s="12"/>
      <c r="D802" s="12"/>
      <c r="E802" s="12"/>
      <c r="F802" s="12"/>
    </row>
    <row r="803" ht="15.75" customHeight="1">
      <c r="A803" s="12"/>
      <c r="B803" s="12"/>
      <c r="C803" s="12"/>
      <c r="D803" s="12"/>
      <c r="E803" s="12"/>
      <c r="F803" s="12"/>
    </row>
    <row r="804" ht="15.75" customHeight="1">
      <c r="A804" s="12"/>
      <c r="B804" s="12"/>
      <c r="C804" s="12"/>
      <c r="D804" s="12"/>
      <c r="E804" s="12"/>
      <c r="F804" s="12"/>
    </row>
    <row r="805" ht="15.75" customHeight="1">
      <c r="A805" s="12"/>
      <c r="B805" s="12"/>
      <c r="C805" s="12"/>
      <c r="D805" s="12"/>
      <c r="E805" s="12"/>
      <c r="F805" s="12"/>
    </row>
    <row r="806" ht="15.75" customHeight="1">
      <c r="A806" s="12"/>
      <c r="B806" s="12"/>
      <c r="C806" s="12"/>
      <c r="D806" s="12"/>
      <c r="E806" s="12"/>
      <c r="F806" s="12"/>
    </row>
    <row r="807" ht="15.75" customHeight="1">
      <c r="A807" s="12"/>
      <c r="B807" s="12"/>
      <c r="C807" s="12"/>
      <c r="D807" s="12"/>
      <c r="E807" s="12"/>
      <c r="F807" s="12"/>
    </row>
    <row r="808" ht="15.75" customHeight="1">
      <c r="A808" s="12"/>
      <c r="B808" s="12"/>
      <c r="C808" s="12"/>
      <c r="D808" s="12"/>
      <c r="E808" s="12"/>
      <c r="F808" s="12"/>
    </row>
    <row r="809" ht="15.75" customHeight="1">
      <c r="A809" s="12"/>
      <c r="B809" s="12"/>
      <c r="C809" s="12"/>
      <c r="D809" s="12"/>
      <c r="E809" s="12"/>
      <c r="F809" s="12"/>
    </row>
    <row r="810" ht="15.75" customHeight="1">
      <c r="A810" s="12"/>
      <c r="B810" s="12"/>
      <c r="C810" s="12"/>
      <c r="D810" s="12"/>
      <c r="E810" s="12"/>
      <c r="F810" s="12"/>
    </row>
    <row r="811" ht="15.75" customHeight="1">
      <c r="A811" s="12"/>
      <c r="B811" s="12"/>
      <c r="C811" s="12"/>
      <c r="D811" s="12"/>
      <c r="E811" s="12"/>
      <c r="F811" s="12"/>
    </row>
    <row r="812" ht="15.75" customHeight="1">
      <c r="A812" s="12"/>
      <c r="B812" s="12"/>
      <c r="C812" s="12"/>
      <c r="D812" s="12"/>
      <c r="E812" s="12"/>
      <c r="F812" s="12"/>
    </row>
    <row r="813" ht="15.75" customHeight="1">
      <c r="A813" s="12"/>
      <c r="B813" s="12"/>
      <c r="C813" s="12"/>
      <c r="D813" s="12"/>
      <c r="E813" s="12"/>
      <c r="F813" s="12"/>
    </row>
    <row r="814" ht="15.75" customHeight="1">
      <c r="A814" s="12"/>
      <c r="B814" s="12"/>
      <c r="C814" s="12"/>
      <c r="D814" s="12"/>
      <c r="E814" s="12"/>
      <c r="F814" s="12"/>
    </row>
    <row r="815" ht="15.75" customHeight="1">
      <c r="A815" s="12"/>
      <c r="B815" s="12"/>
      <c r="C815" s="12"/>
      <c r="D815" s="12"/>
      <c r="E815" s="12"/>
      <c r="F815" s="12"/>
    </row>
    <row r="816" ht="15.75" customHeight="1">
      <c r="A816" s="12"/>
      <c r="B816" s="12"/>
      <c r="C816" s="12"/>
      <c r="D816" s="12"/>
      <c r="E816" s="12"/>
      <c r="F816" s="12"/>
    </row>
    <row r="817" ht="15.75" customHeight="1">
      <c r="A817" s="12"/>
      <c r="B817" s="12"/>
      <c r="C817" s="12"/>
      <c r="D817" s="12"/>
      <c r="E817" s="12"/>
      <c r="F817" s="12"/>
    </row>
    <row r="818" ht="15.75" customHeight="1">
      <c r="A818" s="12"/>
      <c r="B818" s="12"/>
      <c r="C818" s="12"/>
      <c r="D818" s="12"/>
      <c r="E818" s="12"/>
      <c r="F818" s="12"/>
    </row>
    <row r="819" ht="15.75" customHeight="1">
      <c r="A819" s="12"/>
      <c r="B819" s="12"/>
      <c r="C819" s="12"/>
      <c r="D819" s="12"/>
      <c r="E819" s="12"/>
      <c r="F819" s="12"/>
    </row>
    <row r="820" ht="15.75" customHeight="1">
      <c r="A820" s="12"/>
      <c r="B820" s="12"/>
      <c r="C820" s="12"/>
      <c r="D820" s="12"/>
      <c r="E820" s="12"/>
      <c r="F820" s="12"/>
    </row>
    <row r="821" ht="15.75" customHeight="1">
      <c r="A821" s="12"/>
      <c r="B821" s="12"/>
      <c r="C821" s="12"/>
      <c r="D821" s="12"/>
      <c r="E821" s="12"/>
      <c r="F821" s="12"/>
    </row>
    <row r="822" ht="15.75" customHeight="1">
      <c r="A822" s="12"/>
      <c r="B822" s="12"/>
      <c r="C822" s="12"/>
      <c r="D822" s="12"/>
      <c r="E822" s="12"/>
      <c r="F822" s="12"/>
    </row>
    <row r="823" ht="15.75" customHeight="1">
      <c r="A823" s="12"/>
      <c r="B823" s="12"/>
      <c r="C823" s="12"/>
      <c r="D823" s="12"/>
      <c r="E823" s="12"/>
      <c r="F823" s="12"/>
    </row>
    <row r="824" ht="15.75" customHeight="1">
      <c r="A824" s="12"/>
      <c r="B824" s="12"/>
      <c r="C824" s="12"/>
      <c r="D824" s="12"/>
      <c r="E824" s="12"/>
      <c r="F824" s="12"/>
    </row>
    <row r="825" ht="15.75" customHeight="1">
      <c r="A825" s="12"/>
      <c r="B825" s="12"/>
      <c r="C825" s="12"/>
      <c r="D825" s="12"/>
      <c r="E825" s="12"/>
      <c r="F825" s="12"/>
    </row>
    <row r="826" ht="15.75" customHeight="1">
      <c r="A826" s="12"/>
      <c r="B826" s="12"/>
      <c r="C826" s="12"/>
      <c r="D826" s="12"/>
      <c r="E826" s="12"/>
      <c r="F826" s="12"/>
    </row>
    <row r="827" ht="15.75" customHeight="1">
      <c r="A827" s="12"/>
      <c r="B827" s="12"/>
      <c r="C827" s="12"/>
      <c r="D827" s="12"/>
      <c r="E827" s="12"/>
      <c r="F827" s="12"/>
    </row>
    <row r="828" ht="15.75" customHeight="1">
      <c r="A828" s="12"/>
      <c r="B828" s="12"/>
      <c r="C828" s="12"/>
      <c r="D828" s="12"/>
      <c r="E828" s="12"/>
      <c r="F828" s="12"/>
    </row>
    <row r="829" ht="15.75" customHeight="1">
      <c r="A829" s="12"/>
      <c r="B829" s="12"/>
      <c r="C829" s="12"/>
      <c r="D829" s="12"/>
      <c r="E829" s="12"/>
      <c r="F829" s="12"/>
    </row>
    <row r="830" ht="15.75" customHeight="1">
      <c r="A830" s="12"/>
      <c r="B830" s="12"/>
      <c r="C830" s="12"/>
      <c r="D830" s="12"/>
      <c r="E830" s="12"/>
      <c r="F830" s="12"/>
    </row>
    <row r="831" ht="15.75" customHeight="1">
      <c r="A831" s="12"/>
      <c r="B831" s="12"/>
      <c r="C831" s="12"/>
      <c r="D831" s="12"/>
      <c r="E831" s="12"/>
      <c r="F831" s="12"/>
    </row>
    <row r="832" ht="15.75" customHeight="1">
      <c r="A832" s="12"/>
      <c r="B832" s="12"/>
      <c r="C832" s="12"/>
      <c r="D832" s="12"/>
      <c r="E832" s="12"/>
      <c r="F832" s="12"/>
    </row>
    <row r="833" ht="15.75" customHeight="1">
      <c r="A833" s="12"/>
      <c r="B833" s="12"/>
      <c r="C833" s="12"/>
      <c r="D833" s="12"/>
      <c r="E833" s="12"/>
      <c r="F833" s="12"/>
    </row>
    <row r="834" ht="15.75" customHeight="1">
      <c r="A834" s="12"/>
      <c r="B834" s="12"/>
      <c r="C834" s="12"/>
      <c r="D834" s="12"/>
      <c r="E834" s="12"/>
      <c r="F834" s="12"/>
    </row>
    <row r="835" ht="15.75" customHeight="1">
      <c r="A835" s="12"/>
      <c r="B835" s="12"/>
      <c r="C835" s="12"/>
      <c r="D835" s="12"/>
      <c r="E835" s="12"/>
      <c r="F835" s="12"/>
    </row>
    <row r="836" ht="15.75" customHeight="1">
      <c r="A836" s="12"/>
      <c r="B836" s="12"/>
      <c r="C836" s="12"/>
      <c r="D836" s="12"/>
      <c r="E836" s="12"/>
      <c r="F836" s="12"/>
    </row>
    <row r="837" ht="15.75" customHeight="1">
      <c r="A837" s="12"/>
      <c r="B837" s="12"/>
      <c r="C837" s="12"/>
      <c r="D837" s="12"/>
      <c r="E837" s="12"/>
      <c r="F837" s="12"/>
    </row>
    <row r="838" ht="15.75" customHeight="1">
      <c r="A838" s="12"/>
      <c r="B838" s="12"/>
      <c r="C838" s="12"/>
      <c r="D838" s="12"/>
      <c r="E838" s="12"/>
      <c r="F838" s="12"/>
    </row>
    <row r="839" ht="15.75" customHeight="1">
      <c r="A839" s="12"/>
      <c r="B839" s="12"/>
      <c r="C839" s="12"/>
      <c r="D839" s="12"/>
      <c r="E839" s="12"/>
      <c r="F839" s="12"/>
    </row>
    <row r="840" ht="15.75" customHeight="1">
      <c r="A840" s="12"/>
      <c r="B840" s="12"/>
      <c r="C840" s="12"/>
      <c r="D840" s="12"/>
      <c r="E840" s="12"/>
      <c r="F840" s="12"/>
    </row>
    <row r="841" ht="15.75" customHeight="1">
      <c r="A841" s="12"/>
      <c r="B841" s="12"/>
      <c r="C841" s="12"/>
      <c r="D841" s="12"/>
      <c r="E841" s="12"/>
      <c r="F841" s="12"/>
    </row>
    <row r="842" ht="15.75" customHeight="1">
      <c r="A842" s="12"/>
      <c r="B842" s="12"/>
      <c r="C842" s="12"/>
      <c r="D842" s="12"/>
      <c r="E842" s="12"/>
      <c r="F842" s="12"/>
    </row>
    <row r="843" ht="15.75" customHeight="1">
      <c r="A843" s="12"/>
      <c r="B843" s="12"/>
      <c r="C843" s="12"/>
      <c r="D843" s="12"/>
      <c r="E843" s="12"/>
      <c r="F843" s="12"/>
    </row>
    <row r="844" ht="15.75" customHeight="1">
      <c r="A844" s="12"/>
      <c r="B844" s="12"/>
      <c r="C844" s="12"/>
      <c r="D844" s="12"/>
      <c r="E844" s="12"/>
      <c r="F844" s="12"/>
    </row>
    <row r="845" ht="15.75" customHeight="1">
      <c r="A845" s="12"/>
      <c r="B845" s="12"/>
      <c r="C845" s="12"/>
      <c r="D845" s="12"/>
      <c r="E845" s="12"/>
      <c r="F845" s="12"/>
    </row>
    <row r="846" ht="15.75" customHeight="1">
      <c r="A846" s="12"/>
      <c r="B846" s="12"/>
      <c r="C846" s="12"/>
      <c r="D846" s="12"/>
      <c r="E846" s="12"/>
      <c r="F846" s="12"/>
    </row>
    <row r="847" ht="15.75" customHeight="1">
      <c r="A847" s="12"/>
      <c r="B847" s="12"/>
      <c r="C847" s="12"/>
      <c r="D847" s="12"/>
      <c r="E847" s="12"/>
      <c r="F847" s="12"/>
    </row>
    <row r="848" ht="15.75" customHeight="1">
      <c r="A848" s="12"/>
      <c r="B848" s="12"/>
      <c r="C848" s="12"/>
      <c r="D848" s="12"/>
      <c r="E848" s="12"/>
      <c r="F848" s="12"/>
    </row>
    <row r="849" ht="15.75" customHeight="1">
      <c r="A849" s="12"/>
      <c r="B849" s="12"/>
      <c r="C849" s="12"/>
      <c r="D849" s="12"/>
      <c r="E849" s="12"/>
      <c r="F849" s="12"/>
    </row>
    <row r="850" ht="15.75" customHeight="1">
      <c r="A850" s="12"/>
      <c r="B850" s="12"/>
      <c r="C850" s="12"/>
      <c r="D850" s="12"/>
      <c r="E850" s="12"/>
      <c r="F850" s="12"/>
    </row>
    <row r="851" ht="15.75" customHeight="1">
      <c r="A851" s="12"/>
      <c r="B851" s="12"/>
      <c r="C851" s="12"/>
      <c r="D851" s="12"/>
      <c r="E851" s="12"/>
      <c r="F851" s="12"/>
    </row>
    <row r="852" ht="15.75" customHeight="1">
      <c r="A852" s="12"/>
      <c r="B852" s="12"/>
      <c r="C852" s="12"/>
      <c r="D852" s="12"/>
      <c r="E852" s="12"/>
      <c r="F852" s="12"/>
    </row>
    <row r="853" ht="15.75" customHeight="1">
      <c r="A853" s="12"/>
      <c r="B853" s="12"/>
      <c r="C853" s="12"/>
      <c r="D853" s="12"/>
      <c r="E853" s="12"/>
      <c r="F853" s="12"/>
    </row>
    <row r="854" ht="15.75" customHeight="1">
      <c r="A854" s="12"/>
      <c r="B854" s="12"/>
      <c r="C854" s="12"/>
      <c r="D854" s="12"/>
      <c r="E854" s="12"/>
      <c r="F854" s="12"/>
    </row>
    <row r="855" ht="15.75" customHeight="1">
      <c r="A855" s="12"/>
      <c r="B855" s="12"/>
      <c r="C855" s="12"/>
      <c r="D855" s="12"/>
      <c r="E855" s="12"/>
      <c r="F855" s="12"/>
    </row>
    <row r="856" ht="15.75" customHeight="1">
      <c r="A856" s="12"/>
      <c r="B856" s="12"/>
      <c r="C856" s="12"/>
      <c r="D856" s="12"/>
      <c r="E856" s="12"/>
      <c r="F856" s="12"/>
    </row>
    <row r="857" ht="15.75" customHeight="1">
      <c r="A857" s="12"/>
      <c r="B857" s="12"/>
      <c r="C857" s="12"/>
      <c r="D857" s="12"/>
      <c r="E857" s="12"/>
      <c r="F857" s="12"/>
    </row>
    <row r="858" ht="15.75" customHeight="1">
      <c r="A858" s="12"/>
      <c r="B858" s="12"/>
      <c r="C858" s="12"/>
      <c r="D858" s="12"/>
      <c r="E858" s="12"/>
      <c r="F858" s="12"/>
    </row>
    <row r="859" ht="15.75" customHeight="1">
      <c r="A859" s="12"/>
      <c r="B859" s="12"/>
      <c r="C859" s="12"/>
      <c r="D859" s="12"/>
      <c r="E859" s="12"/>
      <c r="F859" s="12"/>
    </row>
    <row r="860" ht="15.75" customHeight="1">
      <c r="A860" s="12"/>
      <c r="B860" s="12"/>
      <c r="C860" s="12"/>
      <c r="D860" s="12"/>
      <c r="E860" s="12"/>
      <c r="F860" s="12"/>
    </row>
    <row r="861" ht="15.75" customHeight="1">
      <c r="A861" s="12"/>
      <c r="B861" s="12"/>
      <c r="C861" s="12"/>
      <c r="D861" s="12"/>
      <c r="E861" s="12"/>
      <c r="F861" s="12"/>
    </row>
    <row r="862" ht="15.75" customHeight="1">
      <c r="A862" s="12"/>
      <c r="B862" s="12"/>
      <c r="C862" s="12"/>
      <c r="D862" s="12"/>
      <c r="E862" s="12"/>
      <c r="F862" s="12"/>
    </row>
    <row r="863" ht="15.75" customHeight="1">
      <c r="A863" s="12"/>
      <c r="B863" s="12"/>
      <c r="C863" s="12"/>
      <c r="D863" s="12"/>
      <c r="E863" s="12"/>
      <c r="F863" s="12"/>
    </row>
    <row r="864" ht="15.75" customHeight="1">
      <c r="A864" s="12"/>
      <c r="B864" s="12"/>
      <c r="C864" s="12"/>
      <c r="D864" s="12"/>
      <c r="E864" s="12"/>
      <c r="F864" s="12"/>
    </row>
    <row r="865" ht="15.75" customHeight="1">
      <c r="A865" s="12"/>
      <c r="B865" s="12"/>
      <c r="C865" s="12"/>
      <c r="D865" s="12"/>
      <c r="E865" s="12"/>
      <c r="F865" s="12"/>
    </row>
    <row r="866" ht="15.75" customHeight="1">
      <c r="A866" s="12"/>
      <c r="B866" s="12"/>
      <c r="C866" s="12"/>
      <c r="D866" s="12"/>
      <c r="E866" s="12"/>
      <c r="F866" s="12"/>
    </row>
    <row r="867" ht="15.75" customHeight="1">
      <c r="A867" s="12"/>
      <c r="B867" s="12"/>
      <c r="C867" s="12"/>
      <c r="D867" s="12"/>
      <c r="E867" s="12"/>
      <c r="F867" s="12"/>
    </row>
    <row r="868" ht="15.75" customHeight="1">
      <c r="A868" s="12"/>
      <c r="B868" s="12"/>
      <c r="C868" s="12"/>
      <c r="D868" s="12"/>
      <c r="E868" s="12"/>
      <c r="F868" s="12"/>
    </row>
    <row r="869" ht="15.75" customHeight="1">
      <c r="A869" s="12"/>
      <c r="B869" s="12"/>
      <c r="C869" s="12"/>
      <c r="D869" s="12"/>
      <c r="E869" s="12"/>
      <c r="F869" s="12"/>
    </row>
    <row r="870" ht="15.75" customHeight="1">
      <c r="A870" s="12"/>
      <c r="B870" s="12"/>
      <c r="C870" s="12"/>
      <c r="D870" s="12"/>
      <c r="E870" s="12"/>
      <c r="F870" s="12"/>
    </row>
    <row r="871" ht="15.75" customHeight="1">
      <c r="A871" s="12"/>
      <c r="B871" s="12"/>
      <c r="C871" s="12"/>
      <c r="D871" s="12"/>
      <c r="E871" s="12"/>
      <c r="F871" s="12"/>
    </row>
    <row r="872" ht="15.75" customHeight="1">
      <c r="A872" s="12"/>
      <c r="B872" s="12"/>
      <c r="C872" s="12"/>
      <c r="D872" s="12"/>
      <c r="E872" s="12"/>
      <c r="F872" s="12"/>
    </row>
    <row r="873" ht="15.75" customHeight="1">
      <c r="A873" s="12"/>
      <c r="B873" s="12"/>
      <c r="C873" s="12"/>
      <c r="D873" s="12"/>
      <c r="E873" s="12"/>
      <c r="F873" s="12"/>
    </row>
    <row r="874" ht="15.75" customHeight="1">
      <c r="A874" s="12"/>
      <c r="B874" s="12"/>
      <c r="C874" s="12"/>
      <c r="D874" s="12"/>
      <c r="E874" s="12"/>
      <c r="F874" s="12"/>
    </row>
    <row r="875" ht="15.75" customHeight="1">
      <c r="A875" s="12"/>
      <c r="B875" s="12"/>
      <c r="C875" s="12"/>
      <c r="D875" s="12"/>
      <c r="E875" s="12"/>
      <c r="F875" s="12"/>
    </row>
    <row r="876" ht="15.75" customHeight="1">
      <c r="A876" s="12"/>
      <c r="B876" s="12"/>
      <c r="C876" s="12"/>
      <c r="D876" s="12"/>
      <c r="E876" s="12"/>
      <c r="F876" s="12"/>
    </row>
    <row r="877" ht="15.75" customHeight="1">
      <c r="A877" s="12"/>
      <c r="B877" s="12"/>
      <c r="C877" s="12"/>
      <c r="D877" s="12"/>
      <c r="E877" s="12"/>
      <c r="F877" s="12"/>
    </row>
    <row r="878" ht="15.75" customHeight="1">
      <c r="A878" s="12"/>
      <c r="B878" s="12"/>
      <c r="C878" s="12"/>
      <c r="D878" s="12"/>
      <c r="E878" s="12"/>
      <c r="F878" s="12"/>
    </row>
    <row r="879" ht="15.75" customHeight="1">
      <c r="A879" s="12"/>
      <c r="B879" s="12"/>
      <c r="C879" s="12"/>
      <c r="D879" s="12"/>
      <c r="E879" s="12"/>
      <c r="F879" s="12"/>
    </row>
    <row r="880" ht="15.75" customHeight="1">
      <c r="A880" s="12"/>
      <c r="B880" s="12"/>
      <c r="C880" s="12"/>
      <c r="D880" s="12"/>
      <c r="E880" s="12"/>
      <c r="F880" s="12"/>
    </row>
    <row r="881" ht="15.75" customHeight="1">
      <c r="A881" s="12"/>
      <c r="B881" s="12"/>
      <c r="C881" s="12"/>
      <c r="D881" s="12"/>
      <c r="E881" s="12"/>
      <c r="F881" s="12"/>
    </row>
    <row r="882" ht="15.75" customHeight="1">
      <c r="A882" s="12"/>
      <c r="B882" s="12"/>
      <c r="C882" s="12"/>
      <c r="D882" s="12"/>
      <c r="E882" s="12"/>
      <c r="F882" s="12"/>
    </row>
    <row r="883" ht="15.75" customHeight="1">
      <c r="A883" s="12"/>
      <c r="B883" s="12"/>
      <c r="C883" s="12"/>
      <c r="D883" s="12"/>
      <c r="E883" s="12"/>
      <c r="F883" s="12"/>
    </row>
    <row r="884" ht="15.75" customHeight="1">
      <c r="A884" s="12"/>
      <c r="B884" s="12"/>
      <c r="C884" s="12"/>
      <c r="D884" s="12"/>
      <c r="E884" s="12"/>
      <c r="F884" s="12"/>
    </row>
    <row r="885" ht="15.75" customHeight="1">
      <c r="A885" s="12"/>
      <c r="B885" s="12"/>
      <c r="C885" s="12"/>
      <c r="D885" s="12"/>
      <c r="E885" s="12"/>
      <c r="F885" s="12"/>
    </row>
    <row r="886" ht="15.75" customHeight="1">
      <c r="A886" s="12"/>
      <c r="B886" s="12"/>
      <c r="C886" s="12"/>
      <c r="D886" s="12"/>
      <c r="E886" s="12"/>
      <c r="F886" s="12"/>
    </row>
    <row r="887" ht="15.75" customHeight="1">
      <c r="A887" s="12"/>
      <c r="B887" s="12"/>
      <c r="C887" s="12"/>
      <c r="D887" s="12"/>
      <c r="E887" s="12"/>
      <c r="F887" s="12"/>
    </row>
    <row r="888" ht="15.75" customHeight="1">
      <c r="A888" s="12"/>
      <c r="B888" s="12"/>
      <c r="C888" s="12"/>
      <c r="D888" s="12"/>
      <c r="E888" s="12"/>
      <c r="F888" s="12"/>
    </row>
    <row r="889" ht="15.75" customHeight="1">
      <c r="A889" s="12"/>
      <c r="B889" s="12"/>
      <c r="C889" s="12"/>
      <c r="D889" s="12"/>
      <c r="E889" s="12"/>
      <c r="F889" s="12"/>
    </row>
    <row r="890" ht="15.75" customHeight="1">
      <c r="A890" s="12"/>
      <c r="B890" s="12"/>
      <c r="C890" s="12"/>
      <c r="D890" s="12"/>
      <c r="E890" s="12"/>
      <c r="F890" s="12"/>
    </row>
    <row r="891" ht="15.75" customHeight="1">
      <c r="A891" s="12"/>
      <c r="B891" s="12"/>
      <c r="C891" s="12"/>
      <c r="D891" s="12"/>
      <c r="E891" s="12"/>
      <c r="F891" s="12"/>
    </row>
    <row r="892" ht="15.75" customHeight="1">
      <c r="A892" s="12"/>
      <c r="B892" s="12"/>
      <c r="C892" s="12"/>
      <c r="D892" s="12"/>
      <c r="E892" s="12"/>
      <c r="F892" s="12"/>
    </row>
    <row r="893" ht="15.75" customHeight="1">
      <c r="A893" s="12"/>
      <c r="B893" s="12"/>
      <c r="C893" s="12"/>
      <c r="D893" s="12"/>
      <c r="E893" s="12"/>
      <c r="F893" s="12"/>
    </row>
    <row r="894" ht="15.75" customHeight="1">
      <c r="A894" s="12"/>
      <c r="B894" s="12"/>
      <c r="C894" s="12"/>
      <c r="D894" s="12"/>
      <c r="E894" s="12"/>
      <c r="F894" s="12"/>
    </row>
    <row r="895" ht="15.75" customHeight="1">
      <c r="A895" s="12"/>
      <c r="B895" s="12"/>
      <c r="C895" s="12"/>
      <c r="D895" s="12"/>
      <c r="E895" s="12"/>
      <c r="F895" s="12"/>
    </row>
    <row r="896" ht="15.75" customHeight="1">
      <c r="A896" s="12"/>
      <c r="B896" s="12"/>
      <c r="C896" s="12"/>
      <c r="D896" s="12"/>
      <c r="E896" s="12"/>
      <c r="F896" s="12"/>
    </row>
    <row r="897" ht="15.75" customHeight="1">
      <c r="A897" s="12"/>
      <c r="B897" s="12"/>
      <c r="C897" s="12"/>
      <c r="D897" s="12"/>
      <c r="E897" s="12"/>
      <c r="F897" s="12"/>
    </row>
    <row r="898" ht="15.75" customHeight="1">
      <c r="A898" s="12"/>
      <c r="B898" s="12"/>
      <c r="C898" s="12"/>
      <c r="D898" s="12"/>
      <c r="E898" s="12"/>
      <c r="F898" s="12"/>
    </row>
    <row r="899" ht="15.75" customHeight="1">
      <c r="A899" s="12"/>
      <c r="B899" s="12"/>
      <c r="C899" s="12"/>
      <c r="D899" s="12"/>
      <c r="E899" s="12"/>
      <c r="F899" s="12"/>
    </row>
    <row r="900" ht="15.75" customHeight="1">
      <c r="A900" s="12"/>
      <c r="B900" s="12"/>
      <c r="C900" s="12"/>
      <c r="D900" s="12"/>
      <c r="E900" s="12"/>
      <c r="F900" s="12"/>
    </row>
    <row r="901" ht="15.75" customHeight="1">
      <c r="A901" s="12"/>
      <c r="B901" s="12"/>
      <c r="C901" s="12"/>
      <c r="D901" s="12"/>
      <c r="E901" s="12"/>
      <c r="F901" s="12"/>
    </row>
    <row r="902" ht="15.75" customHeight="1">
      <c r="A902" s="12"/>
      <c r="B902" s="12"/>
      <c r="C902" s="12"/>
      <c r="D902" s="12"/>
      <c r="E902" s="12"/>
      <c r="F902" s="12"/>
    </row>
    <row r="903" ht="15.75" customHeight="1">
      <c r="A903" s="12"/>
      <c r="B903" s="12"/>
      <c r="C903" s="12"/>
      <c r="D903" s="12"/>
      <c r="E903" s="12"/>
      <c r="F903" s="12"/>
    </row>
    <row r="904" ht="15.75" customHeight="1">
      <c r="A904" s="12"/>
      <c r="B904" s="12"/>
      <c r="C904" s="12"/>
      <c r="D904" s="12"/>
      <c r="E904" s="12"/>
      <c r="F904" s="12"/>
    </row>
    <row r="905" ht="15.75" customHeight="1">
      <c r="A905" s="12"/>
      <c r="B905" s="12"/>
      <c r="C905" s="12"/>
      <c r="D905" s="12"/>
      <c r="E905" s="12"/>
      <c r="F905" s="12"/>
    </row>
    <row r="906" ht="15.75" customHeight="1">
      <c r="A906" s="12"/>
      <c r="B906" s="12"/>
      <c r="C906" s="12"/>
      <c r="D906" s="12"/>
      <c r="E906" s="12"/>
      <c r="F906" s="12"/>
    </row>
    <row r="907" ht="15.75" customHeight="1">
      <c r="A907" s="12"/>
      <c r="B907" s="12"/>
      <c r="C907" s="12"/>
      <c r="D907" s="12"/>
      <c r="E907" s="12"/>
      <c r="F907" s="12"/>
    </row>
    <row r="908" ht="15.75" customHeight="1">
      <c r="A908" s="12"/>
      <c r="B908" s="12"/>
      <c r="C908" s="12"/>
      <c r="D908" s="12"/>
      <c r="E908" s="12"/>
      <c r="F908" s="12"/>
    </row>
    <row r="909" ht="15.75" customHeight="1">
      <c r="A909" s="12"/>
      <c r="B909" s="12"/>
      <c r="C909" s="12"/>
      <c r="D909" s="12"/>
      <c r="E909" s="12"/>
      <c r="F909" s="12"/>
    </row>
    <row r="910" ht="15.75" customHeight="1">
      <c r="A910" s="12"/>
      <c r="B910" s="12"/>
      <c r="C910" s="12"/>
      <c r="D910" s="12"/>
      <c r="E910" s="12"/>
      <c r="F910" s="12"/>
    </row>
    <row r="911" ht="15.75" customHeight="1">
      <c r="A911" s="12"/>
      <c r="B911" s="12"/>
      <c r="C911" s="12"/>
      <c r="D911" s="12"/>
      <c r="E911" s="12"/>
      <c r="F911" s="12"/>
    </row>
    <row r="912" ht="15.75" customHeight="1">
      <c r="A912" s="12"/>
      <c r="B912" s="12"/>
      <c r="C912" s="12"/>
      <c r="D912" s="12"/>
      <c r="E912" s="12"/>
      <c r="F912" s="12"/>
    </row>
    <row r="913" ht="15.75" customHeight="1">
      <c r="A913" s="12"/>
      <c r="B913" s="12"/>
      <c r="C913" s="12"/>
      <c r="D913" s="12"/>
      <c r="E913" s="12"/>
      <c r="F913" s="12"/>
    </row>
    <row r="914" ht="15.75" customHeight="1">
      <c r="A914" s="12"/>
      <c r="B914" s="12"/>
      <c r="C914" s="12"/>
      <c r="D914" s="12"/>
      <c r="E914" s="12"/>
      <c r="F914" s="12"/>
    </row>
    <row r="915" ht="15.75" customHeight="1">
      <c r="A915" s="12"/>
      <c r="B915" s="12"/>
      <c r="C915" s="12"/>
      <c r="D915" s="12"/>
      <c r="E915" s="12"/>
      <c r="F915" s="12"/>
    </row>
    <row r="916" ht="15.75" customHeight="1">
      <c r="A916" s="12"/>
      <c r="B916" s="12"/>
      <c r="C916" s="12"/>
      <c r="D916" s="12"/>
      <c r="E916" s="12"/>
      <c r="F916" s="12"/>
    </row>
    <row r="917" ht="15.75" customHeight="1">
      <c r="A917" s="12"/>
      <c r="B917" s="12"/>
      <c r="C917" s="12"/>
      <c r="D917" s="12"/>
      <c r="E917" s="12"/>
      <c r="F917" s="12"/>
    </row>
    <row r="918" ht="15.75" customHeight="1">
      <c r="A918" s="12"/>
      <c r="B918" s="12"/>
      <c r="C918" s="12"/>
      <c r="D918" s="12"/>
      <c r="E918" s="12"/>
      <c r="F918" s="12"/>
    </row>
    <row r="919" ht="15.75" customHeight="1">
      <c r="A919" s="12"/>
      <c r="B919" s="12"/>
      <c r="C919" s="12"/>
      <c r="D919" s="12"/>
      <c r="E919" s="12"/>
      <c r="F919" s="12"/>
    </row>
    <row r="920" ht="15.75" customHeight="1">
      <c r="A920" s="12"/>
      <c r="B920" s="12"/>
      <c r="C920" s="12"/>
      <c r="D920" s="12"/>
      <c r="E920" s="12"/>
      <c r="F920" s="12"/>
    </row>
    <row r="921" ht="15.75" customHeight="1">
      <c r="A921" s="12"/>
      <c r="B921" s="12"/>
      <c r="C921" s="12"/>
      <c r="D921" s="12"/>
      <c r="E921" s="12"/>
      <c r="F921" s="12"/>
    </row>
    <row r="922" ht="15.75" customHeight="1">
      <c r="A922" s="12"/>
      <c r="B922" s="12"/>
      <c r="C922" s="12"/>
      <c r="D922" s="12"/>
      <c r="E922" s="12"/>
      <c r="F922" s="12"/>
    </row>
    <row r="923" ht="15.75" customHeight="1">
      <c r="A923" s="12"/>
      <c r="B923" s="12"/>
      <c r="C923" s="12"/>
      <c r="D923" s="12"/>
      <c r="E923" s="12"/>
      <c r="F923" s="12"/>
    </row>
    <row r="924" ht="15.75" customHeight="1">
      <c r="A924" s="12"/>
      <c r="B924" s="12"/>
      <c r="C924" s="12"/>
      <c r="D924" s="12"/>
      <c r="E924" s="12"/>
      <c r="F924" s="12"/>
    </row>
    <row r="925" ht="15.75" customHeight="1">
      <c r="A925" s="12"/>
      <c r="B925" s="12"/>
      <c r="C925" s="12"/>
      <c r="D925" s="12"/>
      <c r="E925" s="12"/>
      <c r="F925" s="12"/>
    </row>
    <row r="926" ht="15.75" customHeight="1">
      <c r="A926" s="12"/>
      <c r="B926" s="12"/>
      <c r="C926" s="12"/>
      <c r="D926" s="12"/>
      <c r="E926" s="12"/>
      <c r="F926" s="12"/>
    </row>
    <row r="927" ht="15.75" customHeight="1">
      <c r="A927" s="12"/>
      <c r="B927" s="12"/>
      <c r="C927" s="12"/>
      <c r="D927" s="12"/>
      <c r="E927" s="12"/>
      <c r="F927" s="12"/>
    </row>
    <row r="928" ht="15.75" customHeight="1">
      <c r="A928" s="12"/>
      <c r="B928" s="12"/>
      <c r="C928" s="12"/>
      <c r="D928" s="12"/>
      <c r="E928" s="12"/>
      <c r="F928" s="12"/>
    </row>
    <row r="929" ht="15.75" customHeight="1">
      <c r="A929" s="12"/>
      <c r="B929" s="12"/>
      <c r="C929" s="12"/>
      <c r="D929" s="12"/>
      <c r="E929" s="12"/>
      <c r="F929" s="12"/>
    </row>
    <row r="930" ht="15.75" customHeight="1">
      <c r="A930" s="12"/>
      <c r="B930" s="12"/>
      <c r="C930" s="12"/>
      <c r="D930" s="12"/>
      <c r="E930" s="12"/>
      <c r="F930" s="12"/>
    </row>
    <row r="931" ht="15.75" customHeight="1">
      <c r="A931" s="12"/>
      <c r="B931" s="12"/>
      <c r="C931" s="12"/>
      <c r="D931" s="12"/>
      <c r="E931" s="12"/>
      <c r="F931" s="12"/>
    </row>
    <row r="932" ht="15.75" customHeight="1">
      <c r="A932" s="12"/>
      <c r="B932" s="12"/>
      <c r="C932" s="12"/>
      <c r="D932" s="12"/>
      <c r="E932" s="12"/>
      <c r="F932" s="12"/>
    </row>
    <row r="933" ht="15.75" customHeight="1">
      <c r="A933" s="12"/>
      <c r="B933" s="12"/>
      <c r="C933" s="12"/>
      <c r="D933" s="12"/>
      <c r="E933" s="12"/>
      <c r="F933" s="12"/>
    </row>
    <row r="934" ht="15.75" customHeight="1">
      <c r="A934" s="12"/>
      <c r="B934" s="12"/>
      <c r="C934" s="12"/>
      <c r="D934" s="12"/>
      <c r="E934" s="12"/>
      <c r="F934" s="12"/>
    </row>
    <row r="935" ht="15.75" customHeight="1">
      <c r="A935" s="12"/>
      <c r="B935" s="12"/>
      <c r="C935" s="12"/>
      <c r="D935" s="12"/>
      <c r="E935" s="12"/>
      <c r="F935" s="12"/>
    </row>
    <row r="936" ht="15.75" customHeight="1">
      <c r="A936" s="12"/>
      <c r="B936" s="12"/>
      <c r="C936" s="12"/>
      <c r="D936" s="12"/>
      <c r="E936" s="12"/>
      <c r="F936" s="12"/>
    </row>
    <row r="937" ht="15.75" customHeight="1">
      <c r="A937" s="12"/>
      <c r="B937" s="12"/>
      <c r="C937" s="12"/>
      <c r="D937" s="12"/>
      <c r="E937" s="12"/>
      <c r="F937" s="12"/>
    </row>
    <row r="938" ht="15.75" customHeight="1">
      <c r="A938" s="12"/>
      <c r="B938" s="12"/>
      <c r="C938" s="12"/>
      <c r="D938" s="12"/>
      <c r="E938" s="12"/>
      <c r="F938" s="12"/>
    </row>
    <row r="939" ht="15.75" customHeight="1">
      <c r="A939" s="12"/>
      <c r="B939" s="12"/>
      <c r="C939" s="12"/>
      <c r="D939" s="12"/>
      <c r="E939" s="12"/>
      <c r="F939" s="12"/>
    </row>
    <row r="940" ht="15.75" customHeight="1">
      <c r="A940" s="12"/>
      <c r="B940" s="12"/>
      <c r="C940" s="12"/>
      <c r="D940" s="12"/>
      <c r="E940" s="12"/>
      <c r="F940" s="12"/>
    </row>
    <row r="941" ht="15.75" customHeight="1">
      <c r="A941" s="12"/>
      <c r="B941" s="12"/>
      <c r="C941" s="12"/>
      <c r="D941" s="12"/>
      <c r="E941" s="12"/>
      <c r="F941" s="12"/>
    </row>
    <row r="942" ht="15.75" customHeight="1">
      <c r="A942" s="12"/>
      <c r="B942" s="12"/>
      <c r="C942" s="12"/>
      <c r="D942" s="12"/>
      <c r="E942" s="12"/>
      <c r="F942" s="12"/>
    </row>
    <row r="943" ht="15.75" customHeight="1">
      <c r="A943" s="12"/>
      <c r="B943" s="12"/>
      <c r="C943" s="12"/>
      <c r="D943" s="12"/>
      <c r="E943" s="12"/>
      <c r="F943" s="12"/>
    </row>
    <row r="944" ht="15.75" customHeight="1">
      <c r="A944" s="12"/>
      <c r="B944" s="12"/>
      <c r="C944" s="12"/>
      <c r="D944" s="12"/>
      <c r="E944" s="12"/>
      <c r="F944" s="12"/>
    </row>
    <row r="945" ht="15.75" customHeight="1">
      <c r="A945" s="12"/>
      <c r="B945" s="12"/>
      <c r="C945" s="12"/>
      <c r="D945" s="12"/>
      <c r="E945" s="12"/>
      <c r="F945" s="12"/>
    </row>
    <row r="946" ht="15.75" customHeight="1">
      <c r="A946" s="12"/>
      <c r="B946" s="12"/>
      <c r="C946" s="12"/>
      <c r="D946" s="12"/>
      <c r="E946" s="12"/>
      <c r="F946" s="12"/>
    </row>
    <row r="947" ht="15.75" customHeight="1">
      <c r="A947" s="12"/>
      <c r="B947" s="12"/>
      <c r="C947" s="12"/>
      <c r="D947" s="12"/>
      <c r="E947" s="12"/>
      <c r="F947" s="12"/>
    </row>
    <row r="948" ht="15.75" customHeight="1">
      <c r="A948" s="12"/>
      <c r="B948" s="12"/>
      <c r="C948" s="12"/>
      <c r="D948" s="12"/>
      <c r="E948" s="12"/>
      <c r="F948" s="12"/>
    </row>
    <row r="949" ht="15.75" customHeight="1">
      <c r="A949" s="12"/>
      <c r="B949" s="12"/>
      <c r="C949" s="12"/>
      <c r="D949" s="12"/>
      <c r="E949" s="12"/>
      <c r="F949" s="12"/>
    </row>
    <row r="950" ht="15.75" customHeight="1">
      <c r="A950" s="12"/>
      <c r="B950" s="12"/>
      <c r="C950" s="12"/>
      <c r="D950" s="12"/>
      <c r="E950" s="12"/>
      <c r="F950" s="12"/>
    </row>
    <row r="951" ht="15.75" customHeight="1">
      <c r="A951" s="12"/>
      <c r="B951" s="12"/>
      <c r="C951" s="12"/>
      <c r="D951" s="12"/>
      <c r="E951" s="12"/>
      <c r="F951" s="12"/>
    </row>
    <row r="952" ht="15.75" customHeight="1">
      <c r="A952" s="12"/>
      <c r="B952" s="12"/>
      <c r="C952" s="12"/>
      <c r="D952" s="12"/>
      <c r="E952" s="12"/>
      <c r="F952" s="12"/>
    </row>
    <row r="953" ht="15.75" customHeight="1">
      <c r="A953" s="12"/>
      <c r="B953" s="12"/>
      <c r="C953" s="12"/>
      <c r="D953" s="12"/>
      <c r="E953" s="12"/>
      <c r="F953" s="12"/>
    </row>
    <row r="954" ht="15.75" customHeight="1">
      <c r="A954" s="12"/>
      <c r="B954" s="12"/>
      <c r="C954" s="12"/>
      <c r="D954" s="12"/>
      <c r="E954" s="12"/>
      <c r="F954" s="12"/>
    </row>
    <row r="955" ht="15.75" customHeight="1">
      <c r="A955" s="12"/>
      <c r="B955" s="12"/>
      <c r="C955" s="12"/>
      <c r="D955" s="12"/>
      <c r="E955" s="12"/>
      <c r="F955" s="12"/>
    </row>
    <row r="956" ht="15.75" customHeight="1">
      <c r="A956" s="12"/>
      <c r="B956" s="12"/>
      <c r="C956" s="12"/>
      <c r="D956" s="12"/>
      <c r="E956" s="12"/>
      <c r="F956" s="12"/>
    </row>
    <row r="957" ht="15.75" customHeight="1">
      <c r="A957" s="12"/>
      <c r="B957" s="12"/>
      <c r="C957" s="12"/>
      <c r="D957" s="12"/>
      <c r="E957" s="12"/>
      <c r="F957" s="12"/>
    </row>
    <row r="958" ht="15.75" customHeight="1">
      <c r="A958" s="12"/>
      <c r="B958" s="12"/>
      <c r="C958" s="12"/>
      <c r="D958" s="12"/>
      <c r="E958" s="12"/>
      <c r="F958" s="12"/>
    </row>
    <row r="959" ht="15.75" customHeight="1">
      <c r="A959" s="12"/>
      <c r="B959" s="12"/>
      <c r="C959" s="12"/>
      <c r="D959" s="12"/>
      <c r="E959" s="12"/>
      <c r="F959" s="12"/>
    </row>
    <row r="960" ht="15.75" customHeight="1">
      <c r="A960" s="12"/>
      <c r="B960" s="12"/>
      <c r="C960" s="12"/>
      <c r="D960" s="12"/>
      <c r="E960" s="12"/>
      <c r="F960" s="12"/>
    </row>
    <row r="961" ht="15.75" customHeight="1">
      <c r="A961" s="12"/>
      <c r="B961" s="12"/>
      <c r="C961" s="12"/>
      <c r="D961" s="12"/>
      <c r="E961" s="12"/>
      <c r="F961" s="12"/>
    </row>
    <row r="962" ht="15.75" customHeight="1">
      <c r="A962" s="12"/>
      <c r="B962" s="12"/>
      <c r="C962" s="12"/>
      <c r="D962" s="12"/>
      <c r="E962" s="12"/>
      <c r="F962" s="12"/>
    </row>
    <row r="963" ht="15.75" customHeight="1">
      <c r="A963" s="12"/>
      <c r="B963" s="12"/>
      <c r="C963" s="12"/>
      <c r="D963" s="12"/>
      <c r="E963" s="12"/>
      <c r="F963" s="12"/>
    </row>
    <row r="964" ht="15.75" customHeight="1">
      <c r="A964" s="12"/>
      <c r="B964" s="12"/>
      <c r="C964" s="12"/>
      <c r="D964" s="12"/>
      <c r="E964" s="12"/>
      <c r="F964" s="12"/>
    </row>
    <row r="965" ht="15.75" customHeight="1">
      <c r="A965" s="12"/>
      <c r="B965" s="12"/>
      <c r="C965" s="12"/>
      <c r="D965" s="12"/>
      <c r="E965" s="12"/>
      <c r="F965" s="12"/>
    </row>
    <row r="966" ht="15.75" customHeight="1">
      <c r="A966" s="12"/>
      <c r="B966" s="12"/>
      <c r="C966" s="12"/>
      <c r="D966" s="12"/>
      <c r="E966" s="12"/>
      <c r="F966" s="12"/>
    </row>
    <row r="967" ht="15.75" customHeight="1">
      <c r="A967" s="12"/>
      <c r="B967" s="12"/>
      <c r="C967" s="12"/>
      <c r="D967" s="12"/>
      <c r="E967" s="12"/>
      <c r="F967" s="12"/>
    </row>
    <row r="968" ht="15.75" customHeight="1">
      <c r="A968" s="12"/>
      <c r="B968" s="12"/>
      <c r="C968" s="12"/>
      <c r="D968" s="12"/>
      <c r="E968" s="12"/>
      <c r="F968" s="12"/>
    </row>
    <row r="969" ht="15.75" customHeight="1">
      <c r="A969" s="12"/>
      <c r="B969" s="12"/>
      <c r="C969" s="12"/>
      <c r="D969" s="12"/>
      <c r="E969" s="12"/>
      <c r="F969" s="12"/>
    </row>
    <row r="970" ht="15.75" customHeight="1">
      <c r="A970" s="12"/>
      <c r="B970" s="12"/>
      <c r="C970" s="12"/>
      <c r="D970" s="12"/>
      <c r="E970" s="12"/>
      <c r="F970" s="12"/>
    </row>
    <row r="971" ht="15.75" customHeight="1">
      <c r="A971" s="12"/>
      <c r="B971" s="12"/>
      <c r="C971" s="12"/>
      <c r="D971" s="12"/>
      <c r="E971" s="12"/>
      <c r="F971" s="12"/>
    </row>
    <row r="972" ht="15.75" customHeight="1">
      <c r="A972" s="12"/>
      <c r="B972" s="12"/>
      <c r="C972" s="12"/>
      <c r="D972" s="12"/>
      <c r="E972" s="12"/>
      <c r="F972" s="12"/>
    </row>
    <row r="973" ht="15.75" customHeight="1">
      <c r="A973" s="12"/>
      <c r="B973" s="12"/>
      <c r="C973" s="12"/>
      <c r="D973" s="12"/>
      <c r="E973" s="12"/>
      <c r="F973" s="12"/>
    </row>
    <row r="974" ht="15.75" customHeight="1">
      <c r="A974" s="12"/>
      <c r="B974" s="12"/>
      <c r="C974" s="12"/>
      <c r="D974" s="12"/>
      <c r="E974" s="12"/>
      <c r="F974" s="12"/>
    </row>
    <row r="975" ht="15.75" customHeight="1">
      <c r="A975" s="12"/>
      <c r="B975" s="12"/>
      <c r="C975" s="12"/>
      <c r="D975" s="12"/>
      <c r="E975" s="12"/>
      <c r="F975" s="12"/>
    </row>
    <row r="976" ht="15.75" customHeight="1">
      <c r="A976" s="12"/>
      <c r="B976" s="12"/>
      <c r="C976" s="12"/>
      <c r="D976" s="12"/>
      <c r="E976" s="12"/>
      <c r="F976" s="12"/>
    </row>
    <row r="977" ht="15.75" customHeight="1">
      <c r="A977" s="12"/>
      <c r="B977" s="12"/>
      <c r="C977" s="12"/>
      <c r="D977" s="12"/>
      <c r="E977" s="12"/>
      <c r="F977" s="12"/>
    </row>
    <row r="978" ht="15.75" customHeight="1">
      <c r="A978" s="12"/>
      <c r="B978" s="12"/>
      <c r="C978" s="12"/>
      <c r="D978" s="12"/>
      <c r="E978" s="12"/>
      <c r="F978" s="12"/>
    </row>
    <row r="979" ht="15.75" customHeight="1">
      <c r="A979" s="12"/>
      <c r="B979" s="12"/>
      <c r="C979" s="12"/>
      <c r="D979" s="12"/>
      <c r="E979" s="12"/>
      <c r="F979" s="12"/>
    </row>
    <row r="980" ht="15.75" customHeight="1">
      <c r="A980" s="12"/>
      <c r="B980" s="12"/>
      <c r="C980" s="12"/>
      <c r="D980" s="12"/>
      <c r="E980" s="12"/>
      <c r="F980" s="12"/>
    </row>
    <row r="981" ht="15.75" customHeight="1">
      <c r="A981" s="12"/>
      <c r="B981" s="12"/>
      <c r="C981" s="12"/>
      <c r="D981" s="12"/>
      <c r="E981" s="12"/>
      <c r="F981" s="12"/>
    </row>
    <row r="982" ht="15.75" customHeight="1">
      <c r="A982" s="12"/>
      <c r="B982" s="12"/>
      <c r="C982" s="12"/>
      <c r="D982" s="12"/>
      <c r="E982" s="12"/>
      <c r="F982" s="12"/>
    </row>
    <row r="983" ht="15.75" customHeight="1">
      <c r="A983" s="12"/>
      <c r="B983" s="12"/>
      <c r="C983" s="12"/>
      <c r="D983" s="12"/>
      <c r="E983" s="12"/>
      <c r="F983" s="12"/>
    </row>
    <row r="984" ht="15.75" customHeight="1">
      <c r="A984" s="12"/>
      <c r="B984" s="12"/>
      <c r="C984" s="12"/>
      <c r="D984" s="12"/>
      <c r="E984" s="12"/>
      <c r="F984" s="12"/>
    </row>
    <row r="985" ht="15.75" customHeight="1">
      <c r="A985" s="12"/>
      <c r="B985" s="12"/>
      <c r="C985" s="12"/>
      <c r="D985" s="12"/>
      <c r="E985" s="12"/>
      <c r="F985" s="12"/>
    </row>
    <row r="986" ht="15.75" customHeight="1">
      <c r="A986" s="12"/>
      <c r="B986" s="12"/>
      <c r="C986" s="12"/>
      <c r="D986" s="12"/>
      <c r="E986" s="12"/>
      <c r="F986" s="12"/>
    </row>
    <row r="987" ht="15.75" customHeight="1">
      <c r="A987" s="12"/>
      <c r="B987" s="12"/>
      <c r="C987" s="12"/>
      <c r="D987" s="12"/>
      <c r="E987" s="12"/>
      <c r="F987" s="12"/>
    </row>
    <row r="988" ht="15.75" customHeight="1">
      <c r="A988" s="12"/>
      <c r="B988" s="12"/>
      <c r="C988" s="12"/>
      <c r="D988" s="12"/>
      <c r="E988" s="12"/>
      <c r="F988" s="12"/>
    </row>
    <row r="989" ht="15.75" customHeight="1">
      <c r="A989" s="12"/>
      <c r="B989" s="12"/>
      <c r="C989" s="12"/>
      <c r="D989" s="12"/>
      <c r="E989" s="12"/>
      <c r="F989" s="12"/>
    </row>
    <row r="990" ht="15.75" customHeight="1">
      <c r="A990" s="12"/>
      <c r="B990" s="12"/>
      <c r="C990" s="12"/>
      <c r="D990" s="12"/>
      <c r="E990" s="12"/>
      <c r="F990" s="12"/>
    </row>
    <row r="991" ht="15.75" customHeight="1">
      <c r="A991" s="12"/>
      <c r="B991" s="12"/>
      <c r="C991" s="12"/>
      <c r="D991" s="12"/>
      <c r="E991" s="12"/>
      <c r="F991" s="12"/>
    </row>
    <row r="992" ht="15.75" customHeight="1">
      <c r="A992" s="12"/>
      <c r="B992" s="12"/>
      <c r="C992" s="12"/>
      <c r="D992" s="12"/>
      <c r="E992" s="12"/>
      <c r="F992" s="12"/>
    </row>
    <row r="993" ht="15.75" customHeight="1">
      <c r="A993" s="12"/>
      <c r="B993" s="12"/>
      <c r="C993" s="12"/>
      <c r="D993" s="12"/>
      <c r="E993" s="12"/>
      <c r="F993" s="12"/>
    </row>
    <row r="994" ht="15.75" customHeight="1">
      <c r="A994" s="12"/>
      <c r="B994" s="12"/>
      <c r="C994" s="12"/>
      <c r="D994" s="12"/>
      <c r="E994" s="12"/>
      <c r="F994" s="12"/>
    </row>
    <row r="995" ht="15.75" customHeight="1">
      <c r="A995" s="12"/>
      <c r="B995" s="12"/>
      <c r="C995" s="12"/>
      <c r="D995" s="12"/>
      <c r="E995" s="12"/>
      <c r="F995" s="12"/>
    </row>
    <row r="996" ht="15.75" customHeight="1">
      <c r="A996" s="12"/>
      <c r="B996" s="12"/>
      <c r="C996" s="12"/>
      <c r="D996" s="12"/>
      <c r="E996" s="12"/>
      <c r="F996" s="12"/>
    </row>
    <row r="997" ht="15.75" customHeight="1">
      <c r="A997" s="12"/>
      <c r="B997" s="12"/>
      <c r="C997" s="12"/>
      <c r="D997" s="12"/>
      <c r="E997" s="12"/>
      <c r="F997" s="12"/>
    </row>
    <row r="998" ht="15.75" customHeight="1">
      <c r="A998" s="12"/>
      <c r="B998" s="12"/>
      <c r="C998" s="12"/>
      <c r="D998" s="12"/>
      <c r="E998" s="12"/>
      <c r="F998" s="12"/>
    </row>
    <row r="999" ht="15.75" customHeight="1">
      <c r="A999" s="12"/>
      <c r="B999" s="12"/>
      <c r="C999" s="12"/>
      <c r="D999" s="12"/>
      <c r="E999" s="12"/>
      <c r="F999" s="12"/>
    </row>
    <row r="1000" ht="15.75" customHeight="1">
      <c r="A1000" s="12"/>
      <c r="B1000" s="12"/>
      <c r="C1000" s="12"/>
      <c r="D1000" s="12"/>
      <c r="E1000" s="12"/>
      <c r="F1000" s="12"/>
    </row>
  </sheetData>
  <printOptions/>
  <pageMargins bottom="1.0" footer="0.0" header="0.0" left="0.75" right="0.75" top="1.0"/>
  <pageSetup paperSize="9"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9.0"/>
    <col customWidth="1" min="2" max="2" width="10.0"/>
    <col customWidth="1" min="3" max="3" width="22.0"/>
    <col customWidth="1" min="4" max="4" width="14.0"/>
    <col customWidth="1" min="5" max="5" width="10.0"/>
    <col customWidth="1" min="6" max="7" width="8.0"/>
    <col customWidth="1" min="8" max="8" width="10.0"/>
    <col customWidth="1" min="9" max="9" width="12.0"/>
    <col customWidth="1" min="10" max="12" width="14.0"/>
    <col customWidth="1" min="13" max="13" width="12.0"/>
    <col customWidth="1" min="14" max="26" width="8.71"/>
  </cols>
  <sheetData>
    <row r="1" ht="15.0" customHeight="1">
      <c r="A1" s="2" t="s">
        <v>27</v>
      </c>
      <c r="B1" s="2" t="s">
        <v>135</v>
      </c>
      <c r="C1" s="2" t="s">
        <v>136</v>
      </c>
      <c r="D1" s="2" t="s">
        <v>137</v>
      </c>
      <c r="E1" s="2" t="s">
        <v>138</v>
      </c>
      <c r="F1" s="2" t="s">
        <v>133</v>
      </c>
      <c r="G1" s="2" t="s">
        <v>134</v>
      </c>
      <c r="H1" s="2" t="s">
        <v>146</v>
      </c>
      <c r="I1" s="2" t="s">
        <v>147</v>
      </c>
      <c r="J1" s="2" t="s">
        <v>148</v>
      </c>
      <c r="K1" s="2" t="s">
        <v>149</v>
      </c>
      <c r="L1" s="2" t="s">
        <v>150</v>
      </c>
      <c r="M1" s="2" t="s">
        <v>151</v>
      </c>
    </row>
    <row r="2" ht="15.0" customHeight="1">
      <c r="A2" s="3" t="str">
        <f t="shared" ref="A2:E2" si="1">IF(#REF!="","",#REF!)</f>
        <v>#REF!</v>
      </c>
      <c r="B2" s="3" t="str">
        <f t="shared" si="1"/>
        <v>#REF!</v>
      </c>
      <c r="C2" s="3" t="str">
        <f t="shared" si="1"/>
        <v>#REF!</v>
      </c>
      <c r="D2" s="3" t="str">
        <f t="shared" si="1"/>
        <v>#REF!</v>
      </c>
      <c r="E2" s="3" t="str">
        <f t="shared" si="1"/>
        <v>#REF!</v>
      </c>
      <c r="F2" s="3" t="str">
        <f>IF($C2="","",SUMIFS(Resultats_jugadores!$C:$C,Resultats_jugadores!$A:$A,$A2,Resultats_jugadores!$B:$B,$C2))</f>
        <v>#REF!</v>
      </c>
      <c r="G2" s="3" t="str">
        <f>IF($C2="","",SUMIFS(Resultats_jugadores!$D:$D,Resultats_jugadores!$A:$A,$A2,Resultats_jugadores!$B:$B,$C2))</f>
        <v>#REF!</v>
      </c>
      <c r="H2" s="3" t="str">
        <f t="shared" ref="H2:H601" si="3">IF($C2="","",N($F2)-N($G2))</f>
        <v>#REF!</v>
      </c>
      <c r="I2" s="3" t="str">
        <f t="array" ref="I2">IF($C2="","",IFERROR(INDEX(Partits!$C:$C,MATCH($A2&amp;"_"&amp;$D2,Partits!$D:$D,0)),""))</f>
        <v>#REF!</v>
      </c>
      <c r="J2" s="3" t="str">
        <f t="shared" ref="J2:J601" si="4">IF($C2="","",IF(AND($I2="V",N($H2)&gt;0),1.2,1))</f>
        <v>#REF!</v>
      </c>
      <c r="K2" s="3" t="str">
        <f t="shared" ref="K2:K601" si="5">IF($C2="","",N($H2)*$J2)</f>
        <v>#REF!</v>
      </c>
      <c r="L2" s="3" t="str">
        <f t="shared" ref="L2:L601" si="6">IF($C2="","",IF($E2="SI",2,1))</f>
        <v>#REF!</v>
      </c>
      <c r="M2" s="3" t="str">
        <f t="shared" ref="M2:M601" si="7">IF($C2="","",$K2*$L2)</f>
        <v>#REF!</v>
      </c>
    </row>
    <row r="3" ht="15.0" customHeight="1">
      <c r="A3" s="3" t="str">
        <f t="shared" ref="A3:E3" si="2">IF(#REF!="","",#REF!)</f>
        <v>#REF!</v>
      </c>
      <c r="B3" s="3" t="str">
        <f t="shared" si="2"/>
        <v>#REF!</v>
      </c>
      <c r="C3" s="3" t="str">
        <f t="shared" si="2"/>
        <v>#REF!</v>
      </c>
      <c r="D3" s="3" t="str">
        <f t="shared" si="2"/>
        <v>#REF!</v>
      </c>
      <c r="E3" s="3" t="str">
        <f t="shared" si="2"/>
        <v>#REF!</v>
      </c>
      <c r="F3" s="3" t="str">
        <f>IF($C3="","",SUMIFS(Resultats_jugadores!$C:$C,Resultats_jugadores!$A:$A,$A3,Resultats_jugadores!$B:$B,$C3))</f>
        <v>#REF!</v>
      </c>
      <c r="G3" s="3" t="str">
        <f>IF($C3="","",SUMIFS(Resultats_jugadores!$D:$D,Resultats_jugadores!$A:$A,$A3,Resultats_jugadores!$B:$B,$C3))</f>
        <v>#REF!</v>
      </c>
      <c r="H3" s="3" t="str">
        <f t="shared" si="3"/>
        <v>#REF!</v>
      </c>
      <c r="I3" s="3" t="str">
        <f t="array" ref="I3">IF($C3="","",IFERROR(INDEX(Partits!$C:$C,MATCH($A3&amp;"_"&amp;$D3,Partits!$D:$D,0)),""))</f>
        <v>#REF!</v>
      </c>
      <c r="J3" s="3" t="str">
        <f t="shared" si="4"/>
        <v>#REF!</v>
      </c>
      <c r="K3" s="3" t="str">
        <f t="shared" si="5"/>
        <v>#REF!</v>
      </c>
      <c r="L3" s="3" t="str">
        <f t="shared" si="6"/>
        <v>#REF!</v>
      </c>
      <c r="M3" s="3" t="str">
        <f t="shared" si="7"/>
        <v>#REF!</v>
      </c>
    </row>
    <row r="4" ht="15.0" customHeight="1">
      <c r="A4" s="3" t="str">
        <f t="shared" ref="A4:E4" si="8">IF(#REF!="","",#REF!)</f>
        <v>#REF!</v>
      </c>
      <c r="B4" s="3" t="str">
        <f t="shared" si="8"/>
        <v>#REF!</v>
      </c>
      <c r="C4" s="3" t="str">
        <f t="shared" si="8"/>
        <v>#REF!</v>
      </c>
      <c r="D4" s="3" t="str">
        <f t="shared" si="8"/>
        <v>#REF!</v>
      </c>
      <c r="E4" s="3" t="str">
        <f t="shared" si="8"/>
        <v>#REF!</v>
      </c>
      <c r="F4" s="3" t="str">
        <f>IF($C4="","",SUMIFS(Resultats_jugadores!$C:$C,Resultats_jugadores!$A:$A,$A4,Resultats_jugadores!$B:$B,$C4))</f>
        <v>#REF!</v>
      </c>
      <c r="G4" s="3" t="str">
        <f>IF($C4="","",SUMIFS(Resultats_jugadores!$D:$D,Resultats_jugadores!$A:$A,$A4,Resultats_jugadores!$B:$B,$C4))</f>
        <v>#REF!</v>
      </c>
      <c r="H4" s="3" t="str">
        <f t="shared" si="3"/>
        <v>#REF!</v>
      </c>
      <c r="I4" s="3" t="str">
        <f t="array" ref="I4">IF($C4="","",IFERROR(INDEX(Partits!$C:$C,MATCH($A4&amp;"_"&amp;$D4,Partits!$D:$D,0)),""))</f>
        <v>#REF!</v>
      </c>
      <c r="J4" s="3" t="str">
        <f t="shared" si="4"/>
        <v>#REF!</v>
      </c>
      <c r="K4" s="3" t="str">
        <f t="shared" si="5"/>
        <v>#REF!</v>
      </c>
      <c r="L4" s="3" t="str">
        <f t="shared" si="6"/>
        <v>#REF!</v>
      </c>
      <c r="M4" s="3" t="str">
        <f t="shared" si="7"/>
        <v>#REF!</v>
      </c>
    </row>
    <row r="5" ht="15.0" customHeight="1">
      <c r="A5" s="3" t="str">
        <f t="shared" ref="A5:E5" si="9">IF(#REF!="","",#REF!)</f>
        <v>#REF!</v>
      </c>
      <c r="B5" s="3" t="str">
        <f t="shared" si="9"/>
        <v>#REF!</v>
      </c>
      <c r="C5" s="3" t="str">
        <f t="shared" si="9"/>
        <v>#REF!</v>
      </c>
      <c r="D5" s="3" t="str">
        <f t="shared" si="9"/>
        <v>#REF!</v>
      </c>
      <c r="E5" s="3" t="str">
        <f t="shared" si="9"/>
        <v>#REF!</v>
      </c>
      <c r="F5" s="3" t="str">
        <f>IF($C5="","",SUMIFS(Resultats_jugadores!$C:$C,Resultats_jugadores!$A:$A,$A5,Resultats_jugadores!$B:$B,$C5))</f>
        <v>#REF!</v>
      </c>
      <c r="G5" s="3" t="str">
        <f>IF($C5="","",SUMIFS(Resultats_jugadores!$D:$D,Resultats_jugadores!$A:$A,$A5,Resultats_jugadores!$B:$B,$C5))</f>
        <v>#REF!</v>
      </c>
      <c r="H5" s="3" t="str">
        <f t="shared" si="3"/>
        <v>#REF!</v>
      </c>
      <c r="I5" s="3" t="str">
        <f t="array" ref="I5">IF($C5="","",IFERROR(INDEX(Partits!$C:$C,MATCH($A5&amp;"_"&amp;$D5,Partits!$D:$D,0)),""))</f>
        <v>#REF!</v>
      </c>
      <c r="J5" s="3" t="str">
        <f t="shared" si="4"/>
        <v>#REF!</v>
      </c>
      <c r="K5" s="3" t="str">
        <f t="shared" si="5"/>
        <v>#REF!</v>
      </c>
      <c r="L5" s="3" t="str">
        <f t="shared" si="6"/>
        <v>#REF!</v>
      </c>
      <c r="M5" s="3" t="str">
        <f t="shared" si="7"/>
        <v>#REF!</v>
      </c>
    </row>
    <row r="6" ht="15.0" customHeight="1">
      <c r="A6" s="3" t="str">
        <f t="shared" ref="A6:E6" si="10">IF(#REF!="","",#REF!)</f>
        <v>#REF!</v>
      </c>
      <c r="B6" s="3" t="str">
        <f t="shared" si="10"/>
        <v>#REF!</v>
      </c>
      <c r="C6" s="3" t="str">
        <f t="shared" si="10"/>
        <v>#REF!</v>
      </c>
      <c r="D6" s="3" t="str">
        <f t="shared" si="10"/>
        <v>#REF!</v>
      </c>
      <c r="E6" s="3" t="str">
        <f t="shared" si="10"/>
        <v>#REF!</v>
      </c>
      <c r="F6" s="3" t="str">
        <f>IF($C6="","",SUMIFS(Resultats_jugadores!$C:$C,Resultats_jugadores!$A:$A,$A6,Resultats_jugadores!$B:$B,$C6))</f>
        <v>#REF!</v>
      </c>
      <c r="G6" s="3" t="str">
        <f>IF($C6="","",SUMIFS(Resultats_jugadores!$D:$D,Resultats_jugadores!$A:$A,$A6,Resultats_jugadores!$B:$B,$C6))</f>
        <v>#REF!</v>
      </c>
      <c r="H6" s="3" t="str">
        <f t="shared" si="3"/>
        <v>#REF!</v>
      </c>
      <c r="I6" s="3" t="str">
        <f t="array" ref="I6">IF($C6="","",IFERROR(INDEX(Partits!$C:$C,MATCH($A6&amp;"_"&amp;$D6,Partits!$D:$D,0)),""))</f>
        <v>#REF!</v>
      </c>
      <c r="J6" s="3" t="str">
        <f t="shared" si="4"/>
        <v>#REF!</v>
      </c>
      <c r="K6" s="3" t="str">
        <f t="shared" si="5"/>
        <v>#REF!</v>
      </c>
      <c r="L6" s="3" t="str">
        <f t="shared" si="6"/>
        <v>#REF!</v>
      </c>
      <c r="M6" s="3" t="str">
        <f t="shared" si="7"/>
        <v>#REF!</v>
      </c>
    </row>
    <row r="7" ht="15.0" customHeight="1">
      <c r="A7" s="3" t="str">
        <f t="shared" ref="A7:E7" si="11">IF(#REF!="","",#REF!)</f>
        <v>#REF!</v>
      </c>
      <c r="B7" s="3" t="str">
        <f t="shared" si="11"/>
        <v>#REF!</v>
      </c>
      <c r="C7" s="3" t="str">
        <f t="shared" si="11"/>
        <v>#REF!</v>
      </c>
      <c r="D7" s="3" t="str">
        <f t="shared" si="11"/>
        <v>#REF!</v>
      </c>
      <c r="E7" s="3" t="str">
        <f t="shared" si="11"/>
        <v>#REF!</v>
      </c>
      <c r="F7" s="3" t="str">
        <f>IF($C7="","",SUMIFS(Resultats_jugadores!$C:$C,Resultats_jugadores!$A:$A,$A7,Resultats_jugadores!$B:$B,$C7))</f>
        <v>#REF!</v>
      </c>
      <c r="G7" s="3" t="str">
        <f>IF($C7="","",SUMIFS(Resultats_jugadores!$D:$D,Resultats_jugadores!$A:$A,$A7,Resultats_jugadores!$B:$B,$C7))</f>
        <v>#REF!</v>
      </c>
      <c r="H7" s="3" t="str">
        <f t="shared" si="3"/>
        <v>#REF!</v>
      </c>
      <c r="I7" s="3" t="str">
        <f t="array" ref="I7">IF($C7="","",IFERROR(INDEX(Partits!$C:$C,MATCH($A7&amp;"_"&amp;$D7,Partits!$D:$D,0)),""))</f>
        <v>#REF!</v>
      </c>
      <c r="J7" s="3" t="str">
        <f t="shared" si="4"/>
        <v>#REF!</v>
      </c>
      <c r="K7" s="3" t="str">
        <f t="shared" si="5"/>
        <v>#REF!</v>
      </c>
      <c r="L7" s="3" t="str">
        <f t="shared" si="6"/>
        <v>#REF!</v>
      </c>
      <c r="M7" s="3" t="str">
        <f t="shared" si="7"/>
        <v>#REF!</v>
      </c>
    </row>
    <row r="8" ht="15.0" customHeight="1">
      <c r="A8" s="3" t="str">
        <f t="shared" ref="A8:E8" si="12">IF(#REF!="","",#REF!)</f>
        <v>#REF!</v>
      </c>
      <c r="B8" s="3" t="str">
        <f t="shared" si="12"/>
        <v>#REF!</v>
      </c>
      <c r="C8" s="3" t="str">
        <f t="shared" si="12"/>
        <v>#REF!</v>
      </c>
      <c r="D8" s="3" t="str">
        <f t="shared" si="12"/>
        <v>#REF!</v>
      </c>
      <c r="E8" s="3" t="str">
        <f t="shared" si="12"/>
        <v>#REF!</v>
      </c>
      <c r="F8" s="3" t="str">
        <f>IF($C8="","",SUMIFS(Resultats_jugadores!$C:$C,Resultats_jugadores!$A:$A,$A8,Resultats_jugadores!$B:$B,$C8))</f>
        <v>#REF!</v>
      </c>
      <c r="G8" s="3" t="str">
        <f>IF($C8="","",SUMIFS(Resultats_jugadores!$D:$D,Resultats_jugadores!$A:$A,$A8,Resultats_jugadores!$B:$B,$C8))</f>
        <v>#REF!</v>
      </c>
      <c r="H8" s="3" t="str">
        <f t="shared" si="3"/>
        <v>#REF!</v>
      </c>
      <c r="I8" s="3" t="str">
        <f t="array" ref="I8">IF($C8="","",IFERROR(INDEX(Partits!$C:$C,MATCH($A8&amp;"_"&amp;$D8,Partits!$D:$D,0)),""))</f>
        <v>#REF!</v>
      </c>
      <c r="J8" s="3" t="str">
        <f t="shared" si="4"/>
        <v>#REF!</v>
      </c>
      <c r="K8" s="3" t="str">
        <f t="shared" si="5"/>
        <v>#REF!</v>
      </c>
      <c r="L8" s="3" t="str">
        <f t="shared" si="6"/>
        <v>#REF!</v>
      </c>
      <c r="M8" s="3" t="str">
        <f t="shared" si="7"/>
        <v>#REF!</v>
      </c>
    </row>
    <row r="9" ht="15.0" customHeight="1">
      <c r="A9" s="3" t="str">
        <f t="shared" ref="A9:E9" si="13">IF(#REF!="","",#REF!)</f>
        <v>#REF!</v>
      </c>
      <c r="B9" s="3" t="str">
        <f t="shared" si="13"/>
        <v>#REF!</v>
      </c>
      <c r="C9" s="3" t="str">
        <f t="shared" si="13"/>
        <v>#REF!</v>
      </c>
      <c r="D9" s="3" t="str">
        <f t="shared" si="13"/>
        <v>#REF!</v>
      </c>
      <c r="E9" s="3" t="str">
        <f t="shared" si="13"/>
        <v>#REF!</v>
      </c>
      <c r="F9" s="3" t="str">
        <f>IF($C9="","",SUMIFS(Resultats_jugadores!$C:$C,Resultats_jugadores!$A:$A,$A9,Resultats_jugadores!$B:$B,$C9))</f>
        <v>#REF!</v>
      </c>
      <c r="G9" s="3" t="str">
        <f>IF($C9="","",SUMIFS(Resultats_jugadores!$D:$D,Resultats_jugadores!$A:$A,$A9,Resultats_jugadores!$B:$B,$C9))</f>
        <v>#REF!</v>
      </c>
      <c r="H9" s="3" t="str">
        <f t="shared" si="3"/>
        <v>#REF!</v>
      </c>
      <c r="I9" s="3" t="str">
        <f t="array" ref="I9">IF($C9="","",IFERROR(INDEX(Partits!$C:$C,MATCH($A9&amp;"_"&amp;$D9,Partits!$D:$D,0)),""))</f>
        <v>#REF!</v>
      </c>
      <c r="J9" s="3" t="str">
        <f t="shared" si="4"/>
        <v>#REF!</v>
      </c>
      <c r="K9" s="3" t="str">
        <f t="shared" si="5"/>
        <v>#REF!</v>
      </c>
      <c r="L9" s="3" t="str">
        <f t="shared" si="6"/>
        <v>#REF!</v>
      </c>
      <c r="M9" s="3" t="str">
        <f t="shared" si="7"/>
        <v>#REF!</v>
      </c>
    </row>
    <row r="10" ht="15.0" customHeight="1">
      <c r="A10" s="3" t="str">
        <f t="shared" ref="A10:E10" si="14">IF(#REF!="","",#REF!)</f>
        <v>#REF!</v>
      </c>
      <c r="B10" s="3" t="str">
        <f t="shared" si="14"/>
        <v>#REF!</v>
      </c>
      <c r="C10" s="3" t="str">
        <f t="shared" si="14"/>
        <v>#REF!</v>
      </c>
      <c r="D10" s="3" t="str">
        <f t="shared" si="14"/>
        <v>#REF!</v>
      </c>
      <c r="E10" s="3" t="str">
        <f t="shared" si="14"/>
        <v>#REF!</v>
      </c>
      <c r="F10" s="3" t="str">
        <f>IF($C10="","",SUMIFS(Resultats_jugadores!$C:$C,Resultats_jugadores!$A:$A,$A10,Resultats_jugadores!$B:$B,$C10))</f>
        <v>#REF!</v>
      </c>
      <c r="G10" s="3" t="str">
        <f>IF($C10="","",SUMIFS(Resultats_jugadores!$D:$D,Resultats_jugadores!$A:$A,$A10,Resultats_jugadores!$B:$B,$C10))</f>
        <v>#REF!</v>
      </c>
      <c r="H10" s="3" t="str">
        <f t="shared" si="3"/>
        <v>#REF!</v>
      </c>
      <c r="I10" s="3" t="str">
        <f t="array" ref="I10">IF($C10="","",IFERROR(INDEX(Partits!$C:$C,MATCH($A10&amp;"_"&amp;$D10,Partits!$D:$D,0)),""))</f>
        <v>#REF!</v>
      </c>
      <c r="J10" s="3" t="str">
        <f t="shared" si="4"/>
        <v>#REF!</v>
      </c>
      <c r="K10" s="3" t="str">
        <f t="shared" si="5"/>
        <v>#REF!</v>
      </c>
      <c r="L10" s="3" t="str">
        <f t="shared" si="6"/>
        <v>#REF!</v>
      </c>
      <c r="M10" s="3" t="str">
        <f t="shared" si="7"/>
        <v>#REF!</v>
      </c>
    </row>
    <row r="11" ht="15.0" customHeight="1">
      <c r="A11" s="3">
        <f>IF(Equips_usuari!A11="","",Equips_usuari!A11)</f>
        <v>1</v>
      </c>
      <c r="B11" s="3" t="str">
        <f>IF(Equips_usuari!B11="","",Equips_usuari!B11)</f>
        <v>U17+SFB</v>
      </c>
      <c r="C11" s="3" t="str">
        <f>IF(Equips_usuari!C11="","",Equips_usuari!C11)</f>
        <v>Nina Clotet</v>
      </c>
      <c r="D11" s="3" t="str">
        <f>IF(Equips_usuari!D11="","",Equips_usuari!D11)</f>
        <v>U16</v>
      </c>
      <c r="E11" s="3" t="str">
        <f>IF(Equips_usuari!F11="","",Equips_usuari!F11)</f>
        <v>NO</v>
      </c>
      <c r="F11" s="3">
        <f>IF($C11="","",SUMIFS(Resultats_jugadores!$C:$C,Resultats_jugadores!$A:$A,$A11,Resultats_jugadores!$B:$B,$C11))</f>
        <v>0</v>
      </c>
      <c r="G11" s="3">
        <f>IF($C11="","",SUMIFS(Resultats_jugadores!$D:$D,Resultats_jugadores!$A:$A,$A11,Resultats_jugadores!$B:$B,$C11))</f>
        <v>0</v>
      </c>
      <c r="H11" s="3">
        <f t="shared" si="3"/>
        <v>0</v>
      </c>
      <c r="I11" s="3" t="str">
        <f t="array" ref="I11">IF($C11="","",IFERROR(INDEX(Partits!$C:$C,MATCH($A11&amp;"_"&amp;$D11,Partits!$D:$D,0)),""))</f>
        <v>V</v>
      </c>
      <c r="J11" s="3">
        <f t="shared" si="4"/>
        <v>1</v>
      </c>
      <c r="K11" s="3">
        <f t="shared" si="5"/>
        <v>0</v>
      </c>
      <c r="L11" s="3">
        <f t="shared" si="6"/>
        <v>1</v>
      </c>
      <c r="M11" s="3">
        <f t="shared" si="7"/>
        <v>0</v>
      </c>
    </row>
    <row r="12" ht="15.0" customHeight="1">
      <c r="A12" s="3">
        <f>IF(Equips_usuari!A12="","",Equips_usuari!A12)</f>
        <v>1</v>
      </c>
      <c r="B12" s="3" t="str">
        <f>IF(Equips_usuari!B12="","",Equips_usuari!B12)</f>
        <v>U17+SFB</v>
      </c>
      <c r="C12" s="3" t="str">
        <f>IF(Equips_usuari!C12="","",Equips_usuari!C12)</f>
        <v>Erica Farizo</v>
      </c>
      <c r="D12" s="3" t="str">
        <f>IF(Equips_usuari!D12="","",Equips_usuari!D12)</f>
        <v>U15</v>
      </c>
      <c r="E12" s="3" t="str">
        <f>IF(Equips_usuari!F12="","",Equips_usuari!F12)</f>
        <v>NO</v>
      </c>
      <c r="F12" s="3">
        <f>IF($C12="","",SUMIFS(Resultats_jugadores!$C:$C,Resultats_jugadores!$A:$A,$A12,Resultats_jugadores!$B:$B,$C12))</f>
        <v>0</v>
      </c>
      <c r="G12" s="3">
        <f>IF($C12="","",SUMIFS(Resultats_jugadores!$D:$D,Resultats_jugadores!$A:$A,$A12,Resultats_jugadores!$B:$B,$C12))</f>
        <v>0</v>
      </c>
      <c r="H12" s="3">
        <f t="shared" si="3"/>
        <v>0</v>
      </c>
      <c r="I12" s="3" t="str">
        <f t="array" ref="I12">IF($C12="","",IFERROR(INDEX(Partits!$C:$C,MATCH($A12&amp;"_"&amp;$D12,Partits!$D:$D,0)),""))</f>
        <v>V</v>
      </c>
      <c r="J12" s="3">
        <f t="shared" si="4"/>
        <v>1</v>
      </c>
      <c r="K12" s="3">
        <f t="shared" si="5"/>
        <v>0</v>
      </c>
      <c r="L12" s="3">
        <f t="shared" si="6"/>
        <v>1</v>
      </c>
      <c r="M12" s="3">
        <f t="shared" si="7"/>
        <v>0</v>
      </c>
    </row>
    <row r="13" ht="15.0" customHeight="1">
      <c r="A13" s="3">
        <f>IF(Equips_usuari!A13="","",Equips_usuari!A13)</f>
        <v>1</v>
      </c>
      <c r="B13" s="3" t="str">
        <f>IF(Equips_usuari!B13="","",Equips_usuari!B13)</f>
        <v>U17+SFB</v>
      </c>
      <c r="C13" s="3" t="str">
        <f>IF(Equips_usuari!C13="","",Equips_usuari!C13)</f>
        <v>Marina Melero</v>
      </c>
      <c r="D13" s="3" t="str">
        <f>IF(Equips_usuari!D13="","",Equips_usuari!D13)</f>
        <v>LF2</v>
      </c>
      <c r="E13" s="3" t="str">
        <f>IF(Equips_usuari!F13="","",Equips_usuari!F13)</f>
        <v>SI</v>
      </c>
      <c r="F13" s="3">
        <f>IF($C13="","",SUMIFS(Resultats_jugadores!$C:$C,Resultats_jugadores!$A:$A,$A13,Resultats_jugadores!$B:$B,$C13))</f>
        <v>16</v>
      </c>
      <c r="G13" s="3">
        <f>IF($C13="","",SUMIFS(Resultats_jugadores!$D:$D,Resultats_jugadores!$A:$A,$A13,Resultats_jugadores!$B:$B,$C13))</f>
        <v>3</v>
      </c>
      <c r="H13" s="3">
        <f t="shared" si="3"/>
        <v>13</v>
      </c>
      <c r="I13" s="3" t="str">
        <f t="array" ref="I13">IF($C13="","",IFERROR(INDEX(Partits!$C:$C,MATCH($A13&amp;"_"&amp;$D13,Partits!$D:$D,0)),""))</f>
        <v>V</v>
      </c>
      <c r="J13" s="3">
        <f t="shared" si="4"/>
        <v>1.2</v>
      </c>
      <c r="K13" s="3">
        <f t="shared" si="5"/>
        <v>15.6</v>
      </c>
      <c r="L13" s="3">
        <f t="shared" si="6"/>
        <v>2</v>
      </c>
      <c r="M13" s="3">
        <f t="shared" si="7"/>
        <v>31.2</v>
      </c>
    </row>
    <row r="14" ht="15.0" customHeight="1">
      <c r="A14" s="3">
        <f>IF(Equips_usuari!A14="","",Equips_usuari!A14)</f>
        <v>1</v>
      </c>
      <c r="B14" s="3" t="str">
        <f>IF(Equips_usuari!B14="","",Equips_usuari!B14)</f>
        <v>U17+SFB</v>
      </c>
      <c r="C14" s="3" t="str">
        <f>IF(Equips_usuari!C14="","",Equips_usuari!C14)</f>
        <v>Carla Tabares</v>
      </c>
      <c r="D14" s="3" t="str">
        <f>IF(Equips_usuari!D14="","",Equips_usuari!D14)</f>
        <v>U17</v>
      </c>
      <c r="E14" s="3" t="str">
        <f>IF(Equips_usuari!F14="","",Equips_usuari!F14)</f>
        <v>NO</v>
      </c>
      <c r="F14" s="3">
        <f>IF($C14="","",SUMIFS(Resultats_jugadores!$C:$C,Resultats_jugadores!$A:$A,$A14,Resultats_jugadores!$B:$B,$C14))</f>
        <v>0</v>
      </c>
      <c r="G14" s="3">
        <f>IF($C14="","",SUMIFS(Resultats_jugadores!$D:$D,Resultats_jugadores!$A:$A,$A14,Resultats_jugadores!$B:$B,$C14))</f>
        <v>0</v>
      </c>
      <c r="H14" s="3">
        <f t="shared" si="3"/>
        <v>0</v>
      </c>
      <c r="I14" s="3" t="str">
        <f t="array" ref="I14">IF($C14="","",IFERROR(INDEX(Partits!$C:$C,MATCH($A14&amp;"_"&amp;$D14,Partits!$D:$D,0)),""))</f>
        <v>V</v>
      </c>
      <c r="J14" s="3">
        <f t="shared" si="4"/>
        <v>1</v>
      </c>
      <c r="K14" s="3">
        <f t="shared" si="5"/>
        <v>0</v>
      </c>
      <c r="L14" s="3">
        <f t="shared" si="6"/>
        <v>1</v>
      </c>
      <c r="M14" s="3">
        <f t="shared" si="7"/>
        <v>0</v>
      </c>
    </row>
    <row r="15" ht="15.0" customHeight="1">
      <c r="A15" s="3">
        <f>IF(Equips_usuari!A15="","",Equips_usuari!A15)</f>
        <v>1</v>
      </c>
      <c r="B15" s="3" t="str">
        <f>IF(Equips_usuari!B15="","",Equips_usuari!B15)</f>
        <v>U17+SFB</v>
      </c>
      <c r="C15" s="3" t="str">
        <f>IF(Equips_usuari!C15="","",Equips_usuari!C15)</f>
        <v>Júlia Arcos</v>
      </c>
      <c r="D15" s="3" t="str">
        <f>IF(Equips_usuari!D15="","",Equips_usuari!D15)</f>
        <v>U18</v>
      </c>
      <c r="E15" s="3" t="str">
        <f>IF(Equips_usuari!F15="","",Equips_usuari!F15)</f>
        <v>NO</v>
      </c>
      <c r="F15" s="3">
        <f>IF($C15="","",SUMIFS(Resultats_jugadores!$C:$C,Resultats_jugadores!$A:$A,$A15,Resultats_jugadores!$B:$B,$C15))</f>
        <v>8</v>
      </c>
      <c r="G15" s="3">
        <f>IF($C15="","",SUMIFS(Resultats_jugadores!$D:$D,Resultats_jugadores!$A:$A,$A15,Resultats_jugadores!$B:$B,$C15))</f>
        <v>2</v>
      </c>
      <c r="H15" s="3">
        <f t="shared" si="3"/>
        <v>6</v>
      </c>
      <c r="I15" s="3" t="str">
        <f t="array" ref="I15">IF($C15="","",IFERROR(INDEX(Partits!$C:$C,MATCH($A15&amp;"_"&amp;$D15,Partits!$D:$D,0)),""))</f>
        <v>V</v>
      </c>
      <c r="J15" s="3">
        <f t="shared" si="4"/>
        <v>1.2</v>
      </c>
      <c r="K15" s="3">
        <f t="shared" si="5"/>
        <v>7.2</v>
      </c>
      <c r="L15" s="3">
        <f t="shared" si="6"/>
        <v>1</v>
      </c>
      <c r="M15" s="3">
        <f t="shared" si="7"/>
        <v>7.2</v>
      </c>
    </row>
    <row r="16" ht="15.0" customHeight="1">
      <c r="A16" s="3">
        <f>IF(Equips_usuari!A16="","",Equips_usuari!A16)</f>
        <v>1</v>
      </c>
      <c r="B16" s="3" t="str">
        <f>IF(Equips_usuari!B16="","",Equips_usuari!B16)</f>
        <v>U17+SFB</v>
      </c>
      <c r="C16" s="3" t="str">
        <f>IF(Equips_usuari!C16="","",Equips_usuari!C16)</f>
        <v>Abril Pérez</v>
      </c>
      <c r="D16" s="3" t="str">
        <f>IF(Equips_usuari!D16="","",Equips_usuari!D16)</f>
        <v>U15</v>
      </c>
      <c r="E16" s="3" t="str">
        <f>IF(Equips_usuari!F16="","",Equips_usuari!F16)</f>
        <v>NO</v>
      </c>
      <c r="F16" s="3">
        <f>IF($C16="","",SUMIFS(Resultats_jugadores!$C:$C,Resultats_jugadores!$A:$A,$A16,Resultats_jugadores!$B:$B,$C16))</f>
        <v>0</v>
      </c>
      <c r="G16" s="3">
        <f>IF($C16="","",SUMIFS(Resultats_jugadores!$D:$D,Resultats_jugadores!$A:$A,$A16,Resultats_jugadores!$B:$B,$C16))</f>
        <v>0</v>
      </c>
      <c r="H16" s="3">
        <f t="shared" si="3"/>
        <v>0</v>
      </c>
      <c r="I16" s="3" t="str">
        <f t="array" ref="I16">IF($C16="","",IFERROR(INDEX(Partits!$C:$C,MATCH($A16&amp;"_"&amp;$D16,Partits!$D:$D,0)),""))</f>
        <v>V</v>
      </c>
      <c r="J16" s="3">
        <f t="shared" si="4"/>
        <v>1</v>
      </c>
      <c r="K16" s="3">
        <f t="shared" si="5"/>
        <v>0</v>
      </c>
      <c r="L16" s="3">
        <f t="shared" si="6"/>
        <v>1</v>
      </c>
      <c r="M16" s="3">
        <f t="shared" si="7"/>
        <v>0</v>
      </c>
    </row>
    <row r="17" ht="15.0" customHeight="1">
      <c r="A17" s="3">
        <f>IF(Equips_usuari!A17="","",Equips_usuari!A17)</f>
        <v>1</v>
      </c>
      <c r="B17" s="3" t="str">
        <f>IF(Equips_usuari!B17="","",Equips_usuari!B17)</f>
        <v>U17+SFB</v>
      </c>
      <c r="C17" s="3" t="str">
        <f>IF(Equips_usuari!C17="","",Equips_usuari!C17)</f>
        <v>Aina Torras</v>
      </c>
      <c r="D17" s="3" t="str">
        <f>IF(Equips_usuari!D17="","",Equips_usuari!D17)</f>
        <v>U13</v>
      </c>
      <c r="E17" s="3" t="str">
        <f>IF(Equips_usuari!F17="","",Equips_usuari!F17)</f>
        <v>NO</v>
      </c>
      <c r="F17" s="3">
        <f>IF($C17="","",SUMIFS(Resultats_jugadores!$C:$C,Resultats_jugadores!$A:$A,$A17,Resultats_jugadores!$B:$B,$C17))</f>
        <v>2</v>
      </c>
      <c r="G17" s="3">
        <f>IF($C17="","",SUMIFS(Resultats_jugadores!$D:$D,Resultats_jugadores!$A:$A,$A17,Resultats_jugadores!$B:$B,$C17))</f>
        <v>1</v>
      </c>
      <c r="H17" s="3">
        <f t="shared" si="3"/>
        <v>1</v>
      </c>
      <c r="I17" s="3" t="str">
        <f t="array" ref="I17">IF($C17="","",IFERROR(INDEX(Partits!$C:$C,MATCH($A17&amp;"_"&amp;$D17,Partits!$D:$D,0)),""))</f>
        <v>V</v>
      </c>
      <c r="J17" s="3">
        <f t="shared" si="4"/>
        <v>1.2</v>
      </c>
      <c r="K17" s="3">
        <f t="shared" si="5"/>
        <v>1.2</v>
      </c>
      <c r="L17" s="3">
        <f t="shared" si="6"/>
        <v>1</v>
      </c>
      <c r="M17" s="3">
        <f t="shared" si="7"/>
        <v>1.2</v>
      </c>
    </row>
    <row r="18" ht="15.0" customHeight="1">
      <c r="A18" s="3">
        <f>IF(Equips_usuari!A18="","",Equips_usuari!A18)</f>
        <v>1</v>
      </c>
      <c r="B18" s="3" t="str">
        <f>IF(Equips_usuari!B18="","",Equips_usuari!B18)</f>
        <v>U17+SFB</v>
      </c>
      <c r="C18" s="3" t="str">
        <f>IF(Equips_usuari!C18="","",Equips_usuari!C18)</f>
        <v>Laia Muncunill</v>
      </c>
      <c r="D18" s="3" t="str">
        <f>IF(Equips_usuari!D18="","",Equips_usuari!D18)</f>
        <v>U16</v>
      </c>
      <c r="E18" s="3" t="str">
        <f>IF(Equips_usuari!F18="","",Equips_usuari!F18)</f>
        <v>NO</v>
      </c>
      <c r="F18" s="3">
        <f>IF($C18="","",SUMIFS(Resultats_jugadores!$C:$C,Resultats_jugadores!$A:$A,$A18,Resultats_jugadores!$B:$B,$C18))</f>
        <v>0</v>
      </c>
      <c r="G18" s="3">
        <f>IF($C18="","",SUMIFS(Resultats_jugadores!$D:$D,Resultats_jugadores!$A:$A,$A18,Resultats_jugadores!$B:$B,$C18))</f>
        <v>0</v>
      </c>
      <c r="H18" s="3">
        <f t="shared" si="3"/>
        <v>0</v>
      </c>
      <c r="I18" s="3" t="str">
        <f t="array" ref="I18">IF($C18="","",IFERROR(INDEX(Partits!$C:$C,MATCH($A18&amp;"_"&amp;$D18,Partits!$D:$D,0)),""))</f>
        <v>V</v>
      </c>
      <c r="J18" s="3">
        <f t="shared" si="4"/>
        <v>1</v>
      </c>
      <c r="K18" s="3">
        <f t="shared" si="5"/>
        <v>0</v>
      </c>
      <c r="L18" s="3">
        <f t="shared" si="6"/>
        <v>1</v>
      </c>
      <c r="M18" s="3">
        <f t="shared" si="7"/>
        <v>0</v>
      </c>
    </row>
    <row r="19" ht="15.0" customHeight="1">
      <c r="A19" s="3">
        <f>IF(Equips_usuari!A19="","",Equips_usuari!A19)</f>
        <v>1</v>
      </c>
      <c r="B19" s="3" t="str">
        <f>IF(Equips_usuari!B19="","",Equips_usuari!B19)</f>
        <v>U17+SFB</v>
      </c>
      <c r="C19" s="3" t="str">
        <f>IF(Equips_usuari!C19="","",Equips_usuari!C19)</f>
        <v>Mbakourou Dembele</v>
      </c>
      <c r="D19" s="3" t="str">
        <f>IF(Equips_usuari!D19="","",Equips_usuari!D19)</f>
        <v>U18</v>
      </c>
      <c r="E19" s="3" t="str">
        <f>IF(Equips_usuari!F19="","",Equips_usuari!F19)</f>
        <v>NO</v>
      </c>
      <c r="F19" s="3">
        <f>IF($C19="","",SUMIFS(Resultats_jugadores!$C:$C,Resultats_jugadores!$A:$A,$A19,Resultats_jugadores!$B:$B,$C19))</f>
        <v>7</v>
      </c>
      <c r="G19" s="3">
        <f>IF($C19="","",SUMIFS(Resultats_jugadores!$D:$D,Resultats_jugadores!$A:$A,$A19,Resultats_jugadores!$B:$B,$C19))</f>
        <v>3</v>
      </c>
      <c r="H19" s="3">
        <f t="shared" si="3"/>
        <v>4</v>
      </c>
      <c r="I19" s="3" t="str">
        <f t="array" ref="I19">IF($C19="","",IFERROR(INDEX(Partits!$C:$C,MATCH($A19&amp;"_"&amp;$D19,Partits!$D:$D,0)),""))</f>
        <v>V</v>
      </c>
      <c r="J19" s="3">
        <f t="shared" si="4"/>
        <v>1.2</v>
      </c>
      <c r="K19" s="3">
        <f t="shared" si="5"/>
        <v>4.8</v>
      </c>
      <c r="L19" s="3">
        <f t="shared" si="6"/>
        <v>1</v>
      </c>
      <c r="M19" s="3">
        <f t="shared" si="7"/>
        <v>4.8</v>
      </c>
    </row>
    <row r="20" ht="15.0" customHeight="1">
      <c r="A20" s="3">
        <f>IF(Equips_usuari!A2="","",Equips_usuari!A2)</f>
        <v>1</v>
      </c>
      <c r="B20" s="3" t="str">
        <f>IF(Equips_usuari!B2="","",Equips_usuari!B2)</f>
        <v>U15</v>
      </c>
      <c r="C20" s="3" t="str">
        <f>IF(Equips_usuari!C2="","",Equips_usuari!C2)</f>
        <v>Marina Melero</v>
      </c>
      <c r="D20" s="3" t="str">
        <f>IF(Equips_usuari!D2="","",Equips_usuari!D2)</f>
        <v>LF2</v>
      </c>
      <c r="E20" s="3" t="str">
        <f>IF(Equips_usuari!F2="","",Equips_usuari!F2)</f>
        <v>NO</v>
      </c>
      <c r="F20" s="3">
        <f>IF($C20="","",SUMIFS(Resultats_jugadores!$C:$C,Resultats_jugadores!$A:$A,$A20,Resultats_jugadores!$B:$B,$C20))</f>
        <v>16</v>
      </c>
      <c r="G20" s="3">
        <f>IF($C20="","",SUMIFS(Resultats_jugadores!$D:$D,Resultats_jugadores!$A:$A,$A20,Resultats_jugadores!$B:$B,$C20))</f>
        <v>3</v>
      </c>
      <c r="H20" s="3">
        <f t="shared" si="3"/>
        <v>13</v>
      </c>
      <c r="I20" s="3" t="str">
        <f t="array" ref="I20">IF($C20="","",IFERROR(INDEX(Partits!$C:$C,MATCH($A20&amp;"_"&amp;$D20,Partits!$D:$D,0)),""))</f>
        <v>V</v>
      </c>
      <c r="J20" s="3">
        <f t="shared" si="4"/>
        <v>1.2</v>
      </c>
      <c r="K20" s="3">
        <f t="shared" si="5"/>
        <v>15.6</v>
      </c>
      <c r="L20" s="3">
        <f t="shared" si="6"/>
        <v>1</v>
      </c>
      <c r="M20" s="3">
        <f t="shared" si="7"/>
        <v>15.6</v>
      </c>
    </row>
    <row r="21" ht="15.0" customHeight="1">
      <c r="A21" s="3">
        <f>IF(Equips_usuari!A3="","",Equips_usuari!A3)</f>
        <v>1</v>
      </c>
      <c r="B21" s="3" t="str">
        <f>IF(Equips_usuari!B3="","",Equips_usuari!B3)</f>
        <v>U15</v>
      </c>
      <c r="C21" s="3" t="str">
        <f>IF(Equips_usuari!C3="","",Equips_usuari!C3)</f>
        <v>Martina Agramunt</v>
      </c>
      <c r="D21" s="3" t="str">
        <f>IF(Equips_usuari!D3="","",Equips_usuari!D3)</f>
        <v>U13</v>
      </c>
      <c r="E21" s="3" t="str">
        <f>IF(Equips_usuari!F3="","",Equips_usuari!F3)</f>
        <v>NO</v>
      </c>
      <c r="F21" s="3">
        <f>IF($C21="","",SUMIFS(Resultats_jugadores!$C:$C,Resultats_jugadores!$A:$A,$A21,Resultats_jugadores!$B:$B,$C21))</f>
        <v>16</v>
      </c>
      <c r="G21" s="3">
        <f>IF($C21="","",SUMIFS(Resultats_jugadores!$D:$D,Resultats_jugadores!$A:$A,$A21,Resultats_jugadores!$B:$B,$C21))</f>
        <v>1</v>
      </c>
      <c r="H21" s="3">
        <f t="shared" si="3"/>
        <v>15</v>
      </c>
      <c r="I21" s="3" t="str">
        <f t="array" ref="I21">IF($C21="","",IFERROR(INDEX(Partits!$C:$C,MATCH($A21&amp;"_"&amp;$D21,Partits!$D:$D,0)),""))</f>
        <v>V</v>
      </c>
      <c r="J21" s="3">
        <f t="shared" si="4"/>
        <v>1.2</v>
      </c>
      <c r="K21" s="3">
        <f t="shared" si="5"/>
        <v>18</v>
      </c>
      <c r="L21" s="3">
        <f t="shared" si="6"/>
        <v>1</v>
      </c>
      <c r="M21" s="3">
        <f t="shared" si="7"/>
        <v>18</v>
      </c>
    </row>
    <row r="22" ht="15.0" customHeight="1">
      <c r="A22" s="3">
        <f>IF(Equips_usuari!A4="","",Equips_usuari!A4)</f>
        <v>1</v>
      </c>
      <c r="B22" s="3" t="str">
        <f>IF(Equips_usuari!B4="","",Equips_usuari!B4)</f>
        <v>U15</v>
      </c>
      <c r="C22" s="3" t="str">
        <f>IF(Equips_usuari!C4="","",Equips_usuari!C4)</f>
        <v>Kourafy Dembele</v>
      </c>
      <c r="D22" s="3" t="str">
        <f>IF(Equips_usuari!D4="","",Equips_usuari!D4)</f>
        <v>U18</v>
      </c>
      <c r="E22" s="3" t="str">
        <f>IF(Equips_usuari!F4="","",Equips_usuari!F4)</f>
        <v>NO</v>
      </c>
      <c r="F22" s="3">
        <f>IF($C22="","",SUMIFS(Resultats_jugadores!$C:$C,Resultats_jugadores!$A:$A,$A22,Resultats_jugadores!$B:$B,$C22))</f>
        <v>10</v>
      </c>
      <c r="G22" s="3">
        <f>IF($C22="","",SUMIFS(Resultats_jugadores!$D:$D,Resultats_jugadores!$A:$A,$A22,Resultats_jugadores!$B:$B,$C22))</f>
        <v>2</v>
      </c>
      <c r="H22" s="3">
        <f t="shared" si="3"/>
        <v>8</v>
      </c>
      <c r="I22" s="3" t="str">
        <f t="array" ref="I22">IF($C22="","",IFERROR(INDEX(Partits!$C:$C,MATCH($A22&amp;"_"&amp;$D22,Partits!$D:$D,0)),""))</f>
        <v>V</v>
      </c>
      <c r="J22" s="3">
        <f t="shared" si="4"/>
        <v>1.2</v>
      </c>
      <c r="K22" s="3">
        <f t="shared" si="5"/>
        <v>9.6</v>
      </c>
      <c r="L22" s="3">
        <f t="shared" si="6"/>
        <v>1</v>
      </c>
      <c r="M22" s="3">
        <f t="shared" si="7"/>
        <v>9.6</v>
      </c>
    </row>
    <row r="23" ht="15.0" customHeight="1">
      <c r="A23" s="3">
        <f>IF(Equips_usuari!A5="","",Equips_usuari!A5)</f>
        <v>1</v>
      </c>
      <c r="B23" s="3" t="str">
        <f>IF(Equips_usuari!B5="","",Equips_usuari!B5)</f>
        <v>U15</v>
      </c>
      <c r="C23" s="3" t="str">
        <f>IF(Equips_usuari!C5="","",Equips_usuari!C5)</f>
        <v>Clàudia Barcons</v>
      </c>
      <c r="D23" s="3" t="str">
        <f>IF(Equips_usuari!D5="","",Equips_usuari!D5)</f>
        <v>U13</v>
      </c>
      <c r="E23" s="3" t="str">
        <f>IF(Equips_usuari!F5="","",Equips_usuari!F5)</f>
        <v>NO</v>
      </c>
      <c r="F23" s="3">
        <f>IF($C23="","",SUMIFS(Resultats_jugadores!$C:$C,Resultats_jugadores!$A:$A,$A23,Resultats_jugadores!$B:$B,$C23))</f>
        <v>5</v>
      </c>
      <c r="G23" s="3">
        <f>IF($C23="","",SUMIFS(Resultats_jugadores!$D:$D,Resultats_jugadores!$A:$A,$A23,Resultats_jugadores!$B:$B,$C23))</f>
        <v>4</v>
      </c>
      <c r="H23" s="3">
        <f t="shared" si="3"/>
        <v>1</v>
      </c>
      <c r="I23" s="3" t="str">
        <f t="array" ref="I23">IF($C23="","",IFERROR(INDEX(Partits!$C:$C,MATCH($A23&amp;"_"&amp;$D23,Partits!$D:$D,0)),""))</f>
        <v>V</v>
      </c>
      <c r="J23" s="3">
        <f t="shared" si="4"/>
        <v>1.2</v>
      </c>
      <c r="K23" s="3">
        <f t="shared" si="5"/>
        <v>1.2</v>
      </c>
      <c r="L23" s="3">
        <f t="shared" si="6"/>
        <v>1</v>
      </c>
      <c r="M23" s="3">
        <f t="shared" si="7"/>
        <v>1.2</v>
      </c>
    </row>
    <row r="24" ht="15.0" customHeight="1">
      <c r="A24" s="3">
        <f>IF(Equips_usuari!A6="","",Equips_usuari!A6)</f>
        <v>1</v>
      </c>
      <c r="B24" s="3" t="str">
        <f>IF(Equips_usuari!B6="","",Equips_usuari!B6)</f>
        <v>U15</v>
      </c>
      <c r="C24" s="3" t="str">
        <f>IF(Equips_usuari!C6="","",Equips_usuari!C6)</f>
        <v>Eulàlia Mayor</v>
      </c>
      <c r="D24" s="3" t="str">
        <f>IF(Equips_usuari!D6="","",Equips_usuari!D6)</f>
        <v>U16</v>
      </c>
      <c r="E24" s="3" t="str">
        <f>IF(Equips_usuari!F6="","",Equips_usuari!F6)</f>
        <v>NO</v>
      </c>
      <c r="F24" s="3">
        <f>IF($C24="","",SUMIFS(Resultats_jugadores!$C:$C,Resultats_jugadores!$A:$A,$A24,Resultats_jugadores!$B:$B,$C24))</f>
        <v>0</v>
      </c>
      <c r="G24" s="3">
        <f>IF($C24="","",SUMIFS(Resultats_jugadores!$D:$D,Resultats_jugadores!$A:$A,$A24,Resultats_jugadores!$B:$B,$C24))</f>
        <v>0</v>
      </c>
      <c r="H24" s="3">
        <f t="shared" si="3"/>
        <v>0</v>
      </c>
      <c r="I24" s="3" t="str">
        <f t="array" ref="I24">IF($C24="","",IFERROR(INDEX(Partits!$C:$C,MATCH($A24&amp;"_"&amp;$D24,Partits!$D:$D,0)),""))</f>
        <v>V</v>
      </c>
      <c r="J24" s="3">
        <f t="shared" si="4"/>
        <v>1</v>
      </c>
      <c r="K24" s="3">
        <f t="shared" si="5"/>
        <v>0</v>
      </c>
      <c r="L24" s="3">
        <f t="shared" si="6"/>
        <v>1</v>
      </c>
      <c r="M24" s="3">
        <f t="shared" si="7"/>
        <v>0</v>
      </c>
    </row>
    <row r="25" ht="15.0" customHeight="1">
      <c r="A25" s="3">
        <f>IF(Equips_usuari!A7="","",Equips_usuari!A7)</f>
        <v>1</v>
      </c>
      <c r="B25" s="3" t="str">
        <f>IF(Equips_usuari!B7="","",Equips_usuari!B7)</f>
        <v>U15</v>
      </c>
      <c r="C25" s="3" t="str">
        <f>IF(Equips_usuari!C7="","",Equips_usuari!C7)</f>
        <v>Xènia Fígols</v>
      </c>
      <c r="D25" s="3" t="str">
        <f>IF(Equips_usuari!D7="","",Equips_usuari!D7)</f>
        <v>U18</v>
      </c>
      <c r="E25" s="3" t="str">
        <f>IF(Equips_usuari!F7="","",Equips_usuari!F7)</f>
        <v>NO</v>
      </c>
      <c r="F25" s="3">
        <f>IF($C25="","",SUMIFS(Resultats_jugadores!$C:$C,Resultats_jugadores!$A:$A,$A25,Resultats_jugadores!$B:$B,$C25))</f>
        <v>24</v>
      </c>
      <c r="G25" s="3">
        <f>IF($C25="","",SUMIFS(Resultats_jugadores!$D:$D,Resultats_jugadores!$A:$A,$A25,Resultats_jugadores!$B:$B,$C25))</f>
        <v>2</v>
      </c>
      <c r="H25" s="3">
        <f t="shared" si="3"/>
        <v>22</v>
      </c>
      <c r="I25" s="3" t="str">
        <f t="array" ref="I25">IF($C25="","",IFERROR(INDEX(Partits!$C:$C,MATCH($A25&amp;"_"&amp;$D25,Partits!$D:$D,0)),""))</f>
        <v>V</v>
      </c>
      <c r="J25" s="3">
        <f t="shared" si="4"/>
        <v>1.2</v>
      </c>
      <c r="K25" s="3">
        <f t="shared" si="5"/>
        <v>26.4</v>
      </c>
      <c r="L25" s="3">
        <f t="shared" si="6"/>
        <v>1</v>
      </c>
      <c r="M25" s="3">
        <f t="shared" si="7"/>
        <v>26.4</v>
      </c>
    </row>
    <row r="26" ht="15.0" customHeight="1">
      <c r="A26" s="3">
        <f>IF(Equips_usuari!A8="","",Equips_usuari!A8)</f>
        <v>1</v>
      </c>
      <c r="B26" s="3" t="str">
        <f>IF(Equips_usuari!B8="","",Equips_usuari!B8)</f>
        <v>U15</v>
      </c>
      <c r="C26" s="3" t="str">
        <f>IF(Equips_usuari!C8="","",Equips_usuari!C8)</f>
        <v>Aina Torras</v>
      </c>
      <c r="D26" s="3" t="str">
        <f>IF(Equips_usuari!D8="","",Equips_usuari!D8)</f>
        <v>U13</v>
      </c>
      <c r="E26" s="3" t="str">
        <f>IF(Equips_usuari!F8="","",Equips_usuari!F8)</f>
        <v>SI</v>
      </c>
      <c r="F26" s="3">
        <f>IF($C26="","",SUMIFS(Resultats_jugadores!$C:$C,Resultats_jugadores!$A:$A,$A26,Resultats_jugadores!$B:$B,$C26))</f>
        <v>2</v>
      </c>
      <c r="G26" s="3">
        <f>IF($C26="","",SUMIFS(Resultats_jugadores!$D:$D,Resultats_jugadores!$A:$A,$A26,Resultats_jugadores!$B:$B,$C26))</f>
        <v>1</v>
      </c>
      <c r="H26" s="3">
        <f t="shared" si="3"/>
        <v>1</v>
      </c>
      <c r="I26" s="3" t="str">
        <f t="array" ref="I26">IF($C26="","",IFERROR(INDEX(Partits!$C:$C,MATCH($A26&amp;"_"&amp;$D26,Partits!$D:$D,0)),""))</f>
        <v>V</v>
      </c>
      <c r="J26" s="3">
        <f t="shared" si="4"/>
        <v>1.2</v>
      </c>
      <c r="K26" s="3">
        <f t="shared" si="5"/>
        <v>1.2</v>
      </c>
      <c r="L26" s="3">
        <f t="shared" si="6"/>
        <v>2</v>
      </c>
      <c r="M26" s="3">
        <f t="shared" si="7"/>
        <v>2.4</v>
      </c>
    </row>
    <row r="27" ht="15.0" customHeight="1">
      <c r="A27" s="3">
        <f>IF(Equips_usuari!A9="","",Equips_usuari!A9)</f>
        <v>1</v>
      </c>
      <c r="B27" s="3" t="str">
        <f>IF(Equips_usuari!B9="","",Equips_usuari!B9)</f>
        <v>U15</v>
      </c>
      <c r="C27" s="3" t="str">
        <f>IF(Equips_usuari!C9="","",Equips_usuari!C9)</f>
        <v>Leyre Castelló</v>
      </c>
      <c r="D27" s="3" t="str">
        <f>IF(Equips_usuari!D9="","",Equips_usuari!D9)</f>
        <v>U15</v>
      </c>
      <c r="E27" s="3" t="str">
        <f>IF(Equips_usuari!F9="","",Equips_usuari!F9)</f>
        <v>NO</v>
      </c>
      <c r="F27" s="3">
        <f>IF($C27="","",SUMIFS(Resultats_jugadores!$C:$C,Resultats_jugadores!$A:$A,$A27,Resultats_jugadores!$B:$B,$C27))</f>
        <v>0</v>
      </c>
      <c r="G27" s="3">
        <f>IF($C27="","",SUMIFS(Resultats_jugadores!$D:$D,Resultats_jugadores!$A:$A,$A27,Resultats_jugadores!$B:$B,$C27))</f>
        <v>0</v>
      </c>
      <c r="H27" s="3">
        <f t="shared" si="3"/>
        <v>0</v>
      </c>
      <c r="I27" s="3" t="str">
        <f t="array" ref="I27">IF($C27="","",IFERROR(INDEX(Partits!$C:$C,MATCH($A27&amp;"_"&amp;$D27,Partits!$D:$D,0)),""))</f>
        <v>V</v>
      </c>
      <c r="J27" s="3">
        <f t="shared" si="4"/>
        <v>1</v>
      </c>
      <c r="K27" s="3">
        <f t="shared" si="5"/>
        <v>0</v>
      </c>
      <c r="L27" s="3">
        <f t="shared" si="6"/>
        <v>1</v>
      </c>
      <c r="M27" s="3">
        <f t="shared" si="7"/>
        <v>0</v>
      </c>
    </row>
    <row r="28" ht="15.0" customHeight="1">
      <c r="A28" s="3">
        <f>IF(Equips_usuari!A10="","",Equips_usuari!A10)</f>
        <v>1</v>
      </c>
      <c r="B28" s="3" t="str">
        <f>IF(Equips_usuari!B10="","",Equips_usuari!B10)</f>
        <v>U15</v>
      </c>
      <c r="C28" s="3" t="str">
        <f>IF(Equips_usuari!C10="","",Equips_usuari!C10)</f>
        <v>Laia Muncunill</v>
      </c>
      <c r="D28" s="3" t="str">
        <f>IF(Equips_usuari!D10="","",Equips_usuari!D10)</f>
        <v>U17</v>
      </c>
      <c r="E28" s="3" t="str">
        <f>IF(Equips_usuari!F10="","",Equips_usuari!F10)</f>
        <v>NO</v>
      </c>
      <c r="F28" s="3">
        <f>IF($C28="","",SUMIFS(Resultats_jugadores!$C:$C,Resultats_jugadores!$A:$A,$A28,Resultats_jugadores!$B:$B,$C28))</f>
        <v>0</v>
      </c>
      <c r="G28" s="3">
        <f>IF($C28="","",SUMIFS(Resultats_jugadores!$D:$D,Resultats_jugadores!$A:$A,$A28,Resultats_jugadores!$B:$B,$C28))</f>
        <v>0</v>
      </c>
      <c r="H28" s="3">
        <f t="shared" si="3"/>
        <v>0</v>
      </c>
      <c r="I28" s="3" t="str">
        <f t="array" ref="I28">IF($C28="","",IFERROR(INDEX(Partits!$C:$C,MATCH($A28&amp;"_"&amp;$D28,Partits!$D:$D,0)),""))</f>
        <v>V</v>
      </c>
      <c r="J28" s="3">
        <f t="shared" si="4"/>
        <v>1</v>
      </c>
      <c r="K28" s="3">
        <f t="shared" si="5"/>
        <v>0</v>
      </c>
      <c r="L28" s="3">
        <f t="shared" si="6"/>
        <v>1</v>
      </c>
      <c r="M28" s="3">
        <f t="shared" si="7"/>
        <v>0</v>
      </c>
    </row>
    <row r="29" ht="15.0" customHeight="1">
      <c r="A29" s="3">
        <f>IF(Equips_usuari!A29="","",Equips_usuari!A29)</f>
        <v>1</v>
      </c>
      <c r="B29" s="3" t="str">
        <f>IF(Equips_usuari!B29="","",Equips_usuari!B29)</f>
        <v>U14</v>
      </c>
      <c r="C29" s="3" t="str">
        <f>IF(Equips_usuari!C29="","",Equips_usuari!C29)</f>
        <v>Marina Melero</v>
      </c>
      <c r="D29" s="3" t="str">
        <f>IF(Equips_usuari!D29="","",Equips_usuari!D29)</f>
        <v>LF2</v>
      </c>
      <c r="E29" s="3" t="str">
        <f>IF(Equips_usuari!F29="","",Equips_usuari!F29)</f>
        <v>SI</v>
      </c>
      <c r="F29" s="3">
        <f>IF($C29="","",SUMIFS(Resultats_jugadores!$C:$C,Resultats_jugadores!$A:$A,$A29,Resultats_jugadores!$B:$B,$C29))</f>
        <v>16</v>
      </c>
      <c r="G29" s="3">
        <f>IF($C29="","",SUMIFS(Resultats_jugadores!$D:$D,Resultats_jugadores!$A:$A,$A29,Resultats_jugadores!$B:$B,$C29))</f>
        <v>3</v>
      </c>
      <c r="H29" s="3">
        <f t="shared" si="3"/>
        <v>13</v>
      </c>
      <c r="I29" s="3" t="str">
        <f t="array" ref="I29">IF($C29="","",IFERROR(INDEX(Partits!$C:$C,MATCH($A29&amp;"_"&amp;$D29,Partits!$D:$D,0)),""))</f>
        <v>V</v>
      </c>
      <c r="J29" s="3">
        <f t="shared" si="4"/>
        <v>1.2</v>
      </c>
      <c r="K29" s="3">
        <f t="shared" si="5"/>
        <v>15.6</v>
      </c>
      <c r="L29" s="3">
        <f t="shared" si="6"/>
        <v>2</v>
      </c>
      <c r="M29" s="3">
        <f t="shared" si="7"/>
        <v>31.2</v>
      </c>
    </row>
    <row r="30" ht="15.0" customHeight="1">
      <c r="A30" s="3">
        <f>IF(Equips_usuari!A30="","",Equips_usuari!A30)</f>
        <v>1</v>
      </c>
      <c r="B30" s="3" t="str">
        <f>IF(Equips_usuari!B30="","",Equips_usuari!B30)</f>
        <v>U14</v>
      </c>
      <c r="C30" s="3" t="str">
        <f>IF(Equips_usuari!C30="","",Equips_usuari!C30)</f>
        <v>Martina Agramunt</v>
      </c>
      <c r="D30" s="3" t="str">
        <f>IF(Equips_usuari!D30="","",Equips_usuari!D30)</f>
        <v>U13</v>
      </c>
      <c r="E30" s="3" t="str">
        <f>IF(Equips_usuari!F30="","",Equips_usuari!F30)</f>
        <v>NO</v>
      </c>
      <c r="F30" s="3">
        <f>IF($C30="","",SUMIFS(Resultats_jugadores!$C:$C,Resultats_jugadores!$A:$A,$A30,Resultats_jugadores!$B:$B,$C30))</f>
        <v>16</v>
      </c>
      <c r="G30" s="3">
        <f>IF($C30="","",SUMIFS(Resultats_jugadores!$D:$D,Resultats_jugadores!$A:$A,$A30,Resultats_jugadores!$B:$B,$C30))</f>
        <v>1</v>
      </c>
      <c r="H30" s="3">
        <f t="shared" si="3"/>
        <v>15</v>
      </c>
      <c r="I30" s="3" t="str">
        <f t="array" ref="I30">IF($C30="","",IFERROR(INDEX(Partits!$C:$C,MATCH($A30&amp;"_"&amp;$D30,Partits!$D:$D,0)),""))</f>
        <v>V</v>
      </c>
      <c r="J30" s="3">
        <f t="shared" si="4"/>
        <v>1.2</v>
      </c>
      <c r="K30" s="3">
        <f t="shared" si="5"/>
        <v>18</v>
      </c>
      <c r="L30" s="3">
        <f t="shared" si="6"/>
        <v>1</v>
      </c>
      <c r="M30" s="3">
        <f t="shared" si="7"/>
        <v>18</v>
      </c>
    </row>
    <row r="31" ht="15.0" customHeight="1">
      <c r="A31" s="3">
        <f>IF(Equips_usuari!A31="","",Equips_usuari!A31)</f>
        <v>1</v>
      </c>
      <c r="B31" s="3" t="str">
        <f>IF(Equips_usuari!B31="","",Equips_usuari!B31)</f>
        <v>U14</v>
      </c>
      <c r="C31" s="3" t="str">
        <f>IF(Equips_usuari!C31="","",Equips_usuari!C31)</f>
        <v>Nina Clotet</v>
      </c>
      <c r="D31" s="3" t="str">
        <f>IF(Equips_usuari!D31="","",Equips_usuari!D31)</f>
        <v>U17</v>
      </c>
      <c r="E31" s="3" t="str">
        <f>IF(Equips_usuari!F31="","",Equips_usuari!F31)</f>
        <v>NO</v>
      </c>
      <c r="F31" s="3">
        <f>IF($C31="","",SUMIFS(Resultats_jugadores!$C:$C,Resultats_jugadores!$A:$A,$A31,Resultats_jugadores!$B:$B,$C31))</f>
        <v>0</v>
      </c>
      <c r="G31" s="3">
        <f>IF($C31="","",SUMIFS(Resultats_jugadores!$D:$D,Resultats_jugadores!$A:$A,$A31,Resultats_jugadores!$B:$B,$C31))</f>
        <v>0</v>
      </c>
      <c r="H31" s="3">
        <f t="shared" si="3"/>
        <v>0</v>
      </c>
      <c r="I31" s="3" t="str">
        <f t="array" ref="I31">IF($C31="","",IFERROR(INDEX(Partits!$C:$C,MATCH($A31&amp;"_"&amp;$D31,Partits!$D:$D,0)),""))</f>
        <v>V</v>
      </c>
      <c r="J31" s="3">
        <f t="shared" si="4"/>
        <v>1</v>
      </c>
      <c r="K31" s="3">
        <f t="shared" si="5"/>
        <v>0</v>
      </c>
      <c r="L31" s="3">
        <f t="shared" si="6"/>
        <v>1</v>
      </c>
      <c r="M31" s="3">
        <f t="shared" si="7"/>
        <v>0</v>
      </c>
    </row>
    <row r="32" ht="15.0" customHeight="1">
      <c r="A32" s="3">
        <f>IF(Equips_usuari!A32="","",Equips_usuari!A32)</f>
        <v>1</v>
      </c>
      <c r="B32" s="3" t="str">
        <f>IF(Equips_usuari!B32="","",Equips_usuari!B32)</f>
        <v>U14</v>
      </c>
      <c r="C32" s="3" t="str">
        <f>IF(Equips_usuari!C32="","",Equips_usuari!C32)</f>
        <v>Clàudia Fernández</v>
      </c>
      <c r="D32" s="3" t="str">
        <f>IF(Equips_usuari!D32="","",Equips_usuari!D32)</f>
        <v>U17</v>
      </c>
      <c r="E32" s="3" t="str">
        <f>IF(Equips_usuari!F32="","",Equips_usuari!F32)</f>
        <v>NO</v>
      </c>
      <c r="F32" s="3">
        <f>IF($C32="","",SUMIFS(Resultats_jugadores!$C:$C,Resultats_jugadores!$A:$A,$A32,Resultats_jugadores!$B:$B,$C32))</f>
        <v>0</v>
      </c>
      <c r="G32" s="3">
        <f>IF($C32="","",SUMIFS(Resultats_jugadores!$D:$D,Resultats_jugadores!$A:$A,$A32,Resultats_jugadores!$B:$B,$C32))</f>
        <v>0</v>
      </c>
      <c r="H32" s="3">
        <f t="shared" si="3"/>
        <v>0</v>
      </c>
      <c r="I32" s="3" t="str">
        <f t="array" ref="I32">IF($C32="","",IFERROR(INDEX(Partits!$C:$C,MATCH($A32&amp;"_"&amp;$D32,Partits!$D:$D,0)),""))</f>
        <v>V</v>
      </c>
      <c r="J32" s="3">
        <f t="shared" si="4"/>
        <v>1</v>
      </c>
      <c r="K32" s="3">
        <f t="shared" si="5"/>
        <v>0</v>
      </c>
      <c r="L32" s="3">
        <f t="shared" si="6"/>
        <v>1</v>
      </c>
      <c r="M32" s="3">
        <f t="shared" si="7"/>
        <v>0</v>
      </c>
    </row>
    <row r="33" ht="15.0" customHeight="1">
      <c r="A33" s="3">
        <f>IF(Equips_usuari!A33="","",Equips_usuari!A33)</f>
        <v>1</v>
      </c>
      <c r="B33" s="3" t="str">
        <f>IF(Equips_usuari!B33="","",Equips_usuari!B33)</f>
        <v>U14</v>
      </c>
      <c r="C33" s="3" t="str">
        <f>IF(Equips_usuari!C33="","",Equips_usuari!C33)</f>
        <v>Xènia Fígols</v>
      </c>
      <c r="D33" s="3" t="str">
        <f>IF(Equips_usuari!D33="","",Equips_usuari!D33)</f>
        <v>U18</v>
      </c>
      <c r="E33" s="3" t="str">
        <f>IF(Equips_usuari!F33="","",Equips_usuari!F33)</f>
        <v>NO</v>
      </c>
      <c r="F33" s="3">
        <f>IF($C33="","",SUMIFS(Resultats_jugadores!$C:$C,Resultats_jugadores!$A:$A,$A33,Resultats_jugadores!$B:$B,$C33))</f>
        <v>24</v>
      </c>
      <c r="G33" s="3">
        <f>IF($C33="","",SUMIFS(Resultats_jugadores!$D:$D,Resultats_jugadores!$A:$A,$A33,Resultats_jugadores!$B:$B,$C33))</f>
        <v>2</v>
      </c>
      <c r="H33" s="3">
        <f t="shared" si="3"/>
        <v>22</v>
      </c>
      <c r="I33" s="3" t="str">
        <f t="array" ref="I33">IF($C33="","",IFERROR(INDEX(Partits!$C:$C,MATCH($A33&amp;"_"&amp;$D33,Partits!$D:$D,0)),""))</f>
        <v>V</v>
      </c>
      <c r="J33" s="3">
        <f t="shared" si="4"/>
        <v>1.2</v>
      </c>
      <c r="K33" s="3">
        <f t="shared" si="5"/>
        <v>26.4</v>
      </c>
      <c r="L33" s="3">
        <f t="shared" si="6"/>
        <v>1</v>
      </c>
      <c r="M33" s="3">
        <f t="shared" si="7"/>
        <v>26.4</v>
      </c>
    </row>
    <row r="34" ht="15.0" customHeight="1">
      <c r="A34" s="3">
        <f>IF(Equips_usuari!A34="","",Equips_usuari!A34)</f>
        <v>1</v>
      </c>
      <c r="B34" s="3" t="str">
        <f>IF(Equips_usuari!B34="","",Equips_usuari!B34)</f>
        <v>U14</v>
      </c>
      <c r="C34" s="3" t="str">
        <f>IF(Equips_usuari!C34="","",Equips_usuari!C34)</f>
        <v>Júlia Arcos</v>
      </c>
      <c r="D34" s="3" t="str">
        <f>IF(Equips_usuari!D34="","",Equips_usuari!D34)</f>
        <v>U18</v>
      </c>
      <c r="E34" s="3" t="str">
        <f>IF(Equips_usuari!F34="","",Equips_usuari!F34)</f>
        <v>NO</v>
      </c>
      <c r="F34" s="3">
        <f>IF($C34="","",SUMIFS(Resultats_jugadores!$C:$C,Resultats_jugadores!$A:$A,$A34,Resultats_jugadores!$B:$B,$C34))</f>
        <v>8</v>
      </c>
      <c r="G34" s="3">
        <f>IF($C34="","",SUMIFS(Resultats_jugadores!$D:$D,Resultats_jugadores!$A:$A,$A34,Resultats_jugadores!$B:$B,$C34))</f>
        <v>2</v>
      </c>
      <c r="H34" s="3">
        <f t="shared" si="3"/>
        <v>6</v>
      </c>
      <c r="I34" s="3" t="str">
        <f t="array" ref="I34">IF($C34="","",IFERROR(INDEX(Partits!$C:$C,MATCH($A34&amp;"_"&amp;$D34,Partits!$D:$D,0)),""))</f>
        <v>V</v>
      </c>
      <c r="J34" s="3">
        <f t="shared" si="4"/>
        <v>1.2</v>
      </c>
      <c r="K34" s="3">
        <f t="shared" si="5"/>
        <v>7.2</v>
      </c>
      <c r="L34" s="3">
        <f t="shared" si="6"/>
        <v>1</v>
      </c>
      <c r="M34" s="3">
        <f t="shared" si="7"/>
        <v>7.2</v>
      </c>
    </row>
    <row r="35" ht="15.0" customHeight="1">
      <c r="A35" s="3">
        <f>IF(Equips_usuari!A35="","",Equips_usuari!A35)</f>
        <v>1</v>
      </c>
      <c r="B35" s="3" t="str">
        <f>IF(Equips_usuari!B35="","",Equips_usuari!B35)</f>
        <v>U14</v>
      </c>
      <c r="C35" s="3" t="str">
        <f>IF(Equips_usuari!C35="","",Equips_usuari!C35)</f>
        <v>Aina Torras</v>
      </c>
      <c r="D35" s="3" t="str">
        <f>IF(Equips_usuari!D35="","",Equips_usuari!D35)</f>
        <v>U13</v>
      </c>
      <c r="E35" s="3" t="str">
        <f>IF(Equips_usuari!F35="","",Equips_usuari!F35)</f>
        <v>NO</v>
      </c>
      <c r="F35" s="3">
        <f>IF($C35="","",SUMIFS(Resultats_jugadores!$C:$C,Resultats_jugadores!$A:$A,$A35,Resultats_jugadores!$B:$B,$C35))</f>
        <v>2</v>
      </c>
      <c r="G35" s="3">
        <f>IF($C35="","",SUMIFS(Resultats_jugadores!$D:$D,Resultats_jugadores!$A:$A,$A35,Resultats_jugadores!$B:$B,$C35))</f>
        <v>1</v>
      </c>
      <c r="H35" s="3">
        <f t="shared" si="3"/>
        <v>1</v>
      </c>
      <c r="I35" s="3" t="str">
        <f t="array" ref="I35">IF($C35="","",IFERROR(INDEX(Partits!$C:$C,MATCH($A35&amp;"_"&amp;$D35,Partits!$D:$D,0)),""))</f>
        <v>V</v>
      </c>
      <c r="J35" s="3">
        <f t="shared" si="4"/>
        <v>1.2</v>
      </c>
      <c r="K35" s="3">
        <f t="shared" si="5"/>
        <v>1.2</v>
      </c>
      <c r="L35" s="3">
        <f t="shared" si="6"/>
        <v>1</v>
      </c>
      <c r="M35" s="3">
        <f t="shared" si="7"/>
        <v>1.2</v>
      </c>
    </row>
    <row r="36" ht="15.0" customHeight="1">
      <c r="A36" s="3">
        <f>IF(Equips_usuari!A36="","",Equips_usuari!A36)</f>
        <v>1</v>
      </c>
      <c r="B36" s="3" t="str">
        <f>IF(Equips_usuari!B36="","",Equips_usuari!B36)</f>
        <v>U14</v>
      </c>
      <c r="C36" s="3" t="str">
        <f>IF(Equips_usuari!C36="","",Equips_usuari!C36)</f>
        <v>Laia Muncunill</v>
      </c>
      <c r="D36" s="3" t="str">
        <f>IF(Equips_usuari!D36="","",Equips_usuari!D36)</f>
        <v>U16</v>
      </c>
      <c r="E36" s="3" t="str">
        <f>IF(Equips_usuari!F36="","",Equips_usuari!F36)</f>
        <v>NO</v>
      </c>
      <c r="F36" s="3">
        <f>IF($C36="","",SUMIFS(Resultats_jugadores!$C:$C,Resultats_jugadores!$A:$A,$A36,Resultats_jugadores!$B:$B,$C36))</f>
        <v>0</v>
      </c>
      <c r="G36" s="3">
        <f>IF($C36="","",SUMIFS(Resultats_jugadores!$D:$D,Resultats_jugadores!$A:$A,$A36,Resultats_jugadores!$B:$B,$C36))</f>
        <v>0</v>
      </c>
      <c r="H36" s="3">
        <f t="shared" si="3"/>
        <v>0</v>
      </c>
      <c r="I36" s="3" t="str">
        <f t="array" ref="I36">IF($C36="","",IFERROR(INDEX(Partits!$C:$C,MATCH($A36&amp;"_"&amp;$D36,Partits!$D:$D,0)),""))</f>
        <v>V</v>
      </c>
      <c r="J36" s="3">
        <f t="shared" si="4"/>
        <v>1</v>
      </c>
      <c r="K36" s="3">
        <f t="shared" si="5"/>
        <v>0</v>
      </c>
      <c r="L36" s="3">
        <f t="shared" si="6"/>
        <v>1</v>
      </c>
      <c r="M36" s="3">
        <f t="shared" si="7"/>
        <v>0</v>
      </c>
    </row>
    <row r="37" ht="15.0" customHeight="1">
      <c r="A37" s="3">
        <f>IF(Equips_usuari!A37="","",Equips_usuari!A37)</f>
        <v>1</v>
      </c>
      <c r="B37" s="3" t="str">
        <f>IF(Equips_usuari!B37="","",Equips_usuari!B37)</f>
        <v>U14</v>
      </c>
      <c r="C37" s="3" t="str">
        <f>IF(Equips_usuari!C37="","",Equips_usuari!C37)</f>
        <v>Leyre Castelló</v>
      </c>
      <c r="D37" s="3" t="str">
        <f>IF(Equips_usuari!D37="","",Equips_usuari!D37)</f>
        <v>U15</v>
      </c>
      <c r="E37" s="3" t="str">
        <f>IF(Equips_usuari!F37="","",Equips_usuari!F37)</f>
        <v>NO</v>
      </c>
      <c r="F37" s="3">
        <f>IF($C37="","",SUMIFS(Resultats_jugadores!$C:$C,Resultats_jugadores!$A:$A,$A37,Resultats_jugadores!$B:$B,$C37))</f>
        <v>0</v>
      </c>
      <c r="G37" s="3">
        <f>IF($C37="","",SUMIFS(Resultats_jugadores!$D:$D,Resultats_jugadores!$A:$A,$A37,Resultats_jugadores!$B:$B,$C37))</f>
        <v>0</v>
      </c>
      <c r="H37" s="3">
        <f t="shared" si="3"/>
        <v>0</v>
      </c>
      <c r="I37" s="3" t="str">
        <f t="array" ref="I37">IF($C37="","",IFERROR(INDEX(Partits!$C:$C,MATCH($A37&amp;"_"&amp;$D37,Partits!$D:$D,0)),""))</f>
        <v>V</v>
      </c>
      <c r="J37" s="3">
        <f t="shared" si="4"/>
        <v>1</v>
      </c>
      <c r="K37" s="3">
        <f t="shared" si="5"/>
        <v>0</v>
      </c>
      <c r="L37" s="3">
        <f t="shared" si="6"/>
        <v>1</v>
      </c>
      <c r="M37" s="3">
        <f t="shared" si="7"/>
        <v>0</v>
      </c>
    </row>
    <row r="38" ht="15.0" customHeight="1">
      <c r="A38" s="3">
        <f>IF(Equips_usuari!A38="","",Equips_usuari!A38)</f>
        <v>1</v>
      </c>
      <c r="B38" s="3" t="str">
        <f>IF(Equips_usuari!B38="","",Equips_usuari!B38)</f>
        <v>LF2</v>
      </c>
      <c r="C38" s="3" t="str">
        <f>IF(Equips_usuari!C38="","",Equips_usuari!C38)</f>
        <v>Marina Melero</v>
      </c>
      <c r="D38" s="3" t="str">
        <f>IF(Equips_usuari!D38="","",Equips_usuari!D38)</f>
        <v>LF2</v>
      </c>
      <c r="E38" s="3" t="str">
        <f>IF(Equips_usuari!F38="","",Equips_usuari!F38)</f>
        <v>NO</v>
      </c>
      <c r="F38" s="3">
        <f>IF($C38="","",SUMIFS(Resultats_jugadores!$C:$C,Resultats_jugadores!$A:$A,$A38,Resultats_jugadores!$B:$B,$C38))</f>
        <v>16</v>
      </c>
      <c r="G38" s="3">
        <f>IF($C38="","",SUMIFS(Resultats_jugadores!$D:$D,Resultats_jugadores!$A:$A,$A38,Resultats_jugadores!$B:$B,$C38))</f>
        <v>3</v>
      </c>
      <c r="H38" s="3">
        <f t="shared" si="3"/>
        <v>13</v>
      </c>
      <c r="I38" s="3" t="str">
        <f t="array" ref="I38">IF($C38="","",IFERROR(INDEX(Partits!$C:$C,MATCH($A38&amp;"_"&amp;$D38,Partits!$D:$D,0)),""))</f>
        <v>V</v>
      </c>
      <c r="J38" s="3">
        <f t="shared" si="4"/>
        <v>1.2</v>
      </c>
      <c r="K38" s="3">
        <f t="shared" si="5"/>
        <v>15.6</v>
      </c>
      <c r="L38" s="3">
        <f t="shared" si="6"/>
        <v>1</v>
      </c>
      <c r="M38" s="3">
        <f t="shared" si="7"/>
        <v>15.6</v>
      </c>
    </row>
    <row r="39" ht="15.0" customHeight="1">
      <c r="A39" s="3">
        <f>IF(Equips_usuari!A39="","",Equips_usuari!A39)</f>
        <v>1</v>
      </c>
      <c r="B39" s="3" t="str">
        <f>IF(Equips_usuari!B39="","",Equips_usuari!B39)</f>
        <v>LF2</v>
      </c>
      <c r="C39" s="3" t="str">
        <f>IF(Equips_usuari!C39="","",Equips_usuari!C39)</f>
        <v>Kourafy Dembele</v>
      </c>
      <c r="D39" s="3" t="str">
        <f>IF(Equips_usuari!D39="","",Equips_usuari!D39)</f>
        <v>U18</v>
      </c>
      <c r="E39" s="3" t="str">
        <f>IF(Equips_usuari!F39="","",Equips_usuari!F39)</f>
        <v>NO</v>
      </c>
      <c r="F39" s="3">
        <f>IF($C39="","",SUMIFS(Resultats_jugadores!$C:$C,Resultats_jugadores!$A:$A,$A39,Resultats_jugadores!$B:$B,$C39))</f>
        <v>10</v>
      </c>
      <c r="G39" s="3">
        <f>IF($C39="","",SUMIFS(Resultats_jugadores!$D:$D,Resultats_jugadores!$A:$A,$A39,Resultats_jugadores!$B:$B,$C39))</f>
        <v>2</v>
      </c>
      <c r="H39" s="3">
        <f t="shared" si="3"/>
        <v>8</v>
      </c>
      <c r="I39" s="3" t="str">
        <f t="array" ref="I39">IF($C39="","",IFERROR(INDEX(Partits!$C:$C,MATCH($A39&amp;"_"&amp;$D39,Partits!$D:$D,0)),""))</f>
        <v>V</v>
      </c>
      <c r="J39" s="3">
        <f t="shared" si="4"/>
        <v>1.2</v>
      </c>
      <c r="K39" s="3">
        <f t="shared" si="5"/>
        <v>9.6</v>
      </c>
      <c r="L39" s="3">
        <f t="shared" si="6"/>
        <v>1</v>
      </c>
      <c r="M39" s="3">
        <f t="shared" si="7"/>
        <v>9.6</v>
      </c>
    </row>
    <row r="40" ht="15.0" customHeight="1">
      <c r="A40" s="3">
        <f>IF(Equips_usuari!A40="","",Equips_usuari!A40)</f>
        <v>1</v>
      </c>
      <c r="B40" s="3" t="str">
        <f>IF(Equips_usuari!B40="","",Equips_usuari!B40)</f>
        <v>LF2</v>
      </c>
      <c r="C40" s="3" t="str">
        <f>IF(Equips_usuari!C40="","",Equips_usuari!C40)</f>
        <v>Nina Clotet</v>
      </c>
      <c r="D40" s="3" t="str">
        <f>IF(Equips_usuari!D40="","",Equips_usuari!D40)</f>
        <v>U17</v>
      </c>
      <c r="E40" s="3" t="str">
        <f>IF(Equips_usuari!F40="","",Equips_usuari!F40)</f>
        <v>NO</v>
      </c>
      <c r="F40" s="3">
        <f>IF($C40="","",SUMIFS(Resultats_jugadores!$C:$C,Resultats_jugadores!$A:$A,$A40,Resultats_jugadores!$B:$B,$C40))</f>
        <v>0</v>
      </c>
      <c r="G40" s="3">
        <f>IF($C40="","",SUMIFS(Resultats_jugadores!$D:$D,Resultats_jugadores!$A:$A,$A40,Resultats_jugadores!$B:$B,$C40))</f>
        <v>0</v>
      </c>
      <c r="H40" s="3">
        <f t="shared" si="3"/>
        <v>0</v>
      </c>
      <c r="I40" s="3" t="str">
        <f t="array" ref="I40">IF($C40="","",IFERROR(INDEX(Partits!$C:$C,MATCH($A40&amp;"_"&amp;$D40,Partits!$D:$D,0)),""))</f>
        <v>V</v>
      </c>
      <c r="J40" s="3">
        <f t="shared" si="4"/>
        <v>1</v>
      </c>
      <c r="K40" s="3">
        <f t="shared" si="5"/>
        <v>0</v>
      </c>
      <c r="L40" s="3">
        <f t="shared" si="6"/>
        <v>1</v>
      </c>
      <c r="M40" s="3">
        <f t="shared" si="7"/>
        <v>0</v>
      </c>
    </row>
    <row r="41" ht="15.0" customHeight="1">
      <c r="A41" s="3">
        <f>IF(Equips_usuari!A41="","",Equips_usuari!A41)</f>
        <v>1</v>
      </c>
      <c r="B41" s="3" t="str">
        <f>IF(Equips_usuari!B41="","",Equips_usuari!B41)</f>
        <v>LF2</v>
      </c>
      <c r="C41" s="3" t="str">
        <f>IF(Equips_usuari!C41="","",Equips_usuari!C41)</f>
        <v>Helena Jiménez</v>
      </c>
      <c r="D41" s="3" t="str">
        <f>IF(Equips_usuari!D41="","",Equips_usuari!D41)</f>
        <v>U16</v>
      </c>
      <c r="E41" s="3" t="str">
        <f>IF(Equips_usuari!F41="","",Equips_usuari!F41)</f>
        <v>NO</v>
      </c>
      <c r="F41" s="3">
        <f>IF($C41="","",SUMIFS(Resultats_jugadores!$C:$C,Resultats_jugadores!$A:$A,$A41,Resultats_jugadores!$B:$B,$C41))</f>
        <v>0</v>
      </c>
      <c r="G41" s="3">
        <f>IF($C41="","",SUMIFS(Resultats_jugadores!$D:$D,Resultats_jugadores!$A:$A,$A41,Resultats_jugadores!$B:$B,$C41))</f>
        <v>0</v>
      </c>
      <c r="H41" s="3">
        <f t="shared" si="3"/>
        <v>0</v>
      </c>
      <c r="I41" s="3" t="str">
        <f t="array" ref="I41">IF($C41="","",IFERROR(INDEX(Partits!$C:$C,MATCH($A41&amp;"_"&amp;$D41,Partits!$D:$D,0)),""))</f>
        <v>V</v>
      </c>
      <c r="J41" s="3">
        <f t="shared" si="4"/>
        <v>1</v>
      </c>
      <c r="K41" s="3">
        <f t="shared" si="5"/>
        <v>0</v>
      </c>
      <c r="L41" s="3">
        <f t="shared" si="6"/>
        <v>1</v>
      </c>
      <c r="M41" s="3">
        <f t="shared" si="7"/>
        <v>0</v>
      </c>
    </row>
    <row r="42" ht="15.0" customHeight="1">
      <c r="A42" s="3">
        <f>IF(Equips_usuari!A42="","",Equips_usuari!A42)</f>
        <v>1</v>
      </c>
      <c r="B42" s="3" t="str">
        <f>IF(Equips_usuari!B42="","",Equips_usuari!B42)</f>
        <v>LF2</v>
      </c>
      <c r="C42" s="3" t="str">
        <f>IF(Equips_usuari!C42="","",Equips_usuari!C42)</f>
        <v>Júlia Alayo</v>
      </c>
      <c r="D42" s="3" t="str">
        <f>IF(Equips_usuari!D42="","",Equips_usuari!D42)</f>
        <v>U16</v>
      </c>
      <c r="E42" s="3" t="str">
        <f>IF(Equips_usuari!F42="","",Equips_usuari!F42)</f>
        <v>NO</v>
      </c>
      <c r="F42" s="3">
        <f>IF($C42="","",SUMIFS(Resultats_jugadores!$C:$C,Resultats_jugadores!$A:$A,$A42,Resultats_jugadores!$B:$B,$C42))</f>
        <v>0</v>
      </c>
      <c r="G42" s="3">
        <f>IF($C42="","",SUMIFS(Resultats_jugadores!$D:$D,Resultats_jugadores!$A:$A,$A42,Resultats_jugadores!$B:$B,$C42))</f>
        <v>0</v>
      </c>
      <c r="H42" s="3">
        <f t="shared" si="3"/>
        <v>0</v>
      </c>
      <c r="I42" s="3" t="str">
        <f t="array" ref="I42">IF($C42="","",IFERROR(INDEX(Partits!$C:$C,MATCH($A42&amp;"_"&amp;$D42,Partits!$D:$D,0)),""))</f>
        <v>V</v>
      </c>
      <c r="J42" s="3">
        <f t="shared" si="4"/>
        <v>1</v>
      </c>
      <c r="K42" s="3">
        <f t="shared" si="5"/>
        <v>0</v>
      </c>
      <c r="L42" s="3">
        <f t="shared" si="6"/>
        <v>1</v>
      </c>
      <c r="M42" s="3">
        <f t="shared" si="7"/>
        <v>0</v>
      </c>
    </row>
    <row r="43" ht="15.0" customHeight="1">
      <c r="A43" s="3">
        <f>IF(Equips_usuari!A43="","",Equips_usuari!A43)</f>
        <v>1</v>
      </c>
      <c r="B43" s="3" t="str">
        <f>IF(Equips_usuari!B43="","",Equips_usuari!B43)</f>
        <v>LF2</v>
      </c>
      <c r="C43" s="3" t="str">
        <f>IF(Equips_usuari!C43="","",Equips_usuari!C43)</f>
        <v>Xènia Fígols</v>
      </c>
      <c r="D43" s="3" t="str">
        <f>IF(Equips_usuari!D43="","",Equips_usuari!D43)</f>
        <v>U18</v>
      </c>
      <c r="E43" s="3" t="str">
        <f>IF(Equips_usuari!F43="","",Equips_usuari!F43)</f>
        <v>SI</v>
      </c>
      <c r="F43" s="3">
        <f>IF($C43="","",SUMIFS(Resultats_jugadores!$C:$C,Resultats_jugadores!$A:$A,$A43,Resultats_jugadores!$B:$B,$C43))</f>
        <v>24</v>
      </c>
      <c r="G43" s="3">
        <f>IF($C43="","",SUMIFS(Resultats_jugadores!$D:$D,Resultats_jugadores!$A:$A,$A43,Resultats_jugadores!$B:$B,$C43))</f>
        <v>2</v>
      </c>
      <c r="H43" s="3">
        <f t="shared" si="3"/>
        <v>22</v>
      </c>
      <c r="I43" s="3" t="str">
        <f t="array" ref="I43">IF($C43="","",IFERROR(INDEX(Partits!$C:$C,MATCH($A43&amp;"_"&amp;$D43,Partits!$D:$D,0)),""))</f>
        <v>V</v>
      </c>
      <c r="J43" s="3">
        <f t="shared" si="4"/>
        <v>1.2</v>
      </c>
      <c r="K43" s="3">
        <f t="shared" si="5"/>
        <v>26.4</v>
      </c>
      <c r="L43" s="3">
        <f t="shared" si="6"/>
        <v>2</v>
      </c>
      <c r="M43" s="3">
        <f t="shared" si="7"/>
        <v>52.8</v>
      </c>
    </row>
    <row r="44" ht="15.0" customHeight="1">
      <c r="A44" s="3">
        <f>IF(Equips_usuari!A44="","",Equips_usuari!A44)</f>
        <v>1</v>
      </c>
      <c r="B44" s="3" t="str">
        <f>IF(Equips_usuari!B44="","",Equips_usuari!B44)</f>
        <v>LF2</v>
      </c>
      <c r="C44" s="3" t="str">
        <f>IF(Equips_usuari!C44="","",Equips_usuari!C44)</f>
        <v>Aina Torras</v>
      </c>
      <c r="D44" s="3" t="str">
        <f>IF(Equips_usuari!D44="","",Equips_usuari!D44)</f>
        <v>U13</v>
      </c>
      <c r="E44" s="3" t="str">
        <f>IF(Equips_usuari!F44="","",Equips_usuari!F44)</f>
        <v>NO</v>
      </c>
      <c r="F44" s="3">
        <f>IF($C44="","",SUMIFS(Resultats_jugadores!$C:$C,Resultats_jugadores!$A:$A,$A44,Resultats_jugadores!$B:$B,$C44))</f>
        <v>2</v>
      </c>
      <c r="G44" s="3">
        <f>IF($C44="","",SUMIFS(Resultats_jugadores!$D:$D,Resultats_jugadores!$A:$A,$A44,Resultats_jugadores!$B:$B,$C44))</f>
        <v>1</v>
      </c>
      <c r="H44" s="3">
        <f t="shared" si="3"/>
        <v>1</v>
      </c>
      <c r="I44" s="3" t="str">
        <f t="array" ref="I44">IF($C44="","",IFERROR(INDEX(Partits!$C:$C,MATCH($A44&amp;"_"&amp;$D44,Partits!$D:$D,0)),""))</f>
        <v>V</v>
      </c>
      <c r="J44" s="3">
        <f t="shared" si="4"/>
        <v>1.2</v>
      </c>
      <c r="K44" s="3">
        <f t="shared" si="5"/>
        <v>1.2</v>
      </c>
      <c r="L44" s="3">
        <f t="shared" si="6"/>
        <v>1</v>
      </c>
      <c r="M44" s="3">
        <f t="shared" si="7"/>
        <v>1.2</v>
      </c>
    </row>
    <row r="45" ht="15.0" customHeight="1">
      <c r="A45" s="3">
        <f>IF(Equips_usuari!A45="","",Equips_usuari!A45)</f>
        <v>1</v>
      </c>
      <c r="B45" s="3" t="str">
        <f>IF(Equips_usuari!B45="","",Equips_usuari!B45)</f>
        <v>LF2</v>
      </c>
      <c r="C45" s="3" t="str">
        <f>IF(Equips_usuari!C45="","",Equips_usuari!C45)</f>
        <v>Leyre Castelló</v>
      </c>
      <c r="D45" s="3" t="str">
        <f>IF(Equips_usuari!D45="","",Equips_usuari!D45)</f>
        <v>U15</v>
      </c>
      <c r="E45" s="3" t="str">
        <f>IF(Equips_usuari!F45="","",Equips_usuari!F45)</f>
        <v>NO</v>
      </c>
      <c r="F45" s="3">
        <f>IF($C45="","",SUMIFS(Resultats_jugadores!$C:$C,Resultats_jugadores!$A:$A,$A45,Resultats_jugadores!$B:$B,$C45))</f>
        <v>0</v>
      </c>
      <c r="G45" s="3">
        <f>IF($C45="","",SUMIFS(Resultats_jugadores!$D:$D,Resultats_jugadores!$A:$A,$A45,Resultats_jugadores!$B:$B,$C45))</f>
        <v>0</v>
      </c>
      <c r="H45" s="3">
        <f t="shared" si="3"/>
        <v>0</v>
      </c>
      <c r="I45" s="3" t="str">
        <f t="array" ref="I45">IF($C45="","",IFERROR(INDEX(Partits!$C:$C,MATCH($A45&amp;"_"&amp;$D45,Partits!$D:$D,0)),""))</f>
        <v>V</v>
      </c>
      <c r="J45" s="3">
        <f t="shared" si="4"/>
        <v>1</v>
      </c>
      <c r="K45" s="3">
        <f t="shared" si="5"/>
        <v>0</v>
      </c>
      <c r="L45" s="3">
        <f t="shared" si="6"/>
        <v>1</v>
      </c>
      <c r="M45" s="3">
        <f t="shared" si="7"/>
        <v>0</v>
      </c>
    </row>
    <row r="46" ht="15.0" customHeight="1">
      <c r="A46" s="3">
        <f>IF(Equips_usuari!A46="","",Equips_usuari!A46)</f>
        <v>1</v>
      </c>
      <c r="B46" s="3" t="str">
        <f>IF(Equips_usuari!B46="","",Equips_usuari!B46)</f>
        <v>LF2</v>
      </c>
      <c r="C46" s="3" t="str">
        <f>IF(Equips_usuari!C46="","",Equips_usuari!C46)</f>
        <v>Emma Pey</v>
      </c>
      <c r="D46" s="3" t="str">
        <f>IF(Equips_usuari!D46="","",Equips_usuari!D46)</f>
        <v>LF2</v>
      </c>
      <c r="E46" s="3" t="str">
        <f>IF(Equips_usuari!F46="","",Equips_usuari!F46)</f>
        <v>NO</v>
      </c>
      <c r="F46" s="3">
        <f>IF($C46="","",SUMIFS(Resultats_jugadores!$C:$C,Resultats_jugadores!$A:$A,$A46,Resultats_jugadores!$B:$B,$C46))</f>
        <v>6</v>
      </c>
      <c r="G46" s="3">
        <f>IF($C46="","",SUMIFS(Resultats_jugadores!$D:$D,Resultats_jugadores!$A:$A,$A46,Resultats_jugadores!$B:$B,$C46))</f>
        <v>1</v>
      </c>
      <c r="H46" s="3">
        <f t="shared" si="3"/>
        <v>5</v>
      </c>
      <c r="I46" s="3" t="str">
        <f t="array" ref="I46">IF($C46="","",IFERROR(INDEX(Partits!$C:$C,MATCH($A46&amp;"_"&amp;$D46,Partits!$D:$D,0)),""))</f>
        <v>V</v>
      </c>
      <c r="J46" s="3">
        <f t="shared" si="4"/>
        <v>1.2</v>
      </c>
      <c r="K46" s="3">
        <f t="shared" si="5"/>
        <v>6</v>
      </c>
      <c r="L46" s="3">
        <f t="shared" si="6"/>
        <v>1</v>
      </c>
      <c r="M46" s="3">
        <f t="shared" si="7"/>
        <v>6</v>
      </c>
    </row>
    <row r="47" ht="15.0" customHeight="1">
      <c r="A47" s="3">
        <f>IF(Equips_usuari!A47="","",Equips_usuari!A47)</f>
        <v>1</v>
      </c>
      <c r="B47" s="3" t="str">
        <f>IF(Equips_usuari!B47="","",Equips_usuari!B47)</f>
        <v>U16</v>
      </c>
      <c r="C47" s="3" t="str">
        <f>IF(Equips_usuari!C47="","",Equips_usuari!C47)</f>
        <v>Ania Molina</v>
      </c>
      <c r="D47" s="3" t="str">
        <f>IF(Equips_usuari!D47="","",Equips_usuari!D47)</f>
        <v>U15</v>
      </c>
      <c r="E47" s="3" t="str">
        <f>IF(Equips_usuari!F47="","",Equips_usuari!F47)</f>
        <v>NO</v>
      </c>
      <c r="F47" s="3">
        <f>IF($C47="","",SUMIFS(Resultats_jugadores!$C:$C,Resultats_jugadores!$A:$A,$A47,Resultats_jugadores!$B:$B,$C47))</f>
        <v>0</v>
      </c>
      <c r="G47" s="3">
        <f>IF($C47="","",SUMIFS(Resultats_jugadores!$D:$D,Resultats_jugadores!$A:$A,$A47,Resultats_jugadores!$B:$B,$C47))</f>
        <v>0</v>
      </c>
      <c r="H47" s="3">
        <f t="shared" si="3"/>
        <v>0</v>
      </c>
      <c r="I47" s="3" t="str">
        <f t="array" ref="I47">IF($C47="","",IFERROR(INDEX(Partits!$C:$C,MATCH($A47&amp;"_"&amp;$D47,Partits!$D:$D,0)),""))</f>
        <v>V</v>
      </c>
      <c r="J47" s="3">
        <f t="shared" si="4"/>
        <v>1</v>
      </c>
      <c r="K47" s="3">
        <f t="shared" si="5"/>
        <v>0</v>
      </c>
      <c r="L47" s="3">
        <f t="shared" si="6"/>
        <v>1</v>
      </c>
      <c r="M47" s="3">
        <f t="shared" si="7"/>
        <v>0</v>
      </c>
    </row>
    <row r="48" ht="15.0" customHeight="1">
      <c r="A48" s="3">
        <f>IF(Equips_usuari!A48="","",Equips_usuari!A48)</f>
        <v>1</v>
      </c>
      <c r="B48" s="3" t="str">
        <f>IF(Equips_usuari!B48="","",Equips_usuari!B48)</f>
        <v>U16</v>
      </c>
      <c r="C48" s="3" t="str">
        <f>IF(Equips_usuari!C48="","",Equips_usuari!C48)</f>
        <v>Nina Clotet</v>
      </c>
      <c r="D48" s="3" t="str">
        <f>IF(Equips_usuari!D48="","",Equips_usuari!D48)</f>
        <v>U16</v>
      </c>
      <c r="E48" s="3" t="str">
        <f>IF(Equips_usuari!F48="","",Equips_usuari!F48)</f>
        <v>NO</v>
      </c>
      <c r="F48" s="3">
        <f>IF($C48="","",SUMIFS(Resultats_jugadores!$C:$C,Resultats_jugadores!$A:$A,$A48,Resultats_jugadores!$B:$B,$C48))</f>
        <v>0</v>
      </c>
      <c r="G48" s="3">
        <f>IF($C48="","",SUMIFS(Resultats_jugadores!$D:$D,Resultats_jugadores!$A:$A,$A48,Resultats_jugadores!$B:$B,$C48))</f>
        <v>0</v>
      </c>
      <c r="H48" s="3">
        <f t="shared" si="3"/>
        <v>0</v>
      </c>
      <c r="I48" s="3" t="str">
        <f t="array" ref="I48">IF($C48="","",IFERROR(INDEX(Partits!$C:$C,MATCH($A48&amp;"_"&amp;$D48,Partits!$D:$D,0)),""))</f>
        <v>V</v>
      </c>
      <c r="J48" s="3">
        <f t="shared" si="4"/>
        <v>1</v>
      </c>
      <c r="K48" s="3">
        <f t="shared" si="5"/>
        <v>0</v>
      </c>
      <c r="L48" s="3">
        <f t="shared" si="6"/>
        <v>1</v>
      </c>
      <c r="M48" s="3">
        <f t="shared" si="7"/>
        <v>0</v>
      </c>
    </row>
    <row r="49" ht="15.0" customHeight="1">
      <c r="A49" s="3">
        <f>IF(Equips_usuari!A49="","",Equips_usuari!A49)</f>
        <v>1</v>
      </c>
      <c r="B49" s="3" t="str">
        <f>IF(Equips_usuari!B49="","",Equips_usuari!B49)</f>
        <v>U16</v>
      </c>
      <c r="C49" s="3" t="str">
        <f>IF(Equips_usuari!C49="","",Equips_usuari!C49)</f>
        <v>Kourafy Dembele</v>
      </c>
      <c r="D49" s="3" t="str">
        <f>IF(Equips_usuari!D49="","",Equips_usuari!D49)</f>
        <v>U18</v>
      </c>
      <c r="E49" s="3" t="str">
        <f>IF(Equips_usuari!F49="","",Equips_usuari!F49)</f>
        <v>NO</v>
      </c>
      <c r="F49" s="3">
        <f>IF($C49="","",SUMIFS(Resultats_jugadores!$C:$C,Resultats_jugadores!$A:$A,$A49,Resultats_jugadores!$B:$B,$C49))</f>
        <v>10</v>
      </c>
      <c r="G49" s="3">
        <f>IF($C49="","",SUMIFS(Resultats_jugadores!$D:$D,Resultats_jugadores!$A:$A,$A49,Resultats_jugadores!$B:$B,$C49))</f>
        <v>2</v>
      </c>
      <c r="H49" s="3">
        <f t="shared" si="3"/>
        <v>8</v>
      </c>
      <c r="I49" s="3" t="str">
        <f t="array" ref="I49">IF($C49="","",IFERROR(INDEX(Partits!$C:$C,MATCH($A49&amp;"_"&amp;$D49,Partits!$D:$D,0)),""))</f>
        <v>V</v>
      </c>
      <c r="J49" s="3">
        <f t="shared" si="4"/>
        <v>1.2</v>
      </c>
      <c r="K49" s="3">
        <f t="shared" si="5"/>
        <v>9.6</v>
      </c>
      <c r="L49" s="3">
        <f t="shared" si="6"/>
        <v>1</v>
      </c>
      <c r="M49" s="3">
        <f t="shared" si="7"/>
        <v>9.6</v>
      </c>
    </row>
    <row r="50" ht="15.0" customHeight="1">
      <c r="A50" s="3">
        <f>IF(Equips_usuari!A50="","",Equips_usuari!A50)</f>
        <v>1</v>
      </c>
      <c r="B50" s="3" t="str">
        <f>IF(Equips_usuari!B50="","",Equips_usuari!B50)</f>
        <v>U16</v>
      </c>
      <c r="C50" s="3" t="str">
        <f>IF(Equips_usuari!C50="","",Equips_usuari!C50)</f>
        <v>Eulàlia Mayor</v>
      </c>
      <c r="D50" s="3" t="str">
        <f>IF(Equips_usuari!D50="","",Equips_usuari!D50)</f>
        <v>U16</v>
      </c>
      <c r="E50" s="3" t="str">
        <f>IF(Equips_usuari!F50="","",Equips_usuari!F50)</f>
        <v>NO</v>
      </c>
      <c r="F50" s="3">
        <f>IF($C50="","",SUMIFS(Resultats_jugadores!$C:$C,Resultats_jugadores!$A:$A,$A50,Resultats_jugadores!$B:$B,$C50))</f>
        <v>0</v>
      </c>
      <c r="G50" s="3">
        <f>IF($C50="","",SUMIFS(Resultats_jugadores!$D:$D,Resultats_jugadores!$A:$A,$A50,Resultats_jugadores!$B:$B,$C50))</f>
        <v>0</v>
      </c>
      <c r="H50" s="3">
        <f t="shared" si="3"/>
        <v>0</v>
      </c>
      <c r="I50" s="3" t="str">
        <f t="array" ref="I50">IF($C50="","",IFERROR(INDEX(Partits!$C:$C,MATCH($A50&amp;"_"&amp;$D50,Partits!$D:$D,0)),""))</f>
        <v>V</v>
      </c>
      <c r="J50" s="3">
        <f t="shared" si="4"/>
        <v>1</v>
      </c>
      <c r="K50" s="3">
        <f t="shared" si="5"/>
        <v>0</v>
      </c>
      <c r="L50" s="3">
        <f t="shared" si="6"/>
        <v>1</v>
      </c>
      <c r="M50" s="3">
        <f t="shared" si="7"/>
        <v>0</v>
      </c>
    </row>
    <row r="51" ht="15.0" customHeight="1">
      <c r="A51" s="3">
        <f>IF(Equips_usuari!A51="","",Equips_usuari!A51)</f>
        <v>1</v>
      </c>
      <c r="B51" s="3" t="str">
        <f>IF(Equips_usuari!B51="","",Equips_usuari!B51)</f>
        <v>U16</v>
      </c>
      <c r="C51" s="3" t="str">
        <f>IF(Equips_usuari!C51="","",Equips_usuari!C51)</f>
        <v>Noa Viladrich</v>
      </c>
      <c r="D51" s="3" t="str">
        <f>IF(Equips_usuari!D51="","",Equips_usuari!D51)</f>
        <v>U16</v>
      </c>
      <c r="E51" s="3" t="str">
        <f>IF(Equips_usuari!F51="","",Equips_usuari!F51)</f>
        <v>SI</v>
      </c>
      <c r="F51" s="3">
        <f>IF($C51="","",SUMIFS(Resultats_jugadores!$C:$C,Resultats_jugadores!$A:$A,$A51,Resultats_jugadores!$B:$B,$C51))</f>
        <v>0</v>
      </c>
      <c r="G51" s="3">
        <f>IF($C51="","",SUMIFS(Resultats_jugadores!$D:$D,Resultats_jugadores!$A:$A,$A51,Resultats_jugadores!$B:$B,$C51))</f>
        <v>0</v>
      </c>
      <c r="H51" s="3">
        <f t="shared" si="3"/>
        <v>0</v>
      </c>
      <c r="I51" s="3" t="str">
        <f t="array" ref="I51">IF($C51="","",IFERROR(INDEX(Partits!$C:$C,MATCH($A51&amp;"_"&amp;$D51,Partits!$D:$D,0)),""))</f>
        <v>V</v>
      </c>
      <c r="J51" s="3">
        <f t="shared" si="4"/>
        <v>1</v>
      </c>
      <c r="K51" s="3">
        <f t="shared" si="5"/>
        <v>0</v>
      </c>
      <c r="L51" s="3">
        <f t="shared" si="6"/>
        <v>2</v>
      </c>
      <c r="M51" s="3">
        <f t="shared" si="7"/>
        <v>0</v>
      </c>
    </row>
    <row r="52" ht="15.0" customHeight="1">
      <c r="A52" s="3">
        <f>IF(Equips_usuari!A52="","",Equips_usuari!A52)</f>
        <v>1</v>
      </c>
      <c r="B52" s="3" t="str">
        <f>IF(Equips_usuari!B52="","",Equips_usuari!B52)</f>
        <v>U16</v>
      </c>
      <c r="C52" s="3" t="str">
        <f>IF(Equips_usuari!C52="","",Equips_usuari!C52)</f>
        <v>Júlia Arcos</v>
      </c>
      <c r="D52" s="3" t="str">
        <f>IF(Equips_usuari!D52="","",Equips_usuari!D52)</f>
        <v>U18</v>
      </c>
      <c r="E52" s="3" t="str">
        <f>IF(Equips_usuari!F52="","",Equips_usuari!F52)</f>
        <v>NO</v>
      </c>
      <c r="F52" s="3">
        <f>IF($C52="","",SUMIFS(Resultats_jugadores!$C:$C,Resultats_jugadores!$A:$A,$A52,Resultats_jugadores!$B:$B,$C52))</f>
        <v>8</v>
      </c>
      <c r="G52" s="3">
        <f>IF($C52="","",SUMIFS(Resultats_jugadores!$D:$D,Resultats_jugadores!$A:$A,$A52,Resultats_jugadores!$B:$B,$C52))</f>
        <v>2</v>
      </c>
      <c r="H52" s="3">
        <f t="shared" si="3"/>
        <v>6</v>
      </c>
      <c r="I52" s="3" t="str">
        <f t="array" ref="I52">IF($C52="","",IFERROR(INDEX(Partits!$C:$C,MATCH($A52&amp;"_"&amp;$D52,Partits!$D:$D,0)),""))</f>
        <v>V</v>
      </c>
      <c r="J52" s="3">
        <f t="shared" si="4"/>
        <v>1.2</v>
      </c>
      <c r="K52" s="3">
        <f t="shared" si="5"/>
        <v>7.2</v>
      </c>
      <c r="L52" s="3">
        <f t="shared" si="6"/>
        <v>1</v>
      </c>
      <c r="M52" s="3">
        <f t="shared" si="7"/>
        <v>7.2</v>
      </c>
    </row>
    <row r="53" ht="15.0" customHeight="1">
      <c r="A53" s="3">
        <f>IF(Equips_usuari!A53="","",Equips_usuari!A53)</f>
        <v>1</v>
      </c>
      <c r="B53" s="3" t="str">
        <f>IF(Equips_usuari!B53="","",Equips_usuari!B53)</f>
        <v>U16</v>
      </c>
      <c r="C53" s="3" t="str">
        <f>IF(Equips_usuari!C53="","",Equips_usuari!C53)</f>
        <v>Ayisse Magassa</v>
      </c>
      <c r="D53" s="3" t="str">
        <f>IF(Equips_usuari!D53="","",Equips_usuari!D53)</f>
        <v>LF2</v>
      </c>
      <c r="E53" s="3" t="str">
        <f>IF(Equips_usuari!F53="","",Equips_usuari!F53)</f>
        <v>NO</v>
      </c>
      <c r="F53" s="3">
        <f>IF($C53="","",SUMIFS(Resultats_jugadores!$C:$C,Resultats_jugadores!$A:$A,$A53,Resultats_jugadores!$B:$B,$C53))</f>
        <v>5</v>
      </c>
      <c r="G53" s="3">
        <f>IF($C53="","",SUMIFS(Resultats_jugadores!$D:$D,Resultats_jugadores!$A:$A,$A53,Resultats_jugadores!$B:$B,$C53))</f>
        <v>2</v>
      </c>
      <c r="H53" s="3">
        <f t="shared" si="3"/>
        <v>3</v>
      </c>
      <c r="I53" s="3" t="str">
        <f t="array" ref="I53">IF($C53="","",IFERROR(INDEX(Partits!$C:$C,MATCH($A53&amp;"_"&amp;$D53,Partits!$D:$D,0)),""))</f>
        <v>V</v>
      </c>
      <c r="J53" s="3">
        <f t="shared" si="4"/>
        <v>1.2</v>
      </c>
      <c r="K53" s="3">
        <f t="shared" si="5"/>
        <v>3.6</v>
      </c>
      <c r="L53" s="3">
        <f t="shared" si="6"/>
        <v>1</v>
      </c>
      <c r="M53" s="3">
        <f t="shared" si="7"/>
        <v>3.6</v>
      </c>
    </row>
    <row r="54" ht="15.0" customHeight="1">
      <c r="A54" s="3">
        <f>IF(Equips_usuari!A54="","",Equips_usuari!A54)</f>
        <v>1</v>
      </c>
      <c r="B54" s="3" t="str">
        <f>IF(Equips_usuari!B54="","",Equips_usuari!B54)</f>
        <v>U16</v>
      </c>
      <c r="C54" s="3" t="str">
        <f>IF(Equips_usuari!C54="","",Equips_usuari!C54)</f>
        <v>Aina Torras</v>
      </c>
      <c r="D54" s="3" t="str">
        <f>IF(Equips_usuari!D54="","",Equips_usuari!D54)</f>
        <v>U13</v>
      </c>
      <c r="E54" s="3" t="str">
        <f>IF(Equips_usuari!F54="","",Equips_usuari!F54)</f>
        <v>NO</v>
      </c>
      <c r="F54" s="3">
        <f>IF($C54="","",SUMIFS(Resultats_jugadores!$C:$C,Resultats_jugadores!$A:$A,$A54,Resultats_jugadores!$B:$B,$C54))</f>
        <v>2</v>
      </c>
      <c r="G54" s="3">
        <f>IF($C54="","",SUMIFS(Resultats_jugadores!$D:$D,Resultats_jugadores!$A:$A,$A54,Resultats_jugadores!$B:$B,$C54))</f>
        <v>1</v>
      </c>
      <c r="H54" s="3">
        <f t="shared" si="3"/>
        <v>1</v>
      </c>
      <c r="I54" s="3" t="str">
        <f t="array" ref="I54">IF($C54="","",IFERROR(INDEX(Partits!$C:$C,MATCH($A54&amp;"_"&amp;$D54,Partits!$D:$D,0)),""))</f>
        <v>V</v>
      </c>
      <c r="J54" s="3">
        <f t="shared" si="4"/>
        <v>1.2</v>
      </c>
      <c r="K54" s="3">
        <f t="shared" si="5"/>
        <v>1.2</v>
      </c>
      <c r="L54" s="3">
        <f t="shared" si="6"/>
        <v>1</v>
      </c>
      <c r="M54" s="3">
        <f t="shared" si="7"/>
        <v>1.2</v>
      </c>
    </row>
    <row r="55" ht="15.0" customHeight="1">
      <c r="A55" s="3">
        <f>IF(Equips_usuari!A55="","",Equips_usuari!A55)</f>
        <v>1</v>
      </c>
      <c r="B55" s="3" t="str">
        <f>IF(Equips_usuari!B55="","",Equips_usuari!B55)</f>
        <v>U16</v>
      </c>
      <c r="C55" s="3" t="str">
        <f>IF(Equips_usuari!C55="","",Equips_usuari!C55)</f>
        <v>Laia Muncunill</v>
      </c>
      <c r="D55" s="3" t="str">
        <f>IF(Equips_usuari!D55="","",Equips_usuari!D55)</f>
        <v>U17</v>
      </c>
      <c r="E55" s="3" t="str">
        <f>IF(Equips_usuari!F55="","",Equips_usuari!F55)</f>
        <v>NO</v>
      </c>
      <c r="F55" s="3">
        <f>IF($C55="","",SUMIFS(Resultats_jugadores!$C:$C,Resultats_jugadores!$A:$A,$A55,Resultats_jugadores!$B:$B,$C55))</f>
        <v>0</v>
      </c>
      <c r="G55" s="3">
        <f>IF($C55="","",SUMIFS(Resultats_jugadores!$D:$D,Resultats_jugadores!$A:$A,$A55,Resultats_jugadores!$B:$B,$C55))</f>
        <v>0</v>
      </c>
      <c r="H55" s="3">
        <f t="shared" si="3"/>
        <v>0</v>
      </c>
      <c r="I55" s="3" t="str">
        <f t="array" ref="I55">IF($C55="","",IFERROR(INDEX(Partits!$C:$C,MATCH($A55&amp;"_"&amp;$D55,Partits!$D:$D,0)),""))</f>
        <v>V</v>
      </c>
      <c r="J55" s="3">
        <f t="shared" si="4"/>
        <v>1</v>
      </c>
      <c r="K55" s="3">
        <f t="shared" si="5"/>
        <v>0</v>
      </c>
      <c r="L55" s="3">
        <f t="shared" si="6"/>
        <v>1</v>
      </c>
      <c r="M55" s="3">
        <f t="shared" si="7"/>
        <v>0</v>
      </c>
    </row>
    <row r="56" ht="15.0" customHeight="1">
      <c r="A56" s="3">
        <f>IF(Equips_usuari!A56="","",Equips_usuari!A56)</f>
        <v>1</v>
      </c>
      <c r="B56" s="3" t="str">
        <f>IF(Equips_usuari!B56="","",Equips_usuari!B56)</f>
        <v>U18+DE</v>
      </c>
      <c r="C56" s="3" t="str">
        <f>IF(Equips_usuari!C56="","",Equips_usuari!C56)</f>
        <v>Marina Melero</v>
      </c>
      <c r="D56" s="3" t="str">
        <f>IF(Equips_usuari!D56="","",Equips_usuari!D56)</f>
        <v>LF2</v>
      </c>
      <c r="E56" s="3" t="str">
        <f>IF(Equips_usuari!F56="","",Equips_usuari!F56)</f>
        <v>NO</v>
      </c>
      <c r="F56" s="3">
        <f>IF($C56="","",SUMIFS(Resultats_jugadores!$C:$C,Resultats_jugadores!$A:$A,$A56,Resultats_jugadores!$B:$B,$C56))</f>
        <v>16</v>
      </c>
      <c r="G56" s="3">
        <f>IF($C56="","",SUMIFS(Resultats_jugadores!$D:$D,Resultats_jugadores!$A:$A,$A56,Resultats_jugadores!$B:$B,$C56))</f>
        <v>3</v>
      </c>
      <c r="H56" s="3">
        <f t="shared" si="3"/>
        <v>13</v>
      </c>
      <c r="I56" s="3" t="str">
        <f t="array" ref="I56">IF($C56="","",IFERROR(INDEX(Partits!$C:$C,MATCH($A56&amp;"_"&amp;$D56,Partits!$D:$D,0)),""))</f>
        <v>V</v>
      </c>
      <c r="J56" s="3">
        <f t="shared" si="4"/>
        <v>1.2</v>
      </c>
      <c r="K56" s="3">
        <f t="shared" si="5"/>
        <v>15.6</v>
      </c>
      <c r="L56" s="3">
        <f t="shared" si="6"/>
        <v>1</v>
      </c>
      <c r="M56" s="3">
        <f t="shared" si="7"/>
        <v>15.6</v>
      </c>
    </row>
    <row r="57" ht="15.0" customHeight="1">
      <c r="A57" s="3">
        <f>IF(Equips_usuari!A57="","",Equips_usuari!A57)</f>
        <v>1</v>
      </c>
      <c r="B57" s="3" t="str">
        <f>IF(Equips_usuari!B57="","",Equips_usuari!B57)</f>
        <v>U18+DE</v>
      </c>
      <c r="C57" s="3" t="str">
        <f>IF(Equips_usuari!C57="","",Equips_usuari!C57)</f>
        <v>Erica Farizo</v>
      </c>
      <c r="D57" s="3" t="str">
        <f>IF(Equips_usuari!D57="","",Equips_usuari!D57)</f>
        <v>U15</v>
      </c>
      <c r="E57" s="3" t="str">
        <f>IF(Equips_usuari!F57="","",Equips_usuari!F57)</f>
        <v>NO</v>
      </c>
      <c r="F57" s="3">
        <f>IF($C57="","",SUMIFS(Resultats_jugadores!$C:$C,Resultats_jugadores!$A:$A,$A57,Resultats_jugadores!$B:$B,$C57))</f>
        <v>0</v>
      </c>
      <c r="G57" s="3">
        <f>IF($C57="","",SUMIFS(Resultats_jugadores!$D:$D,Resultats_jugadores!$A:$A,$A57,Resultats_jugadores!$B:$B,$C57))</f>
        <v>0</v>
      </c>
      <c r="H57" s="3">
        <f t="shared" si="3"/>
        <v>0</v>
      </c>
      <c r="I57" s="3" t="str">
        <f t="array" ref="I57">IF($C57="","",IFERROR(INDEX(Partits!$C:$C,MATCH($A57&amp;"_"&amp;$D57,Partits!$D:$D,0)),""))</f>
        <v>V</v>
      </c>
      <c r="J57" s="3">
        <f t="shared" si="4"/>
        <v>1</v>
      </c>
      <c r="K57" s="3">
        <f t="shared" si="5"/>
        <v>0</v>
      </c>
      <c r="L57" s="3">
        <f t="shared" si="6"/>
        <v>1</v>
      </c>
      <c r="M57" s="3">
        <f t="shared" si="7"/>
        <v>0</v>
      </c>
    </row>
    <row r="58" ht="15.0" customHeight="1">
      <c r="A58" s="3">
        <f>IF(Equips_usuari!A58="","",Equips_usuari!A58)</f>
        <v>1</v>
      </c>
      <c r="B58" s="3" t="str">
        <f>IF(Equips_usuari!B58="","",Equips_usuari!B58)</f>
        <v>U18+DE</v>
      </c>
      <c r="C58" s="3" t="str">
        <f>IF(Equips_usuari!C58="","",Equips_usuari!C58)</f>
        <v>Nina Clotet</v>
      </c>
      <c r="D58" s="3" t="str">
        <f>IF(Equips_usuari!D58="","",Equips_usuari!D58)</f>
        <v>U17</v>
      </c>
      <c r="E58" s="3" t="str">
        <f>IF(Equips_usuari!F58="","",Equips_usuari!F58)</f>
        <v>NO</v>
      </c>
      <c r="F58" s="3">
        <f>IF($C58="","",SUMIFS(Resultats_jugadores!$C:$C,Resultats_jugadores!$A:$A,$A58,Resultats_jugadores!$B:$B,$C58))</f>
        <v>0</v>
      </c>
      <c r="G58" s="3">
        <f>IF($C58="","",SUMIFS(Resultats_jugadores!$D:$D,Resultats_jugadores!$A:$A,$A58,Resultats_jugadores!$B:$B,$C58))</f>
        <v>0</v>
      </c>
      <c r="H58" s="3">
        <f t="shared" si="3"/>
        <v>0</v>
      </c>
      <c r="I58" s="3" t="str">
        <f t="array" ref="I58">IF($C58="","",IFERROR(INDEX(Partits!$C:$C,MATCH($A58&amp;"_"&amp;$D58,Partits!$D:$D,0)),""))</f>
        <v>V</v>
      </c>
      <c r="J58" s="3">
        <f t="shared" si="4"/>
        <v>1</v>
      </c>
      <c r="K58" s="3">
        <f t="shared" si="5"/>
        <v>0</v>
      </c>
      <c r="L58" s="3">
        <f t="shared" si="6"/>
        <v>1</v>
      </c>
      <c r="M58" s="3">
        <f t="shared" si="7"/>
        <v>0</v>
      </c>
    </row>
    <row r="59" ht="15.0" customHeight="1">
      <c r="A59" s="3">
        <f>IF(Equips_usuari!A59="","",Equips_usuari!A59)</f>
        <v>1</v>
      </c>
      <c r="B59" s="3" t="str">
        <f>IF(Equips_usuari!B59="","",Equips_usuari!B59)</f>
        <v>U18+DE</v>
      </c>
      <c r="C59" s="3" t="str">
        <f>IF(Equips_usuari!C59="","",Equips_usuari!C59)</f>
        <v>Alba Sánchez</v>
      </c>
      <c r="D59" s="3" t="str">
        <f>IF(Equips_usuari!D59="","",Equips_usuari!D59)</f>
        <v>U13</v>
      </c>
      <c r="E59" s="3" t="str">
        <f>IF(Equips_usuari!F59="","",Equips_usuari!F59)</f>
        <v>NO</v>
      </c>
      <c r="F59" s="3">
        <f>IF($C59="","",SUMIFS(Resultats_jugadores!$C:$C,Resultats_jugadores!$A:$A,$A59,Resultats_jugadores!$B:$B,$C59))</f>
        <v>10</v>
      </c>
      <c r="G59" s="3">
        <f>IF($C59="","",SUMIFS(Resultats_jugadores!$D:$D,Resultats_jugadores!$A:$A,$A59,Resultats_jugadores!$B:$B,$C59))</f>
        <v>1</v>
      </c>
      <c r="H59" s="3">
        <f t="shared" si="3"/>
        <v>9</v>
      </c>
      <c r="I59" s="3" t="str">
        <f t="array" ref="I59">IF($C59="","",IFERROR(INDEX(Partits!$C:$C,MATCH($A59&amp;"_"&amp;$D59,Partits!$D:$D,0)),""))</f>
        <v>V</v>
      </c>
      <c r="J59" s="3">
        <f t="shared" si="4"/>
        <v>1.2</v>
      </c>
      <c r="K59" s="3">
        <f t="shared" si="5"/>
        <v>10.8</v>
      </c>
      <c r="L59" s="3">
        <f t="shared" si="6"/>
        <v>1</v>
      </c>
      <c r="M59" s="3">
        <f t="shared" si="7"/>
        <v>10.8</v>
      </c>
    </row>
    <row r="60" ht="15.0" customHeight="1">
      <c r="A60" s="3">
        <f>IF(Equips_usuari!A60="","",Equips_usuari!A60)</f>
        <v>1</v>
      </c>
      <c r="B60" s="3" t="str">
        <f>IF(Equips_usuari!B60="","",Equips_usuari!B60)</f>
        <v>U18+DE</v>
      </c>
      <c r="C60" s="3" t="str">
        <f>IF(Equips_usuari!C60="","",Equips_usuari!C60)</f>
        <v>Noa Viladrich</v>
      </c>
      <c r="D60" s="3" t="str">
        <f>IF(Equips_usuari!D60="","",Equips_usuari!D60)</f>
        <v>U16</v>
      </c>
      <c r="E60" s="3" t="str">
        <f>IF(Equips_usuari!F60="","",Equips_usuari!F60)</f>
        <v>NO</v>
      </c>
      <c r="F60" s="3">
        <f>IF($C60="","",SUMIFS(Resultats_jugadores!$C:$C,Resultats_jugadores!$A:$A,$A60,Resultats_jugadores!$B:$B,$C60))</f>
        <v>0</v>
      </c>
      <c r="G60" s="3">
        <f>IF($C60="","",SUMIFS(Resultats_jugadores!$D:$D,Resultats_jugadores!$A:$A,$A60,Resultats_jugadores!$B:$B,$C60))</f>
        <v>0</v>
      </c>
      <c r="H60" s="3">
        <f t="shared" si="3"/>
        <v>0</v>
      </c>
      <c r="I60" s="3" t="str">
        <f t="array" ref="I60">IF($C60="","",IFERROR(INDEX(Partits!$C:$C,MATCH($A60&amp;"_"&amp;$D60,Partits!$D:$D,0)),""))</f>
        <v>V</v>
      </c>
      <c r="J60" s="3">
        <f t="shared" si="4"/>
        <v>1</v>
      </c>
      <c r="K60" s="3">
        <f t="shared" si="5"/>
        <v>0</v>
      </c>
      <c r="L60" s="3">
        <f t="shared" si="6"/>
        <v>1</v>
      </c>
      <c r="M60" s="3">
        <f t="shared" si="7"/>
        <v>0</v>
      </c>
    </row>
    <row r="61" ht="15.0" customHeight="1">
      <c r="A61" s="3">
        <f>IF(Equips_usuari!A61="","",Equips_usuari!A61)</f>
        <v>1</v>
      </c>
      <c r="B61" s="3" t="str">
        <f>IF(Equips_usuari!B61="","",Equips_usuari!B61)</f>
        <v>U18+DE</v>
      </c>
      <c r="C61" s="3" t="str">
        <f>IF(Equips_usuari!C61="","",Equips_usuari!C61)</f>
        <v>Xènia Fígols</v>
      </c>
      <c r="D61" s="3" t="str">
        <f>IF(Equips_usuari!D61="","",Equips_usuari!D61)</f>
        <v>U18</v>
      </c>
      <c r="E61" s="3" t="str">
        <f>IF(Equips_usuari!F61="","",Equips_usuari!F61)</f>
        <v>SI</v>
      </c>
      <c r="F61" s="3">
        <f>IF($C61="","",SUMIFS(Resultats_jugadores!$C:$C,Resultats_jugadores!$A:$A,$A61,Resultats_jugadores!$B:$B,$C61))</f>
        <v>24</v>
      </c>
      <c r="G61" s="3">
        <f>IF($C61="","",SUMIFS(Resultats_jugadores!$D:$D,Resultats_jugadores!$A:$A,$A61,Resultats_jugadores!$B:$B,$C61))</f>
        <v>2</v>
      </c>
      <c r="H61" s="3">
        <f t="shared" si="3"/>
        <v>22</v>
      </c>
      <c r="I61" s="3" t="str">
        <f t="array" ref="I61">IF($C61="","",IFERROR(INDEX(Partits!$C:$C,MATCH($A61&amp;"_"&amp;$D61,Partits!$D:$D,0)),""))</f>
        <v>V</v>
      </c>
      <c r="J61" s="3">
        <f t="shared" si="4"/>
        <v>1.2</v>
      </c>
      <c r="K61" s="3">
        <f t="shared" si="5"/>
        <v>26.4</v>
      </c>
      <c r="L61" s="3">
        <f t="shared" si="6"/>
        <v>2</v>
      </c>
      <c r="M61" s="3">
        <f t="shared" si="7"/>
        <v>52.8</v>
      </c>
    </row>
    <row r="62" ht="15.0" customHeight="1">
      <c r="A62" s="3">
        <f>IF(Equips_usuari!A62="","",Equips_usuari!A62)</f>
        <v>1</v>
      </c>
      <c r="B62" s="3" t="str">
        <f>IF(Equips_usuari!B62="","",Equips_usuari!B62)</f>
        <v>U18+DE</v>
      </c>
      <c r="C62" s="3" t="str">
        <f>IF(Equips_usuari!C62="","",Equips_usuari!C62)</f>
        <v>Ayisse Magassa</v>
      </c>
      <c r="D62" s="3" t="str">
        <f>IF(Equips_usuari!D62="","",Equips_usuari!D62)</f>
        <v>LF2</v>
      </c>
      <c r="E62" s="3" t="str">
        <f>IF(Equips_usuari!F62="","",Equips_usuari!F62)</f>
        <v>NO</v>
      </c>
      <c r="F62" s="3">
        <f>IF($C62="","",SUMIFS(Resultats_jugadores!$C:$C,Resultats_jugadores!$A:$A,$A62,Resultats_jugadores!$B:$B,$C62))</f>
        <v>5</v>
      </c>
      <c r="G62" s="3">
        <f>IF($C62="","",SUMIFS(Resultats_jugadores!$D:$D,Resultats_jugadores!$A:$A,$A62,Resultats_jugadores!$B:$B,$C62))</f>
        <v>2</v>
      </c>
      <c r="H62" s="3">
        <f t="shared" si="3"/>
        <v>3</v>
      </c>
      <c r="I62" s="3" t="str">
        <f t="array" ref="I62">IF($C62="","",IFERROR(INDEX(Partits!$C:$C,MATCH($A62&amp;"_"&amp;$D62,Partits!$D:$D,0)),""))</f>
        <v>V</v>
      </c>
      <c r="J62" s="3">
        <f t="shared" si="4"/>
        <v>1.2</v>
      </c>
      <c r="K62" s="3">
        <f t="shared" si="5"/>
        <v>3.6</v>
      </c>
      <c r="L62" s="3">
        <f t="shared" si="6"/>
        <v>1</v>
      </c>
      <c r="M62" s="3">
        <f t="shared" si="7"/>
        <v>3.6</v>
      </c>
    </row>
    <row r="63" ht="15.0" customHeight="1">
      <c r="A63" s="3">
        <f>IF(Equips_usuari!A63="","",Equips_usuari!A63)</f>
        <v>1</v>
      </c>
      <c r="B63" s="3" t="str">
        <f>IF(Equips_usuari!B63="","",Equips_usuari!B63)</f>
        <v>U18+DE</v>
      </c>
      <c r="C63" s="3" t="str">
        <f>IF(Equips_usuari!C63="","",Equips_usuari!C63)</f>
        <v>Sónia Tsyvinska</v>
      </c>
      <c r="D63" s="3" t="str">
        <f>IF(Equips_usuari!D63="","",Equips_usuari!D63)</f>
        <v>U16</v>
      </c>
      <c r="E63" s="3" t="str">
        <f>IF(Equips_usuari!F63="","",Equips_usuari!F63)</f>
        <v>NO</v>
      </c>
      <c r="F63" s="3">
        <f>IF($C63="","",SUMIFS(Resultats_jugadores!$C:$C,Resultats_jugadores!$A:$A,$A63,Resultats_jugadores!$B:$B,$C63))</f>
        <v>0</v>
      </c>
      <c r="G63" s="3">
        <f>IF($C63="","",SUMIFS(Resultats_jugadores!$D:$D,Resultats_jugadores!$A:$A,$A63,Resultats_jugadores!$B:$B,$C63))</f>
        <v>0</v>
      </c>
      <c r="H63" s="3">
        <f t="shared" si="3"/>
        <v>0</v>
      </c>
      <c r="I63" s="3" t="str">
        <f t="array" ref="I63">IF($C63="","",IFERROR(INDEX(Partits!$C:$C,MATCH($A63&amp;"_"&amp;$D63,Partits!$D:$D,0)),""))</f>
        <v>V</v>
      </c>
      <c r="J63" s="3">
        <f t="shared" si="4"/>
        <v>1</v>
      </c>
      <c r="K63" s="3">
        <f t="shared" si="5"/>
        <v>0</v>
      </c>
      <c r="L63" s="3">
        <f t="shared" si="6"/>
        <v>1</v>
      </c>
      <c r="M63" s="3">
        <f t="shared" si="7"/>
        <v>0</v>
      </c>
    </row>
    <row r="64" ht="15.0" customHeight="1">
      <c r="A64" s="3">
        <f>IF(Equips_usuari!A64="","",Equips_usuari!A64)</f>
        <v>1</v>
      </c>
      <c r="B64" s="3" t="str">
        <f>IF(Equips_usuari!B64="","",Equips_usuari!B64)</f>
        <v>U18+DE</v>
      </c>
      <c r="C64" s="3" t="str">
        <f>IF(Equips_usuari!C64="","",Equips_usuari!C64)</f>
        <v>Laia Serra</v>
      </c>
      <c r="D64" s="3" t="str">
        <f>IF(Equips_usuari!D64="","",Equips_usuari!D64)</f>
        <v>U18</v>
      </c>
      <c r="E64" s="3" t="str">
        <f>IF(Equips_usuari!F64="","",Equips_usuari!F64)</f>
        <v>NO</v>
      </c>
      <c r="F64" s="3">
        <f>IF($C64="","",SUMIFS(Resultats_jugadores!$C:$C,Resultats_jugadores!$A:$A,$A64,Resultats_jugadores!$B:$B,$C64))</f>
        <v>6</v>
      </c>
      <c r="G64" s="3">
        <f>IF($C64="","",SUMIFS(Resultats_jugadores!$D:$D,Resultats_jugadores!$A:$A,$A64,Resultats_jugadores!$B:$B,$C64))</f>
        <v>2</v>
      </c>
      <c r="H64" s="3">
        <f t="shared" si="3"/>
        <v>4</v>
      </c>
      <c r="I64" s="3" t="str">
        <f t="array" ref="I64">IF($C64="","",IFERROR(INDEX(Partits!$C:$C,MATCH($A64&amp;"_"&amp;$D64,Partits!$D:$D,0)),""))</f>
        <v>V</v>
      </c>
      <c r="J64" s="3">
        <f t="shared" si="4"/>
        <v>1.2</v>
      </c>
      <c r="K64" s="3">
        <f t="shared" si="5"/>
        <v>4.8</v>
      </c>
      <c r="L64" s="3">
        <f t="shared" si="6"/>
        <v>1</v>
      </c>
      <c r="M64" s="3">
        <f t="shared" si="7"/>
        <v>4.8</v>
      </c>
    </row>
    <row r="65" ht="15.0" customHeight="1">
      <c r="A65" s="3" t="str">
        <f>IF(Equips_usuari!A65="","",Equips_usuari!A65)</f>
        <v/>
      </c>
      <c r="B65" s="3" t="str">
        <f>IF(Equips_usuari!B65="","",Equips_usuari!B65)</f>
        <v/>
      </c>
      <c r="C65" s="3" t="str">
        <f>IF(Equips_usuari!C65="","",Equips_usuari!C65)</f>
        <v/>
      </c>
      <c r="D65" s="3" t="str">
        <f>IF(Equips_usuari!D65="","",Equips_usuari!D65)</f>
        <v/>
      </c>
      <c r="E65" s="3" t="str">
        <f>IF(Equips_usuari!F65="","",Equips_usuari!F65)</f>
        <v/>
      </c>
      <c r="F65" s="3" t="str">
        <f>IF($C65="","",SUMIFS(Resultats_jugadores!$C:$C,Resultats_jugadores!$A:$A,$A65,Resultats_jugadores!$B:$B,$C65))</f>
        <v/>
      </c>
      <c r="G65" s="3" t="str">
        <f>IF($C65="","",SUMIFS(Resultats_jugadores!$D:$D,Resultats_jugadores!$A:$A,$A65,Resultats_jugadores!$B:$B,$C65))</f>
        <v/>
      </c>
      <c r="H65" s="3" t="str">
        <f t="shared" si="3"/>
        <v/>
      </c>
      <c r="I65" s="3" t="str">
        <f t="array" ref="I65">IF($C65="","",IFERROR(INDEX(Partits!$C:$C,MATCH($A65&amp;"_"&amp;$D65,Partits!$D:$D,0)),""))</f>
        <v/>
      </c>
      <c r="J65" s="3" t="str">
        <f t="shared" si="4"/>
        <v/>
      </c>
      <c r="K65" s="3" t="str">
        <f t="shared" si="5"/>
        <v/>
      </c>
      <c r="L65" s="3" t="str">
        <f t="shared" si="6"/>
        <v/>
      </c>
      <c r="M65" s="3" t="str">
        <f t="shared" si="7"/>
        <v/>
      </c>
    </row>
    <row r="66" ht="15.0" customHeight="1">
      <c r="A66" s="3" t="str">
        <f>IF(Equips_usuari!A66="","",Equips_usuari!A66)</f>
        <v/>
      </c>
      <c r="B66" s="3" t="str">
        <f>IF(Equips_usuari!B66="","",Equips_usuari!B66)</f>
        <v/>
      </c>
      <c r="C66" s="3" t="str">
        <f>IF(Equips_usuari!C66="","",Equips_usuari!C66)</f>
        <v/>
      </c>
      <c r="D66" s="3" t="str">
        <f>IF(Equips_usuari!D66="","",Equips_usuari!D66)</f>
        <v/>
      </c>
      <c r="E66" s="3" t="str">
        <f>IF(Equips_usuari!F66="","",Equips_usuari!F66)</f>
        <v/>
      </c>
      <c r="F66" s="3" t="str">
        <f>IF($C66="","",SUMIFS(Resultats_jugadores!$C:$C,Resultats_jugadores!$A:$A,$A66,Resultats_jugadores!$B:$B,$C66))</f>
        <v/>
      </c>
      <c r="G66" s="3" t="str">
        <f>IF($C66="","",SUMIFS(Resultats_jugadores!$D:$D,Resultats_jugadores!$A:$A,$A66,Resultats_jugadores!$B:$B,$C66))</f>
        <v/>
      </c>
      <c r="H66" s="3" t="str">
        <f t="shared" si="3"/>
        <v/>
      </c>
      <c r="I66" s="3" t="str">
        <f t="array" ref="I66">IF($C66="","",IFERROR(INDEX(Partits!$C:$C,MATCH($A66&amp;"_"&amp;$D66,Partits!$D:$D,0)),""))</f>
        <v/>
      </c>
      <c r="J66" s="3" t="str">
        <f t="shared" si="4"/>
        <v/>
      </c>
      <c r="K66" s="3" t="str">
        <f t="shared" si="5"/>
        <v/>
      </c>
      <c r="L66" s="3" t="str">
        <f t="shared" si="6"/>
        <v/>
      </c>
      <c r="M66" s="3" t="str">
        <f t="shared" si="7"/>
        <v/>
      </c>
    </row>
    <row r="67" ht="15.0" customHeight="1">
      <c r="A67" s="3" t="str">
        <f>IF(Equips_usuari!A67="","",Equips_usuari!A67)</f>
        <v/>
      </c>
      <c r="B67" s="3" t="str">
        <f>IF(Equips_usuari!B67="","",Equips_usuari!B67)</f>
        <v/>
      </c>
      <c r="C67" s="3" t="str">
        <f>IF(Equips_usuari!C67="","",Equips_usuari!C67)</f>
        <v/>
      </c>
      <c r="D67" s="3" t="str">
        <f>IF(Equips_usuari!D67="","",Equips_usuari!D67)</f>
        <v/>
      </c>
      <c r="E67" s="3" t="str">
        <f>IF(Equips_usuari!F67="","",Equips_usuari!F67)</f>
        <v/>
      </c>
      <c r="F67" s="3" t="str">
        <f>IF($C67="","",SUMIFS(Resultats_jugadores!$C:$C,Resultats_jugadores!$A:$A,$A67,Resultats_jugadores!$B:$B,$C67))</f>
        <v/>
      </c>
      <c r="G67" s="3" t="str">
        <f>IF($C67="","",SUMIFS(Resultats_jugadores!$D:$D,Resultats_jugadores!$A:$A,$A67,Resultats_jugadores!$B:$B,$C67))</f>
        <v/>
      </c>
      <c r="H67" s="3" t="str">
        <f t="shared" si="3"/>
        <v/>
      </c>
      <c r="I67" s="3" t="str">
        <f t="array" ref="I67">IF($C67="","",IFERROR(INDEX(Partits!$C:$C,MATCH($A67&amp;"_"&amp;$D67,Partits!$D:$D,0)),""))</f>
        <v/>
      </c>
      <c r="J67" s="3" t="str">
        <f t="shared" si="4"/>
        <v/>
      </c>
      <c r="K67" s="3" t="str">
        <f t="shared" si="5"/>
        <v/>
      </c>
      <c r="L67" s="3" t="str">
        <f t="shared" si="6"/>
        <v/>
      </c>
      <c r="M67" s="3" t="str">
        <f t="shared" si="7"/>
        <v/>
      </c>
    </row>
    <row r="68" ht="15.0" customHeight="1">
      <c r="A68" s="3" t="str">
        <f>IF(Equips_usuari!A68="","",Equips_usuari!A68)</f>
        <v/>
      </c>
      <c r="B68" s="3" t="str">
        <f>IF(Equips_usuari!B68="","",Equips_usuari!B68)</f>
        <v/>
      </c>
      <c r="C68" s="3" t="str">
        <f>IF(Equips_usuari!C68="","",Equips_usuari!C68)</f>
        <v/>
      </c>
      <c r="D68" s="3" t="str">
        <f>IF(Equips_usuari!D68="","",Equips_usuari!D68)</f>
        <v/>
      </c>
      <c r="E68" s="3" t="str">
        <f>IF(Equips_usuari!F68="","",Equips_usuari!F68)</f>
        <v/>
      </c>
      <c r="F68" s="3" t="str">
        <f>IF($C68="","",SUMIFS(Resultats_jugadores!$C:$C,Resultats_jugadores!$A:$A,$A68,Resultats_jugadores!$B:$B,$C68))</f>
        <v/>
      </c>
      <c r="G68" s="3" t="str">
        <f>IF($C68="","",SUMIFS(Resultats_jugadores!$D:$D,Resultats_jugadores!$A:$A,$A68,Resultats_jugadores!$B:$B,$C68))</f>
        <v/>
      </c>
      <c r="H68" s="3" t="str">
        <f t="shared" si="3"/>
        <v/>
      </c>
      <c r="I68" s="3" t="str">
        <f t="array" ref="I68">IF($C68="","",IFERROR(INDEX(Partits!$C:$C,MATCH($A68&amp;"_"&amp;$D68,Partits!$D:$D,0)),""))</f>
        <v/>
      </c>
      <c r="J68" s="3" t="str">
        <f t="shared" si="4"/>
        <v/>
      </c>
      <c r="K68" s="3" t="str">
        <f t="shared" si="5"/>
        <v/>
      </c>
      <c r="L68" s="3" t="str">
        <f t="shared" si="6"/>
        <v/>
      </c>
      <c r="M68" s="3" t="str">
        <f t="shared" si="7"/>
        <v/>
      </c>
    </row>
    <row r="69" ht="15.0" customHeight="1">
      <c r="A69" s="3" t="str">
        <f>IF(Equips_usuari!A69="","",Equips_usuari!A69)</f>
        <v/>
      </c>
      <c r="B69" s="3" t="str">
        <f>IF(Equips_usuari!B69="","",Equips_usuari!B69)</f>
        <v/>
      </c>
      <c r="C69" s="3" t="str">
        <f>IF(Equips_usuari!C69="","",Equips_usuari!C69)</f>
        <v/>
      </c>
      <c r="D69" s="3" t="str">
        <f>IF(Equips_usuari!D69="","",Equips_usuari!D69)</f>
        <v/>
      </c>
      <c r="E69" s="3" t="str">
        <f>IF(Equips_usuari!F69="","",Equips_usuari!F69)</f>
        <v/>
      </c>
      <c r="F69" s="3" t="str">
        <f>IF($C69="","",SUMIFS(Resultats_jugadores!$C:$C,Resultats_jugadores!$A:$A,$A69,Resultats_jugadores!$B:$B,$C69))</f>
        <v/>
      </c>
      <c r="G69" s="3" t="str">
        <f>IF($C69="","",SUMIFS(Resultats_jugadores!$D:$D,Resultats_jugadores!$A:$A,$A69,Resultats_jugadores!$B:$B,$C69))</f>
        <v/>
      </c>
      <c r="H69" s="3" t="str">
        <f t="shared" si="3"/>
        <v/>
      </c>
      <c r="I69" s="3" t="str">
        <f t="array" ref="I69">IF($C69="","",IFERROR(INDEX(Partits!$C:$C,MATCH($A69&amp;"_"&amp;$D69,Partits!$D:$D,0)),""))</f>
        <v/>
      </c>
      <c r="J69" s="3" t="str">
        <f t="shared" si="4"/>
        <v/>
      </c>
      <c r="K69" s="3" t="str">
        <f t="shared" si="5"/>
        <v/>
      </c>
      <c r="L69" s="3" t="str">
        <f t="shared" si="6"/>
        <v/>
      </c>
      <c r="M69" s="3" t="str">
        <f t="shared" si="7"/>
        <v/>
      </c>
    </row>
    <row r="70" ht="15.0" customHeight="1">
      <c r="A70" s="3" t="str">
        <f>IF(Equips_usuari!A70="","",Equips_usuari!A70)</f>
        <v/>
      </c>
      <c r="B70" s="3" t="str">
        <f>IF(Equips_usuari!B70="","",Equips_usuari!B70)</f>
        <v/>
      </c>
      <c r="C70" s="3" t="str">
        <f>IF(Equips_usuari!C70="","",Equips_usuari!C70)</f>
        <v/>
      </c>
      <c r="D70" s="3" t="str">
        <f>IF(Equips_usuari!D70="","",Equips_usuari!D70)</f>
        <v/>
      </c>
      <c r="E70" s="3" t="str">
        <f>IF(Equips_usuari!F70="","",Equips_usuari!F70)</f>
        <v/>
      </c>
      <c r="F70" s="3" t="str">
        <f>IF($C70="","",SUMIFS(Resultats_jugadores!$C:$C,Resultats_jugadores!$A:$A,$A70,Resultats_jugadores!$B:$B,$C70))</f>
        <v/>
      </c>
      <c r="G70" s="3" t="str">
        <f>IF($C70="","",SUMIFS(Resultats_jugadores!$D:$D,Resultats_jugadores!$A:$A,$A70,Resultats_jugadores!$B:$B,$C70))</f>
        <v/>
      </c>
      <c r="H70" s="3" t="str">
        <f t="shared" si="3"/>
        <v/>
      </c>
      <c r="I70" s="3" t="str">
        <f t="array" ref="I70">IF($C70="","",IFERROR(INDEX(Partits!$C:$C,MATCH($A70&amp;"_"&amp;$D70,Partits!$D:$D,0)),""))</f>
        <v/>
      </c>
      <c r="J70" s="3" t="str">
        <f t="shared" si="4"/>
        <v/>
      </c>
      <c r="K70" s="3" t="str">
        <f t="shared" si="5"/>
        <v/>
      </c>
      <c r="L70" s="3" t="str">
        <f t="shared" si="6"/>
        <v/>
      </c>
      <c r="M70" s="3" t="str">
        <f t="shared" si="7"/>
        <v/>
      </c>
    </row>
    <row r="71" ht="15.0" customHeight="1">
      <c r="A71" s="3" t="str">
        <f>IF(Equips_usuari!A71="","",Equips_usuari!A71)</f>
        <v/>
      </c>
      <c r="B71" s="3" t="str">
        <f>IF(Equips_usuari!B71="","",Equips_usuari!B71)</f>
        <v/>
      </c>
      <c r="C71" s="3" t="str">
        <f>IF(Equips_usuari!C71="","",Equips_usuari!C71)</f>
        <v/>
      </c>
      <c r="D71" s="3" t="str">
        <f>IF(Equips_usuari!D71="","",Equips_usuari!D71)</f>
        <v/>
      </c>
      <c r="E71" s="3" t="str">
        <f>IF(Equips_usuari!F71="","",Equips_usuari!F71)</f>
        <v/>
      </c>
      <c r="F71" s="3" t="str">
        <f>IF($C71="","",SUMIFS(Resultats_jugadores!$C:$C,Resultats_jugadores!$A:$A,$A71,Resultats_jugadores!$B:$B,$C71))</f>
        <v/>
      </c>
      <c r="G71" s="3" t="str">
        <f>IF($C71="","",SUMIFS(Resultats_jugadores!$D:$D,Resultats_jugadores!$A:$A,$A71,Resultats_jugadores!$B:$B,$C71))</f>
        <v/>
      </c>
      <c r="H71" s="3" t="str">
        <f t="shared" si="3"/>
        <v/>
      </c>
      <c r="I71" s="3" t="str">
        <f t="array" ref="I71">IF($C71="","",IFERROR(INDEX(Partits!$C:$C,MATCH($A71&amp;"_"&amp;$D71,Partits!$D:$D,0)),""))</f>
        <v/>
      </c>
      <c r="J71" s="3" t="str">
        <f t="shared" si="4"/>
        <v/>
      </c>
      <c r="K71" s="3" t="str">
        <f t="shared" si="5"/>
        <v/>
      </c>
      <c r="L71" s="3" t="str">
        <f t="shared" si="6"/>
        <v/>
      </c>
      <c r="M71" s="3" t="str">
        <f t="shared" si="7"/>
        <v/>
      </c>
    </row>
    <row r="72" ht="15.0" customHeight="1">
      <c r="A72" s="3" t="str">
        <f>IF(Equips_usuari!A72="","",Equips_usuari!A72)</f>
        <v/>
      </c>
      <c r="B72" s="3" t="str">
        <f>IF(Equips_usuari!B72="","",Equips_usuari!B72)</f>
        <v/>
      </c>
      <c r="C72" s="3" t="str">
        <f>IF(Equips_usuari!C72="","",Equips_usuari!C72)</f>
        <v/>
      </c>
      <c r="D72" s="3" t="str">
        <f>IF(Equips_usuari!D72="","",Equips_usuari!D72)</f>
        <v/>
      </c>
      <c r="E72" s="3" t="str">
        <f>IF(Equips_usuari!F72="","",Equips_usuari!F72)</f>
        <v/>
      </c>
      <c r="F72" s="3" t="str">
        <f>IF($C72="","",SUMIFS(Resultats_jugadores!$C:$C,Resultats_jugadores!$A:$A,$A72,Resultats_jugadores!$B:$B,$C72))</f>
        <v/>
      </c>
      <c r="G72" s="3" t="str">
        <f>IF($C72="","",SUMIFS(Resultats_jugadores!$D:$D,Resultats_jugadores!$A:$A,$A72,Resultats_jugadores!$B:$B,$C72))</f>
        <v/>
      </c>
      <c r="H72" s="3" t="str">
        <f t="shared" si="3"/>
        <v/>
      </c>
      <c r="I72" s="3" t="str">
        <f t="array" ref="I72">IF($C72="","",IFERROR(INDEX(Partits!$C:$C,MATCH($A72&amp;"_"&amp;$D72,Partits!$D:$D,0)),""))</f>
        <v/>
      </c>
      <c r="J72" s="3" t="str">
        <f t="shared" si="4"/>
        <v/>
      </c>
      <c r="K72" s="3" t="str">
        <f t="shared" si="5"/>
        <v/>
      </c>
      <c r="L72" s="3" t="str">
        <f t="shared" si="6"/>
        <v/>
      </c>
      <c r="M72" s="3" t="str">
        <f t="shared" si="7"/>
        <v/>
      </c>
    </row>
    <row r="73" ht="15.0" customHeight="1">
      <c r="A73" s="3" t="str">
        <f>IF(Equips_usuari!A73="","",Equips_usuari!A73)</f>
        <v/>
      </c>
      <c r="B73" s="3" t="str">
        <f>IF(Equips_usuari!B73="","",Equips_usuari!B73)</f>
        <v/>
      </c>
      <c r="C73" s="3" t="str">
        <f>IF(Equips_usuari!C73="","",Equips_usuari!C73)</f>
        <v/>
      </c>
      <c r="D73" s="3" t="str">
        <f>IF(Equips_usuari!D73="","",Equips_usuari!D73)</f>
        <v/>
      </c>
      <c r="E73" s="3" t="str">
        <f>IF(Equips_usuari!F73="","",Equips_usuari!F73)</f>
        <v/>
      </c>
      <c r="F73" s="3" t="str">
        <f>IF($C73="","",SUMIFS(Resultats_jugadores!$C:$C,Resultats_jugadores!$A:$A,$A73,Resultats_jugadores!$B:$B,$C73))</f>
        <v/>
      </c>
      <c r="G73" s="3" t="str">
        <f>IF($C73="","",SUMIFS(Resultats_jugadores!$D:$D,Resultats_jugadores!$A:$A,$A73,Resultats_jugadores!$B:$B,$C73))</f>
        <v/>
      </c>
      <c r="H73" s="3" t="str">
        <f t="shared" si="3"/>
        <v/>
      </c>
      <c r="I73" s="3" t="str">
        <f t="array" ref="I73">IF($C73="","",IFERROR(INDEX(Partits!$C:$C,MATCH($A73&amp;"_"&amp;$D73,Partits!$D:$D,0)),""))</f>
        <v/>
      </c>
      <c r="J73" s="3" t="str">
        <f t="shared" si="4"/>
        <v/>
      </c>
      <c r="K73" s="3" t="str">
        <f t="shared" si="5"/>
        <v/>
      </c>
      <c r="L73" s="3" t="str">
        <f t="shared" si="6"/>
        <v/>
      </c>
      <c r="M73" s="3" t="str">
        <f t="shared" si="7"/>
        <v/>
      </c>
    </row>
    <row r="74" ht="15.0" customHeight="1">
      <c r="A74" s="3" t="str">
        <f>IF(Equips_usuari!A74="","",Equips_usuari!A74)</f>
        <v/>
      </c>
      <c r="B74" s="3" t="str">
        <f>IF(Equips_usuari!B74="","",Equips_usuari!B74)</f>
        <v/>
      </c>
      <c r="C74" s="3" t="str">
        <f>IF(Equips_usuari!C74="","",Equips_usuari!C74)</f>
        <v/>
      </c>
      <c r="D74" s="3" t="str">
        <f>IF(Equips_usuari!D74="","",Equips_usuari!D74)</f>
        <v/>
      </c>
      <c r="E74" s="3" t="str">
        <f>IF(Equips_usuari!F74="","",Equips_usuari!F74)</f>
        <v/>
      </c>
      <c r="F74" s="3" t="str">
        <f>IF($C74="","",SUMIFS(Resultats_jugadores!$C:$C,Resultats_jugadores!$A:$A,$A74,Resultats_jugadores!$B:$B,$C74))</f>
        <v/>
      </c>
      <c r="G74" s="3" t="str">
        <f>IF($C74="","",SUMIFS(Resultats_jugadores!$D:$D,Resultats_jugadores!$A:$A,$A74,Resultats_jugadores!$B:$B,$C74))</f>
        <v/>
      </c>
      <c r="H74" s="3" t="str">
        <f t="shared" si="3"/>
        <v/>
      </c>
      <c r="I74" s="3" t="str">
        <f t="array" ref="I74">IF($C74="","",IFERROR(INDEX(Partits!$C:$C,MATCH($A74&amp;"_"&amp;$D74,Partits!$D:$D,0)),""))</f>
        <v/>
      </c>
      <c r="J74" s="3" t="str">
        <f t="shared" si="4"/>
        <v/>
      </c>
      <c r="K74" s="3" t="str">
        <f t="shared" si="5"/>
        <v/>
      </c>
      <c r="L74" s="3" t="str">
        <f t="shared" si="6"/>
        <v/>
      </c>
      <c r="M74" s="3" t="str">
        <f t="shared" si="7"/>
        <v/>
      </c>
    </row>
    <row r="75" ht="15.0" customHeight="1">
      <c r="A75" s="3" t="str">
        <f>IF(Equips_usuari!A75="","",Equips_usuari!A75)</f>
        <v/>
      </c>
      <c r="B75" s="3" t="str">
        <f>IF(Equips_usuari!B75="","",Equips_usuari!B75)</f>
        <v/>
      </c>
      <c r="C75" s="3" t="str">
        <f>IF(Equips_usuari!C75="","",Equips_usuari!C75)</f>
        <v/>
      </c>
      <c r="D75" s="3" t="str">
        <f>IF(Equips_usuari!D75="","",Equips_usuari!D75)</f>
        <v/>
      </c>
      <c r="E75" s="3" t="str">
        <f>IF(Equips_usuari!F75="","",Equips_usuari!F75)</f>
        <v/>
      </c>
      <c r="F75" s="3" t="str">
        <f>IF($C75="","",SUMIFS(Resultats_jugadores!$C:$C,Resultats_jugadores!$A:$A,$A75,Resultats_jugadores!$B:$B,$C75))</f>
        <v/>
      </c>
      <c r="G75" s="3" t="str">
        <f>IF($C75="","",SUMIFS(Resultats_jugadores!$D:$D,Resultats_jugadores!$A:$A,$A75,Resultats_jugadores!$B:$B,$C75))</f>
        <v/>
      </c>
      <c r="H75" s="3" t="str">
        <f t="shared" si="3"/>
        <v/>
      </c>
      <c r="I75" s="3" t="str">
        <f t="array" ref="I75">IF($C75="","",IFERROR(INDEX(Partits!$C:$C,MATCH($A75&amp;"_"&amp;$D75,Partits!$D:$D,0)),""))</f>
        <v/>
      </c>
      <c r="J75" s="3" t="str">
        <f t="shared" si="4"/>
        <v/>
      </c>
      <c r="K75" s="3" t="str">
        <f t="shared" si="5"/>
        <v/>
      </c>
      <c r="L75" s="3" t="str">
        <f t="shared" si="6"/>
        <v/>
      </c>
      <c r="M75" s="3" t="str">
        <f t="shared" si="7"/>
        <v/>
      </c>
    </row>
    <row r="76" ht="15.0" customHeight="1">
      <c r="A76" s="3" t="str">
        <f>IF(Equips_usuari!A76="","",Equips_usuari!A76)</f>
        <v/>
      </c>
      <c r="B76" s="3" t="str">
        <f>IF(Equips_usuari!B76="","",Equips_usuari!B76)</f>
        <v/>
      </c>
      <c r="C76" s="3" t="str">
        <f>IF(Equips_usuari!C76="","",Equips_usuari!C76)</f>
        <v/>
      </c>
      <c r="D76" s="3" t="str">
        <f>IF(Equips_usuari!D76="","",Equips_usuari!D76)</f>
        <v/>
      </c>
      <c r="E76" s="3" t="str">
        <f>IF(Equips_usuari!F76="","",Equips_usuari!F76)</f>
        <v/>
      </c>
      <c r="F76" s="3" t="str">
        <f>IF($C76="","",SUMIFS(Resultats_jugadores!$C:$C,Resultats_jugadores!$A:$A,$A76,Resultats_jugadores!$B:$B,$C76))</f>
        <v/>
      </c>
      <c r="G76" s="3" t="str">
        <f>IF($C76="","",SUMIFS(Resultats_jugadores!$D:$D,Resultats_jugadores!$A:$A,$A76,Resultats_jugadores!$B:$B,$C76))</f>
        <v/>
      </c>
      <c r="H76" s="3" t="str">
        <f t="shared" si="3"/>
        <v/>
      </c>
      <c r="I76" s="3" t="str">
        <f t="array" ref="I76">IF($C76="","",IFERROR(INDEX(Partits!$C:$C,MATCH($A76&amp;"_"&amp;$D76,Partits!$D:$D,0)),""))</f>
        <v/>
      </c>
      <c r="J76" s="3" t="str">
        <f t="shared" si="4"/>
        <v/>
      </c>
      <c r="K76" s="3" t="str">
        <f t="shared" si="5"/>
        <v/>
      </c>
      <c r="L76" s="3" t="str">
        <f t="shared" si="6"/>
        <v/>
      </c>
      <c r="M76" s="3" t="str">
        <f t="shared" si="7"/>
        <v/>
      </c>
    </row>
    <row r="77" ht="15.0" customHeight="1">
      <c r="A77" s="3" t="str">
        <f>IF(Equips_usuari!A77="","",Equips_usuari!A77)</f>
        <v/>
      </c>
      <c r="B77" s="3" t="str">
        <f>IF(Equips_usuari!B77="","",Equips_usuari!B77)</f>
        <v/>
      </c>
      <c r="C77" s="3" t="str">
        <f>IF(Equips_usuari!C77="","",Equips_usuari!C77)</f>
        <v/>
      </c>
      <c r="D77" s="3" t="str">
        <f>IF(Equips_usuari!D77="","",Equips_usuari!D77)</f>
        <v/>
      </c>
      <c r="E77" s="3" t="str">
        <f>IF(Equips_usuari!F77="","",Equips_usuari!F77)</f>
        <v/>
      </c>
      <c r="F77" s="3" t="str">
        <f>IF($C77="","",SUMIFS(Resultats_jugadores!$C:$C,Resultats_jugadores!$A:$A,$A77,Resultats_jugadores!$B:$B,$C77))</f>
        <v/>
      </c>
      <c r="G77" s="3" t="str">
        <f>IF($C77="","",SUMIFS(Resultats_jugadores!$D:$D,Resultats_jugadores!$A:$A,$A77,Resultats_jugadores!$B:$B,$C77))</f>
        <v/>
      </c>
      <c r="H77" s="3" t="str">
        <f t="shared" si="3"/>
        <v/>
      </c>
      <c r="I77" s="3" t="str">
        <f t="array" ref="I77">IF($C77="","",IFERROR(INDEX(Partits!$C:$C,MATCH($A77&amp;"_"&amp;$D77,Partits!$D:$D,0)),""))</f>
        <v/>
      </c>
      <c r="J77" s="3" t="str">
        <f t="shared" si="4"/>
        <v/>
      </c>
      <c r="K77" s="3" t="str">
        <f t="shared" si="5"/>
        <v/>
      </c>
      <c r="L77" s="3" t="str">
        <f t="shared" si="6"/>
        <v/>
      </c>
      <c r="M77" s="3" t="str">
        <f t="shared" si="7"/>
        <v/>
      </c>
    </row>
    <row r="78" ht="15.0" customHeight="1">
      <c r="A78" s="3" t="str">
        <f>IF(Equips_usuari!A78="","",Equips_usuari!A78)</f>
        <v/>
      </c>
      <c r="B78" s="3" t="str">
        <f>IF(Equips_usuari!B78="","",Equips_usuari!B78)</f>
        <v/>
      </c>
      <c r="C78" s="3" t="str">
        <f>IF(Equips_usuari!C78="","",Equips_usuari!C78)</f>
        <v/>
      </c>
      <c r="D78" s="3" t="str">
        <f>IF(Equips_usuari!D78="","",Equips_usuari!D78)</f>
        <v/>
      </c>
      <c r="E78" s="3" t="str">
        <f>IF(Equips_usuari!F78="","",Equips_usuari!F78)</f>
        <v/>
      </c>
      <c r="F78" s="3" t="str">
        <f>IF($C78="","",SUMIFS(Resultats_jugadores!$C:$C,Resultats_jugadores!$A:$A,$A78,Resultats_jugadores!$B:$B,$C78))</f>
        <v/>
      </c>
      <c r="G78" s="3" t="str">
        <f>IF($C78="","",SUMIFS(Resultats_jugadores!$D:$D,Resultats_jugadores!$A:$A,$A78,Resultats_jugadores!$B:$B,$C78))</f>
        <v/>
      </c>
      <c r="H78" s="3" t="str">
        <f t="shared" si="3"/>
        <v/>
      </c>
      <c r="I78" s="3" t="str">
        <f t="array" ref="I78">IF($C78="","",IFERROR(INDEX(Partits!$C:$C,MATCH($A78&amp;"_"&amp;$D78,Partits!$D:$D,0)),""))</f>
        <v/>
      </c>
      <c r="J78" s="3" t="str">
        <f t="shared" si="4"/>
        <v/>
      </c>
      <c r="K78" s="3" t="str">
        <f t="shared" si="5"/>
        <v/>
      </c>
      <c r="L78" s="3" t="str">
        <f t="shared" si="6"/>
        <v/>
      </c>
      <c r="M78" s="3" t="str">
        <f t="shared" si="7"/>
        <v/>
      </c>
    </row>
    <row r="79" ht="15.0" customHeight="1">
      <c r="A79" s="3" t="str">
        <f>IF(Equips_usuari!A79="","",Equips_usuari!A79)</f>
        <v/>
      </c>
      <c r="B79" s="3" t="str">
        <f>IF(Equips_usuari!B79="","",Equips_usuari!B79)</f>
        <v/>
      </c>
      <c r="C79" s="3" t="str">
        <f>IF(Equips_usuari!C79="","",Equips_usuari!C79)</f>
        <v/>
      </c>
      <c r="D79" s="3" t="str">
        <f>IF(Equips_usuari!D79="","",Equips_usuari!D79)</f>
        <v/>
      </c>
      <c r="E79" s="3" t="str">
        <f>IF(Equips_usuari!F79="","",Equips_usuari!F79)</f>
        <v/>
      </c>
      <c r="F79" s="3" t="str">
        <f>IF($C79="","",SUMIFS(Resultats_jugadores!$C:$C,Resultats_jugadores!$A:$A,$A79,Resultats_jugadores!$B:$B,$C79))</f>
        <v/>
      </c>
      <c r="G79" s="3" t="str">
        <f>IF($C79="","",SUMIFS(Resultats_jugadores!$D:$D,Resultats_jugadores!$A:$A,$A79,Resultats_jugadores!$B:$B,$C79))</f>
        <v/>
      </c>
      <c r="H79" s="3" t="str">
        <f t="shared" si="3"/>
        <v/>
      </c>
      <c r="I79" s="3" t="str">
        <f t="array" ref="I79">IF($C79="","",IFERROR(INDEX(Partits!$C:$C,MATCH($A79&amp;"_"&amp;$D79,Partits!$D:$D,0)),""))</f>
        <v/>
      </c>
      <c r="J79" s="3" t="str">
        <f t="shared" si="4"/>
        <v/>
      </c>
      <c r="K79" s="3" t="str">
        <f t="shared" si="5"/>
        <v/>
      </c>
      <c r="L79" s="3" t="str">
        <f t="shared" si="6"/>
        <v/>
      </c>
      <c r="M79" s="3" t="str">
        <f t="shared" si="7"/>
        <v/>
      </c>
    </row>
    <row r="80" ht="15.0" customHeight="1">
      <c r="A80" s="3" t="str">
        <f>IF(Equips_usuari!A80="","",Equips_usuari!A80)</f>
        <v/>
      </c>
      <c r="B80" s="3" t="str">
        <f>IF(Equips_usuari!B80="","",Equips_usuari!B80)</f>
        <v/>
      </c>
      <c r="C80" s="3" t="str">
        <f>IF(Equips_usuari!C80="","",Equips_usuari!C80)</f>
        <v/>
      </c>
      <c r="D80" s="3" t="str">
        <f>IF(Equips_usuari!D80="","",Equips_usuari!D80)</f>
        <v/>
      </c>
      <c r="E80" s="3" t="str">
        <f>IF(Equips_usuari!F80="","",Equips_usuari!F80)</f>
        <v/>
      </c>
      <c r="F80" s="3" t="str">
        <f>IF($C80="","",SUMIFS(Resultats_jugadores!$C:$C,Resultats_jugadores!$A:$A,$A80,Resultats_jugadores!$B:$B,$C80))</f>
        <v/>
      </c>
      <c r="G80" s="3" t="str">
        <f>IF($C80="","",SUMIFS(Resultats_jugadores!$D:$D,Resultats_jugadores!$A:$A,$A80,Resultats_jugadores!$B:$B,$C80))</f>
        <v/>
      </c>
      <c r="H80" s="3" t="str">
        <f t="shared" si="3"/>
        <v/>
      </c>
      <c r="I80" s="3" t="str">
        <f t="array" ref="I80">IF($C80="","",IFERROR(INDEX(Partits!$C:$C,MATCH($A80&amp;"_"&amp;$D80,Partits!$D:$D,0)),""))</f>
        <v/>
      </c>
      <c r="J80" s="3" t="str">
        <f t="shared" si="4"/>
        <v/>
      </c>
      <c r="K80" s="3" t="str">
        <f t="shared" si="5"/>
        <v/>
      </c>
      <c r="L80" s="3" t="str">
        <f t="shared" si="6"/>
        <v/>
      </c>
      <c r="M80" s="3" t="str">
        <f t="shared" si="7"/>
        <v/>
      </c>
    </row>
    <row r="81" ht="15.0" customHeight="1">
      <c r="A81" s="3" t="str">
        <f>IF(Equips_usuari!A81="","",Equips_usuari!A81)</f>
        <v/>
      </c>
      <c r="B81" s="3" t="str">
        <f>IF(Equips_usuari!B81="","",Equips_usuari!B81)</f>
        <v/>
      </c>
      <c r="C81" s="3" t="str">
        <f>IF(Equips_usuari!C81="","",Equips_usuari!C81)</f>
        <v/>
      </c>
      <c r="D81" s="3" t="str">
        <f>IF(Equips_usuari!D81="","",Equips_usuari!D81)</f>
        <v/>
      </c>
      <c r="E81" s="3" t="str">
        <f>IF(Equips_usuari!F81="","",Equips_usuari!F81)</f>
        <v/>
      </c>
      <c r="F81" s="3" t="str">
        <f>IF($C81="","",SUMIFS(Resultats_jugadores!$C:$C,Resultats_jugadores!$A:$A,$A81,Resultats_jugadores!$B:$B,$C81))</f>
        <v/>
      </c>
      <c r="G81" s="3" t="str">
        <f>IF($C81="","",SUMIFS(Resultats_jugadores!$D:$D,Resultats_jugadores!$A:$A,$A81,Resultats_jugadores!$B:$B,$C81))</f>
        <v/>
      </c>
      <c r="H81" s="3" t="str">
        <f t="shared" si="3"/>
        <v/>
      </c>
      <c r="I81" s="3" t="str">
        <f t="array" ref="I81">IF($C81="","",IFERROR(INDEX(Partits!$C:$C,MATCH($A81&amp;"_"&amp;$D81,Partits!$D:$D,0)),""))</f>
        <v/>
      </c>
      <c r="J81" s="3" t="str">
        <f t="shared" si="4"/>
        <v/>
      </c>
      <c r="K81" s="3" t="str">
        <f t="shared" si="5"/>
        <v/>
      </c>
      <c r="L81" s="3" t="str">
        <f t="shared" si="6"/>
        <v/>
      </c>
      <c r="M81" s="3" t="str">
        <f t="shared" si="7"/>
        <v/>
      </c>
    </row>
    <row r="82" ht="15.0" customHeight="1">
      <c r="A82" s="3" t="str">
        <f>IF(Equips_usuari!A82="","",Equips_usuari!A82)</f>
        <v/>
      </c>
      <c r="B82" s="3" t="str">
        <f>IF(Equips_usuari!B82="","",Equips_usuari!B82)</f>
        <v/>
      </c>
      <c r="C82" s="3" t="str">
        <f>IF(Equips_usuari!C82="","",Equips_usuari!C82)</f>
        <v/>
      </c>
      <c r="D82" s="3" t="str">
        <f>IF(Equips_usuari!D82="","",Equips_usuari!D82)</f>
        <v/>
      </c>
      <c r="E82" s="3" t="str">
        <f>IF(Equips_usuari!F82="","",Equips_usuari!F82)</f>
        <v/>
      </c>
      <c r="F82" s="3" t="str">
        <f>IF($C82="","",SUMIFS(Resultats_jugadores!$C:$C,Resultats_jugadores!$A:$A,$A82,Resultats_jugadores!$B:$B,$C82))</f>
        <v/>
      </c>
      <c r="G82" s="3" t="str">
        <f>IF($C82="","",SUMIFS(Resultats_jugadores!$D:$D,Resultats_jugadores!$A:$A,$A82,Resultats_jugadores!$B:$B,$C82))</f>
        <v/>
      </c>
      <c r="H82" s="3" t="str">
        <f t="shared" si="3"/>
        <v/>
      </c>
      <c r="I82" s="3" t="str">
        <f t="array" ref="I82">IF($C82="","",IFERROR(INDEX(Partits!$C:$C,MATCH($A82&amp;"_"&amp;$D82,Partits!$D:$D,0)),""))</f>
        <v/>
      </c>
      <c r="J82" s="3" t="str">
        <f t="shared" si="4"/>
        <v/>
      </c>
      <c r="K82" s="3" t="str">
        <f t="shared" si="5"/>
        <v/>
      </c>
      <c r="L82" s="3" t="str">
        <f t="shared" si="6"/>
        <v/>
      </c>
      <c r="M82" s="3" t="str">
        <f t="shared" si="7"/>
        <v/>
      </c>
    </row>
    <row r="83" ht="15.0" customHeight="1">
      <c r="A83" s="3" t="str">
        <f>IF(Equips_usuari!A83="","",Equips_usuari!A83)</f>
        <v/>
      </c>
      <c r="B83" s="3" t="str">
        <f>IF(Equips_usuari!B83="","",Equips_usuari!B83)</f>
        <v/>
      </c>
      <c r="C83" s="3" t="str">
        <f>IF(Equips_usuari!C83="","",Equips_usuari!C83)</f>
        <v/>
      </c>
      <c r="D83" s="3" t="str">
        <f>IF(Equips_usuari!D83="","",Equips_usuari!D83)</f>
        <v/>
      </c>
      <c r="E83" s="3" t="str">
        <f>IF(Equips_usuari!F83="","",Equips_usuari!F83)</f>
        <v/>
      </c>
      <c r="F83" s="3" t="str">
        <f>IF($C83="","",SUMIFS(Resultats_jugadores!$C:$C,Resultats_jugadores!$A:$A,$A83,Resultats_jugadores!$B:$B,$C83))</f>
        <v/>
      </c>
      <c r="G83" s="3" t="str">
        <f>IF($C83="","",SUMIFS(Resultats_jugadores!$D:$D,Resultats_jugadores!$A:$A,$A83,Resultats_jugadores!$B:$B,$C83))</f>
        <v/>
      </c>
      <c r="H83" s="3" t="str">
        <f t="shared" si="3"/>
        <v/>
      </c>
      <c r="I83" s="3" t="str">
        <f t="array" ref="I83">IF($C83="","",IFERROR(INDEX(Partits!$C:$C,MATCH($A83&amp;"_"&amp;$D83,Partits!$D:$D,0)),""))</f>
        <v/>
      </c>
      <c r="J83" s="3" t="str">
        <f t="shared" si="4"/>
        <v/>
      </c>
      <c r="K83" s="3" t="str">
        <f t="shared" si="5"/>
        <v/>
      </c>
      <c r="L83" s="3" t="str">
        <f t="shared" si="6"/>
        <v/>
      </c>
      <c r="M83" s="3" t="str">
        <f t="shared" si="7"/>
        <v/>
      </c>
    </row>
    <row r="84" ht="15.0" customHeight="1">
      <c r="A84" s="3" t="str">
        <f>IF(Equips_usuari!A84="","",Equips_usuari!A84)</f>
        <v/>
      </c>
      <c r="B84" s="3" t="str">
        <f>IF(Equips_usuari!B84="","",Equips_usuari!B84)</f>
        <v/>
      </c>
      <c r="C84" s="3" t="str">
        <f>IF(Equips_usuari!C84="","",Equips_usuari!C84)</f>
        <v/>
      </c>
      <c r="D84" s="3" t="str">
        <f>IF(Equips_usuari!D84="","",Equips_usuari!D84)</f>
        <v/>
      </c>
      <c r="E84" s="3" t="str">
        <f>IF(Equips_usuari!F84="","",Equips_usuari!F84)</f>
        <v/>
      </c>
      <c r="F84" s="3" t="str">
        <f>IF($C84="","",SUMIFS(Resultats_jugadores!$C:$C,Resultats_jugadores!$A:$A,$A84,Resultats_jugadores!$B:$B,$C84))</f>
        <v/>
      </c>
      <c r="G84" s="3" t="str">
        <f>IF($C84="","",SUMIFS(Resultats_jugadores!$D:$D,Resultats_jugadores!$A:$A,$A84,Resultats_jugadores!$B:$B,$C84))</f>
        <v/>
      </c>
      <c r="H84" s="3" t="str">
        <f t="shared" si="3"/>
        <v/>
      </c>
      <c r="I84" s="3" t="str">
        <f t="array" ref="I84">IF($C84="","",IFERROR(INDEX(Partits!$C:$C,MATCH($A84&amp;"_"&amp;$D84,Partits!$D:$D,0)),""))</f>
        <v/>
      </c>
      <c r="J84" s="3" t="str">
        <f t="shared" si="4"/>
        <v/>
      </c>
      <c r="K84" s="3" t="str">
        <f t="shared" si="5"/>
        <v/>
      </c>
      <c r="L84" s="3" t="str">
        <f t="shared" si="6"/>
        <v/>
      </c>
      <c r="M84" s="3" t="str">
        <f t="shared" si="7"/>
        <v/>
      </c>
    </row>
    <row r="85" ht="15.0" customHeight="1">
      <c r="A85" s="3" t="str">
        <f>IF(Equips_usuari!A85="","",Equips_usuari!A85)</f>
        <v/>
      </c>
      <c r="B85" s="3" t="str">
        <f>IF(Equips_usuari!B85="","",Equips_usuari!B85)</f>
        <v/>
      </c>
      <c r="C85" s="3" t="str">
        <f>IF(Equips_usuari!C85="","",Equips_usuari!C85)</f>
        <v/>
      </c>
      <c r="D85" s="3" t="str">
        <f>IF(Equips_usuari!D85="","",Equips_usuari!D85)</f>
        <v/>
      </c>
      <c r="E85" s="3" t="str">
        <f>IF(Equips_usuari!F85="","",Equips_usuari!F85)</f>
        <v/>
      </c>
      <c r="F85" s="3" t="str">
        <f>IF($C85="","",SUMIFS(Resultats_jugadores!$C:$C,Resultats_jugadores!$A:$A,$A85,Resultats_jugadores!$B:$B,$C85))</f>
        <v/>
      </c>
      <c r="G85" s="3" t="str">
        <f>IF($C85="","",SUMIFS(Resultats_jugadores!$D:$D,Resultats_jugadores!$A:$A,$A85,Resultats_jugadores!$B:$B,$C85))</f>
        <v/>
      </c>
      <c r="H85" s="3" t="str">
        <f t="shared" si="3"/>
        <v/>
      </c>
      <c r="I85" s="3" t="str">
        <f t="array" ref="I85">IF($C85="","",IFERROR(INDEX(Partits!$C:$C,MATCH($A85&amp;"_"&amp;$D85,Partits!$D:$D,0)),""))</f>
        <v/>
      </c>
      <c r="J85" s="3" t="str">
        <f t="shared" si="4"/>
        <v/>
      </c>
      <c r="K85" s="3" t="str">
        <f t="shared" si="5"/>
        <v/>
      </c>
      <c r="L85" s="3" t="str">
        <f t="shared" si="6"/>
        <v/>
      </c>
      <c r="M85" s="3" t="str">
        <f t="shared" si="7"/>
        <v/>
      </c>
    </row>
    <row r="86" ht="15.0" customHeight="1">
      <c r="A86" s="3" t="str">
        <f>IF(Equips_usuari!A86="","",Equips_usuari!A86)</f>
        <v/>
      </c>
      <c r="B86" s="3" t="str">
        <f>IF(Equips_usuari!B86="","",Equips_usuari!B86)</f>
        <v/>
      </c>
      <c r="C86" s="3" t="str">
        <f>IF(Equips_usuari!C86="","",Equips_usuari!C86)</f>
        <v/>
      </c>
      <c r="D86" s="3" t="str">
        <f>IF(Equips_usuari!D86="","",Equips_usuari!D86)</f>
        <v/>
      </c>
      <c r="E86" s="3" t="str">
        <f>IF(Equips_usuari!F86="","",Equips_usuari!F86)</f>
        <v/>
      </c>
      <c r="F86" s="3" t="str">
        <f>IF($C86="","",SUMIFS(Resultats_jugadores!$C:$C,Resultats_jugadores!$A:$A,$A86,Resultats_jugadores!$B:$B,$C86))</f>
        <v/>
      </c>
      <c r="G86" s="3" t="str">
        <f>IF($C86="","",SUMIFS(Resultats_jugadores!$D:$D,Resultats_jugadores!$A:$A,$A86,Resultats_jugadores!$B:$B,$C86))</f>
        <v/>
      </c>
      <c r="H86" s="3" t="str">
        <f t="shared" si="3"/>
        <v/>
      </c>
      <c r="I86" s="3" t="str">
        <f t="array" ref="I86">IF($C86="","",IFERROR(INDEX(Partits!$C:$C,MATCH($A86&amp;"_"&amp;$D86,Partits!$D:$D,0)),""))</f>
        <v/>
      </c>
      <c r="J86" s="3" t="str">
        <f t="shared" si="4"/>
        <v/>
      </c>
      <c r="K86" s="3" t="str">
        <f t="shared" si="5"/>
        <v/>
      </c>
      <c r="L86" s="3" t="str">
        <f t="shared" si="6"/>
        <v/>
      </c>
      <c r="M86" s="3" t="str">
        <f t="shared" si="7"/>
        <v/>
      </c>
    </row>
    <row r="87" ht="15.0" customHeight="1">
      <c r="A87" s="3" t="str">
        <f>IF(Equips_usuari!A87="","",Equips_usuari!A87)</f>
        <v/>
      </c>
      <c r="B87" s="3" t="str">
        <f>IF(Equips_usuari!B87="","",Equips_usuari!B87)</f>
        <v/>
      </c>
      <c r="C87" s="3" t="str">
        <f>IF(Equips_usuari!C87="","",Equips_usuari!C87)</f>
        <v/>
      </c>
      <c r="D87" s="3" t="str">
        <f>IF(Equips_usuari!D87="","",Equips_usuari!D87)</f>
        <v/>
      </c>
      <c r="E87" s="3" t="str">
        <f>IF(Equips_usuari!F87="","",Equips_usuari!F87)</f>
        <v/>
      </c>
      <c r="F87" s="3" t="str">
        <f>IF($C87="","",SUMIFS(Resultats_jugadores!$C:$C,Resultats_jugadores!$A:$A,$A87,Resultats_jugadores!$B:$B,$C87))</f>
        <v/>
      </c>
      <c r="G87" s="3" t="str">
        <f>IF($C87="","",SUMIFS(Resultats_jugadores!$D:$D,Resultats_jugadores!$A:$A,$A87,Resultats_jugadores!$B:$B,$C87))</f>
        <v/>
      </c>
      <c r="H87" s="3" t="str">
        <f t="shared" si="3"/>
        <v/>
      </c>
      <c r="I87" s="3" t="str">
        <f t="array" ref="I87">IF($C87="","",IFERROR(INDEX(Partits!$C:$C,MATCH($A87&amp;"_"&amp;$D87,Partits!$D:$D,0)),""))</f>
        <v/>
      </c>
      <c r="J87" s="3" t="str">
        <f t="shared" si="4"/>
        <v/>
      </c>
      <c r="K87" s="3" t="str">
        <f t="shared" si="5"/>
        <v/>
      </c>
      <c r="L87" s="3" t="str">
        <f t="shared" si="6"/>
        <v/>
      </c>
      <c r="M87" s="3" t="str">
        <f t="shared" si="7"/>
        <v/>
      </c>
    </row>
    <row r="88" ht="15.0" customHeight="1">
      <c r="A88" s="3" t="str">
        <f>IF(Equips_usuari!A88="","",Equips_usuari!A88)</f>
        <v/>
      </c>
      <c r="B88" s="3" t="str">
        <f>IF(Equips_usuari!B88="","",Equips_usuari!B88)</f>
        <v/>
      </c>
      <c r="C88" s="3" t="str">
        <f>IF(Equips_usuari!C88="","",Equips_usuari!C88)</f>
        <v/>
      </c>
      <c r="D88" s="3" t="str">
        <f>IF(Equips_usuari!D88="","",Equips_usuari!D88)</f>
        <v/>
      </c>
      <c r="E88" s="3" t="str">
        <f>IF(Equips_usuari!F88="","",Equips_usuari!F88)</f>
        <v/>
      </c>
      <c r="F88" s="3" t="str">
        <f>IF($C88="","",SUMIFS(Resultats_jugadores!$C:$C,Resultats_jugadores!$A:$A,$A88,Resultats_jugadores!$B:$B,$C88))</f>
        <v/>
      </c>
      <c r="G88" s="3" t="str">
        <f>IF($C88="","",SUMIFS(Resultats_jugadores!$D:$D,Resultats_jugadores!$A:$A,$A88,Resultats_jugadores!$B:$B,$C88))</f>
        <v/>
      </c>
      <c r="H88" s="3" t="str">
        <f t="shared" si="3"/>
        <v/>
      </c>
      <c r="I88" s="3" t="str">
        <f t="array" ref="I88">IF($C88="","",IFERROR(INDEX(Partits!$C:$C,MATCH($A88&amp;"_"&amp;$D88,Partits!$D:$D,0)),""))</f>
        <v/>
      </c>
      <c r="J88" s="3" t="str">
        <f t="shared" si="4"/>
        <v/>
      </c>
      <c r="K88" s="3" t="str">
        <f t="shared" si="5"/>
        <v/>
      </c>
      <c r="L88" s="3" t="str">
        <f t="shared" si="6"/>
        <v/>
      </c>
      <c r="M88" s="3" t="str">
        <f t="shared" si="7"/>
        <v/>
      </c>
    </row>
    <row r="89" ht="15.0" customHeight="1">
      <c r="A89" s="3" t="str">
        <f>IF(Equips_usuari!A89="","",Equips_usuari!A89)</f>
        <v/>
      </c>
      <c r="B89" s="3" t="str">
        <f>IF(Equips_usuari!B89="","",Equips_usuari!B89)</f>
        <v/>
      </c>
      <c r="C89" s="3" t="str">
        <f>IF(Equips_usuari!C89="","",Equips_usuari!C89)</f>
        <v/>
      </c>
      <c r="D89" s="3" t="str">
        <f>IF(Equips_usuari!D89="","",Equips_usuari!D89)</f>
        <v/>
      </c>
      <c r="E89" s="3" t="str">
        <f>IF(Equips_usuari!F89="","",Equips_usuari!F89)</f>
        <v/>
      </c>
      <c r="F89" s="3" t="str">
        <f>IF($C89="","",SUMIFS(Resultats_jugadores!$C:$C,Resultats_jugadores!$A:$A,$A89,Resultats_jugadores!$B:$B,$C89))</f>
        <v/>
      </c>
      <c r="G89" s="3" t="str">
        <f>IF($C89="","",SUMIFS(Resultats_jugadores!$D:$D,Resultats_jugadores!$A:$A,$A89,Resultats_jugadores!$B:$B,$C89))</f>
        <v/>
      </c>
      <c r="H89" s="3" t="str">
        <f t="shared" si="3"/>
        <v/>
      </c>
      <c r="I89" s="3" t="str">
        <f t="array" ref="I89">IF($C89="","",IFERROR(INDEX(Partits!$C:$C,MATCH($A89&amp;"_"&amp;$D89,Partits!$D:$D,0)),""))</f>
        <v/>
      </c>
      <c r="J89" s="3" t="str">
        <f t="shared" si="4"/>
        <v/>
      </c>
      <c r="K89" s="3" t="str">
        <f t="shared" si="5"/>
        <v/>
      </c>
      <c r="L89" s="3" t="str">
        <f t="shared" si="6"/>
        <v/>
      </c>
      <c r="M89" s="3" t="str">
        <f t="shared" si="7"/>
        <v/>
      </c>
    </row>
    <row r="90" ht="15.0" customHeight="1">
      <c r="A90" s="3" t="str">
        <f>IF(Equips_usuari!A90="","",Equips_usuari!A90)</f>
        <v/>
      </c>
      <c r="B90" s="3" t="str">
        <f>IF(Equips_usuari!B90="","",Equips_usuari!B90)</f>
        <v/>
      </c>
      <c r="C90" s="3" t="str">
        <f>IF(Equips_usuari!C90="","",Equips_usuari!C90)</f>
        <v/>
      </c>
      <c r="D90" s="3" t="str">
        <f>IF(Equips_usuari!D90="","",Equips_usuari!D90)</f>
        <v/>
      </c>
      <c r="E90" s="3" t="str">
        <f>IF(Equips_usuari!F90="","",Equips_usuari!F90)</f>
        <v/>
      </c>
      <c r="F90" s="3" t="str">
        <f>IF($C90="","",SUMIFS(Resultats_jugadores!$C:$C,Resultats_jugadores!$A:$A,$A90,Resultats_jugadores!$B:$B,$C90))</f>
        <v/>
      </c>
      <c r="G90" s="3" t="str">
        <f>IF($C90="","",SUMIFS(Resultats_jugadores!$D:$D,Resultats_jugadores!$A:$A,$A90,Resultats_jugadores!$B:$B,$C90))</f>
        <v/>
      </c>
      <c r="H90" s="3" t="str">
        <f t="shared" si="3"/>
        <v/>
      </c>
      <c r="I90" s="3" t="str">
        <f t="array" ref="I90">IF($C90="","",IFERROR(INDEX(Partits!$C:$C,MATCH($A90&amp;"_"&amp;$D90,Partits!$D:$D,0)),""))</f>
        <v/>
      </c>
      <c r="J90" s="3" t="str">
        <f t="shared" si="4"/>
        <v/>
      </c>
      <c r="K90" s="3" t="str">
        <f t="shared" si="5"/>
        <v/>
      </c>
      <c r="L90" s="3" t="str">
        <f t="shared" si="6"/>
        <v/>
      </c>
      <c r="M90" s="3" t="str">
        <f t="shared" si="7"/>
        <v/>
      </c>
    </row>
    <row r="91" ht="15.0" customHeight="1">
      <c r="A91" s="3" t="str">
        <f>IF(Equips_usuari!A91="","",Equips_usuari!A91)</f>
        <v/>
      </c>
      <c r="B91" s="3" t="str">
        <f>IF(Equips_usuari!B91="","",Equips_usuari!B91)</f>
        <v/>
      </c>
      <c r="C91" s="3" t="str">
        <f>IF(Equips_usuari!C91="","",Equips_usuari!C91)</f>
        <v/>
      </c>
      <c r="D91" s="3" t="str">
        <f>IF(Equips_usuari!D91="","",Equips_usuari!D91)</f>
        <v/>
      </c>
      <c r="E91" s="3" t="str">
        <f>IF(Equips_usuari!F91="","",Equips_usuari!F91)</f>
        <v/>
      </c>
      <c r="F91" s="3" t="str">
        <f>IF($C91="","",SUMIFS(Resultats_jugadores!$C:$C,Resultats_jugadores!$A:$A,$A91,Resultats_jugadores!$B:$B,$C91))</f>
        <v/>
      </c>
      <c r="G91" s="3" t="str">
        <f>IF($C91="","",SUMIFS(Resultats_jugadores!$D:$D,Resultats_jugadores!$A:$A,$A91,Resultats_jugadores!$B:$B,$C91))</f>
        <v/>
      </c>
      <c r="H91" s="3" t="str">
        <f t="shared" si="3"/>
        <v/>
      </c>
      <c r="I91" s="3" t="str">
        <f t="array" ref="I91">IF($C91="","",IFERROR(INDEX(Partits!$C:$C,MATCH($A91&amp;"_"&amp;$D91,Partits!$D:$D,0)),""))</f>
        <v/>
      </c>
      <c r="J91" s="3" t="str">
        <f t="shared" si="4"/>
        <v/>
      </c>
      <c r="K91" s="3" t="str">
        <f t="shared" si="5"/>
        <v/>
      </c>
      <c r="L91" s="3" t="str">
        <f t="shared" si="6"/>
        <v/>
      </c>
      <c r="M91" s="3" t="str">
        <f t="shared" si="7"/>
        <v/>
      </c>
    </row>
    <row r="92" ht="15.0" customHeight="1">
      <c r="A92" s="3" t="str">
        <f>IF(Equips_usuari!A92="","",Equips_usuari!A92)</f>
        <v/>
      </c>
      <c r="B92" s="3" t="str">
        <f>IF(Equips_usuari!B92="","",Equips_usuari!B92)</f>
        <v/>
      </c>
      <c r="C92" s="3" t="str">
        <f>IF(Equips_usuari!C92="","",Equips_usuari!C92)</f>
        <v/>
      </c>
      <c r="D92" s="3" t="str">
        <f>IF(Equips_usuari!D92="","",Equips_usuari!D92)</f>
        <v/>
      </c>
      <c r="E92" s="3" t="str">
        <f>IF(Equips_usuari!F92="","",Equips_usuari!F92)</f>
        <v/>
      </c>
      <c r="F92" s="3" t="str">
        <f>IF($C92="","",SUMIFS(Resultats_jugadores!$C:$C,Resultats_jugadores!$A:$A,$A92,Resultats_jugadores!$B:$B,$C92))</f>
        <v/>
      </c>
      <c r="G92" s="3" t="str">
        <f>IF($C92="","",SUMIFS(Resultats_jugadores!$D:$D,Resultats_jugadores!$A:$A,$A92,Resultats_jugadores!$B:$B,$C92))</f>
        <v/>
      </c>
      <c r="H92" s="3" t="str">
        <f t="shared" si="3"/>
        <v/>
      </c>
      <c r="I92" s="3" t="str">
        <f t="array" ref="I92">IF($C92="","",IFERROR(INDEX(Partits!$C:$C,MATCH($A92&amp;"_"&amp;$D92,Partits!$D:$D,0)),""))</f>
        <v/>
      </c>
      <c r="J92" s="3" t="str">
        <f t="shared" si="4"/>
        <v/>
      </c>
      <c r="K92" s="3" t="str">
        <f t="shared" si="5"/>
        <v/>
      </c>
      <c r="L92" s="3" t="str">
        <f t="shared" si="6"/>
        <v/>
      </c>
      <c r="M92" s="3" t="str">
        <f t="shared" si="7"/>
        <v/>
      </c>
    </row>
    <row r="93" ht="15.0" customHeight="1">
      <c r="A93" s="3" t="str">
        <f>IF(Equips_usuari!A93="","",Equips_usuari!A93)</f>
        <v/>
      </c>
      <c r="B93" s="3" t="str">
        <f>IF(Equips_usuari!B93="","",Equips_usuari!B93)</f>
        <v/>
      </c>
      <c r="C93" s="3" t="str">
        <f>IF(Equips_usuari!C93="","",Equips_usuari!C93)</f>
        <v/>
      </c>
      <c r="D93" s="3" t="str">
        <f>IF(Equips_usuari!D93="","",Equips_usuari!D93)</f>
        <v/>
      </c>
      <c r="E93" s="3" t="str">
        <f>IF(Equips_usuari!F93="","",Equips_usuari!F93)</f>
        <v/>
      </c>
      <c r="F93" s="3" t="str">
        <f>IF($C93="","",SUMIFS(Resultats_jugadores!$C:$C,Resultats_jugadores!$A:$A,$A93,Resultats_jugadores!$B:$B,$C93))</f>
        <v/>
      </c>
      <c r="G93" s="3" t="str">
        <f>IF($C93="","",SUMIFS(Resultats_jugadores!$D:$D,Resultats_jugadores!$A:$A,$A93,Resultats_jugadores!$B:$B,$C93))</f>
        <v/>
      </c>
      <c r="H93" s="3" t="str">
        <f t="shared" si="3"/>
        <v/>
      </c>
      <c r="I93" s="3" t="str">
        <f t="array" ref="I93">IF($C93="","",IFERROR(INDEX(Partits!$C:$C,MATCH($A93&amp;"_"&amp;$D93,Partits!$D:$D,0)),""))</f>
        <v/>
      </c>
      <c r="J93" s="3" t="str">
        <f t="shared" si="4"/>
        <v/>
      </c>
      <c r="K93" s="3" t="str">
        <f t="shared" si="5"/>
        <v/>
      </c>
      <c r="L93" s="3" t="str">
        <f t="shared" si="6"/>
        <v/>
      </c>
      <c r="M93" s="3" t="str">
        <f t="shared" si="7"/>
        <v/>
      </c>
    </row>
    <row r="94" ht="15.0" customHeight="1">
      <c r="A94" s="3" t="str">
        <f>IF(Equips_usuari!A94="","",Equips_usuari!A94)</f>
        <v/>
      </c>
      <c r="B94" s="3" t="str">
        <f>IF(Equips_usuari!B94="","",Equips_usuari!B94)</f>
        <v/>
      </c>
      <c r="C94" s="3" t="str">
        <f>IF(Equips_usuari!C94="","",Equips_usuari!C94)</f>
        <v/>
      </c>
      <c r="D94" s="3" t="str">
        <f>IF(Equips_usuari!D94="","",Equips_usuari!D94)</f>
        <v/>
      </c>
      <c r="E94" s="3" t="str">
        <f>IF(Equips_usuari!F94="","",Equips_usuari!F94)</f>
        <v/>
      </c>
      <c r="F94" s="3" t="str">
        <f>IF($C94="","",SUMIFS(Resultats_jugadores!$C:$C,Resultats_jugadores!$A:$A,$A94,Resultats_jugadores!$B:$B,$C94))</f>
        <v/>
      </c>
      <c r="G94" s="3" t="str">
        <f>IF($C94="","",SUMIFS(Resultats_jugadores!$D:$D,Resultats_jugadores!$A:$A,$A94,Resultats_jugadores!$B:$B,$C94))</f>
        <v/>
      </c>
      <c r="H94" s="3" t="str">
        <f t="shared" si="3"/>
        <v/>
      </c>
      <c r="I94" s="3" t="str">
        <f t="array" ref="I94">IF($C94="","",IFERROR(INDEX(Partits!$C:$C,MATCH($A94&amp;"_"&amp;$D94,Partits!$D:$D,0)),""))</f>
        <v/>
      </c>
      <c r="J94" s="3" t="str">
        <f t="shared" si="4"/>
        <v/>
      </c>
      <c r="K94" s="3" t="str">
        <f t="shared" si="5"/>
        <v/>
      </c>
      <c r="L94" s="3" t="str">
        <f t="shared" si="6"/>
        <v/>
      </c>
      <c r="M94" s="3" t="str">
        <f t="shared" si="7"/>
        <v/>
      </c>
    </row>
    <row r="95" ht="15.0" customHeight="1">
      <c r="A95" s="3" t="str">
        <f>IF(Equips_usuari!A95="","",Equips_usuari!A95)</f>
        <v/>
      </c>
      <c r="B95" s="3" t="str">
        <f>IF(Equips_usuari!B95="","",Equips_usuari!B95)</f>
        <v/>
      </c>
      <c r="C95" s="3" t="str">
        <f>IF(Equips_usuari!C95="","",Equips_usuari!C95)</f>
        <v/>
      </c>
      <c r="D95" s="3" t="str">
        <f>IF(Equips_usuari!D95="","",Equips_usuari!D95)</f>
        <v/>
      </c>
      <c r="E95" s="3" t="str">
        <f>IF(Equips_usuari!F95="","",Equips_usuari!F95)</f>
        <v/>
      </c>
      <c r="F95" s="3" t="str">
        <f>IF($C95="","",SUMIFS(Resultats_jugadores!$C:$C,Resultats_jugadores!$A:$A,$A95,Resultats_jugadores!$B:$B,$C95))</f>
        <v/>
      </c>
      <c r="G95" s="3" t="str">
        <f>IF($C95="","",SUMIFS(Resultats_jugadores!$D:$D,Resultats_jugadores!$A:$A,$A95,Resultats_jugadores!$B:$B,$C95))</f>
        <v/>
      </c>
      <c r="H95" s="3" t="str">
        <f t="shared" si="3"/>
        <v/>
      </c>
      <c r="I95" s="3" t="str">
        <f t="array" ref="I95">IF($C95="","",IFERROR(INDEX(Partits!$C:$C,MATCH($A95&amp;"_"&amp;$D95,Partits!$D:$D,0)),""))</f>
        <v/>
      </c>
      <c r="J95" s="3" t="str">
        <f t="shared" si="4"/>
        <v/>
      </c>
      <c r="K95" s="3" t="str">
        <f t="shared" si="5"/>
        <v/>
      </c>
      <c r="L95" s="3" t="str">
        <f t="shared" si="6"/>
        <v/>
      </c>
      <c r="M95" s="3" t="str">
        <f t="shared" si="7"/>
        <v/>
      </c>
    </row>
    <row r="96" ht="15.0" customHeight="1">
      <c r="A96" s="3" t="str">
        <f>IF(Equips_usuari!A96="","",Equips_usuari!A96)</f>
        <v/>
      </c>
      <c r="B96" s="3" t="str">
        <f>IF(Equips_usuari!B96="","",Equips_usuari!B96)</f>
        <v/>
      </c>
      <c r="C96" s="3" t="str">
        <f>IF(Equips_usuari!C96="","",Equips_usuari!C96)</f>
        <v/>
      </c>
      <c r="D96" s="3" t="str">
        <f>IF(Equips_usuari!D96="","",Equips_usuari!D96)</f>
        <v/>
      </c>
      <c r="E96" s="3" t="str">
        <f>IF(Equips_usuari!F96="","",Equips_usuari!F96)</f>
        <v/>
      </c>
      <c r="F96" s="3" t="str">
        <f>IF($C96="","",SUMIFS(Resultats_jugadores!$C:$C,Resultats_jugadores!$A:$A,$A96,Resultats_jugadores!$B:$B,$C96))</f>
        <v/>
      </c>
      <c r="G96" s="3" t="str">
        <f>IF($C96="","",SUMIFS(Resultats_jugadores!$D:$D,Resultats_jugadores!$A:$A,$A96,Resultats_jugadores!$B:$B,$C96))</f>
        <v/>
      </c>
      <c r="H96" s="3" t="str">
        <f t="shared" si="3"/>
        <v/>
      </c>
      <c r="I96" s="3" t="str">
        <f t="array" ref="I96">IF($C96="","",IFERROR(INDEX(Partits!$C:$C,MATCH($A96&amp;"_"&amp;$D96,Partits!$D:$D,0)),""))</f>
        <v/>
      </c>
      <c r="J96" s="3" t="str">
        <f t="shared" si="4"/>
        <v/>
      </c>
      <c r="K96" s="3" t="str">
        <f t="shared" si="5"/>
        <v/>
      </c>
      <c r="L96" s="3" t="str">
        <f t="shared" si="6"/>
        <v/>
      </c>
      <c r="M96" s="3" t="str">
        <f t="shared" si="7"/>
        <v/>
      </c>
    </row>
    <row r="97" ht="15.0" customHeight="1">
      <c r="A97" s="3" t="str">
        <f>IF(Equips_usuari!A97="","",Equips_usuari!A97)</f>
        <v/>
      </c>
      <c r="B97" s="3" t="str">
        <f>IF(Equips_usuari!B97="","",Equips_usuari!B97)</f>
        <v/>
      </c>
      <c r="C97" s="3" t="str">
        <f>IF(Equips_usuari!C97="","",Equips_usuari!C97)</f>
        <v/>
      </c>
      <c r="D97" s="3" t="str">
        <f>IF(Equips_usuari!D97="","",Equips_usuari!D97)</f>
        <v/>
      </c>
      <c r="E97" s="3" t="str">
        <f>IF(Equips_usuari!F97="","",Equips_usuari!F97)</f>
        <v/>
      </c>
      <c r="F97" s="3" t="str">
        <f>IF($C97="","",SUMIFS(Resultats_jugadores!$C:$C,Resultats_jugadores!$A:$A,$A97,Resultats_jugadores!$B:$B,$C97))</f>
        <v/>
      </c>
      <c r="G97" s="3" t="str">
        <f>IF($C97="","",SUMIFS(Resultats_jugadores!$D:$D,Resultats_jugadores!$A:$A,$A97,Resultats_jugadores!$B:$B,$C97))</f>
        <v/>
      </c>
      <c r="H97" s="3" t="str">
        <f t="shared" si="3"/>
        <v/>
      </c>
      <c r="I97" s="3" t="str">
        <f t="array" ref="I97">IF($C97="","",IFERROR(INDEX(Partits!$C:$C,MATCH($A97&amp;"_"&amp;$D97,Partits!$D:$D,0)),""))</f>
        <v/>
      </c>
      <c r="J97" s="3" t="str">
        <f t="shared" si="4"/>
        <v/>
      </c>
      <c r="K97" s="3" t="str">
        <f t="shared" si="5"/>
        <v/>
      </c>
      <c r="L97" s="3" t="str">
        <f t="shared" si="6"/>
        <v/>
      </c>
      <c r="M97" s="3" t="str">
        <f t="shared" si="7"/>
        <v/>
      </c>
    </row>
    <row r="98" ht="15.0" customHeight="1">
      <c r="A98" s="3" t="str">
        <f>IF(Equips_usuari!A98="","",Equips_usuari!A98)</f>
        <v/>
      </c>
      <c r="B98" s="3" t="str">
        <f>IF(Equips_usuari!B98="","",Equips_usuari!B98)</f>
        <v/>
      </c>
      <c r="C98" s="3" t="str">
        <f>IF(Equips_usuari!C98="","",Equips_usuari!C98)</f>
        <v/>
      </c>
      <c r="D98" s="3" t="str">
        <f>IF(Equips_usuari!D98="","",Equips_usuari!D98)</f>
        <v/>
      </c>
      <c r="E98" s="3" t="str">
        <f>IF(Equips_usuari!F98="","",Equips_usuari!F98)</f>
        <v/>
      </c>
      <c r="F98" s="3" t="str">
        <f>IF($C98="","",SUMIFS(Resultats_jugadores!$C:$C,Resultats_jugadores!$A:$A,$A98,Resultats_jugadores!$B:$B,$C98))</f>
        <v/>
      </c>
      <c r="G98" s="3" t="str">
        <f>IF($C98="","",SUMIFS(Resultats_jugadores!$D:$D,Resultats_jugadores!$A:$A,$A98,Resultats_jugadores!$B:$B,$C98))</f>
        <v/>
      </c>
      <c r="H98" s="3" t="str">
        <f t="shared" si="3"/>
        <v/>
      </c>
      <c r="I98" s="3" t="str">
        <f t="array" ref="I98">IF($C98="","",IFERROR(INDEX(Partits!$C:$C,MATCH($A98&amp;"_"&amp;$D98,Partits!$D:$D,0)),""))</f>
        <v/>
      </c>
      <c r="J98" s="3" t="str">
        <f t="shared" si="4"/>
        <v/>
      </c>
      <c r="K98" s="3" t="str">
        <f t="shared" si="5"/>
        <v/>
      </c>
      <c r="L98" s="3" t="str">
        <f t="shared" si="6"/>
        <v/>
      </c>
      <c r="M98" s="3" t="str">
        <f t="shared" si="7"/>
        <v/>
      </c>
    </row>
    <row r="99" ht="15.0" customHeight="1">
      <c r="A99" s="3" t="str">
        <f>IF(Equips_usuari!A99="","",Equips_usuari!A99)</f>
        <v/>
      </c>
      <c r="B99" s="3" t="str">
        <f>IF(Equips_usuari!B99="","",Equips_usuari!B99)</f>
        <v/>
      </c>
      <c r="C99" s="3" t="str">
        <f>IF(Equips_usuari!C99="","",Equips_usuari!C99)</f>
        <v/>
      </c>
      <c r="D99" s="3" t="str">
        <f>IF(Equips_usuari!D99="","",Equips_usuari!D99)</f>
        <v/>
      </c>
      <c r="E99" s="3" t="str">
        <f>IF(Equips_usuari!F99="","",Equips_usuari!F99)</f>
        <v/>
      </c>
      <c r="F99" s="3" t="str">
        <f>IF($C99="","",SUMIFS(Resultats_jugadores!$C:$C,Resultats_jugadores!$A:$A,$A99,Resultats_jugadores!$B:$B,$C99))</f>
        <v/>
      </c>
      <c r="G99" s="3" t="str">
        <f>IF($C99="","",SUMIFS(Resultats_jugadores!$D:$D,Resultats_jugadores!$A:$A,$A99,Resultats_jugadores!$B:$B,$C99))</f>
        <v/>
      </c>
      <c r="H99" s="3" t="str">
        <f t="shared" si="3"/>
        <v/>
      </c>
      <c r="I99" s="3" t="str">
        <f t="array" ref="I99">IF($C99="","",IFERROR(INDEX(Partits!$C:$C,MATCH($A99&amp;"_"&amp;$D99,Partits!$D:$D,0)),""))</f>
        <v/>
      </c>
      <c r="J99" s="3" t="str">
        <f t="shared" si="4"/>
        <v/>
      </c>
      <c r="K99" s="3" t="str">
        <f t="shared" si="5"/>
        <v/>
      </c>
      <c r="L99" s="3" t="str">
        <f t="shared" si="6"/>
        <v/>
      </c>
      <c r="M99" s="3" t="str">
        <f t="shared" si="7"/>
        <v/>
      </c>
    </row>
    <row r="100" ht="15.0" customHeight="1">
      <c r="A100" s="3" t="str">
        <f>IF(Equips_usuari!A100="","",Equips_usuari!A100)</f>
        <v/>
      </c>
      <c r="B100" s="3" t="str">
        <f>IF(Equips_usuari!B100="","",Equips_usuari!B100)</f>
        <v/>
      </c>
      <c r="C100" s="3" t="str">
        <f>IF(Equips_usuari!C100="","",Equips_usuari!C100)</f>
        <v/>
      </c>
      <c r="D100" s="3" t="str">
        <f>IF(Equips_usuari!D100="","",Equips_usuari!D100)</f>
        <v/>
      </c>
      <c r="E100" s="3" t="str">
        <f>IF(Equips_usuari!F100="","",Equips_usuari!F100)</f>
        <v/>
      </c>
      <c r="F100" s="3" t="str">
        <f>IF($C100="","",SUMIFS(Resultats_jugadores!$C:$C,Resultats_jugadores!$A:$A,$A100,Resultats_jugadores!$B:$B,$C100))</f>
        <v/>
      </c>
      <c r="G100" s="3" t="str">
        <f>IF($C100="","",SUMIFS(Resultats_jugadores!$D:$D,Resultats_jugadores!$A:$A,$A100,Resultats_jugadores!$B:$B,$C100))</f>
        <v/>
      </c>
      <c r="H100" s="3" t="str">
        <f t="shared" si="3"/>
        <v/>
      </c>
      <c r="I100" s="3" t="str">
        <f t="array" ref="I100">IF($C100="","",IFERROR(INDEX(Partits!$C:$C,MATCH($A100&amp;"_"&amp;$D100,Partits!$D:$D,0)),""))</f>
        <v/>
      </c>
      <c r="J100" s="3" t="str">
        <f t="shared" si="4"/>
        <v/>
      </c>
      <c r="K100" s="3" t="str">
        <f t="shared" si="5"/>
        <v/>
      </c>
      <c r="L100" s="3" t="str">
        <f t="shared" si="6"/>
        <v/>
      </c>
      <c r="M100" s="3" t="str">
        <f t="shared" si="7"/>
        <v/>
      </c>
    </row>
    <row r="101" ht="15.0" customHeight="1">
      <c r="A101" s="3" t="str">
        <f>IF(Equips_usuari!A101="","",Equips_usuari!A101)</f>
        <v/>
      </c>
      <c r="B101" s="3" t="str">
        <f>IF(Equips_usuari!B101="","",Equips_usuari!B101)</f>
        <v/>
      </c>
      <c r="C101" s="3" t="str">
        <f>IF(Equips_usuari!C101="","",Equips_usuari!C101)</f>
        <v/>
      </c>
      <c r="D101" s="3" t="str">
        <f>IF(Equips_usuari!D101="","",Equips_usuari!D101)</f>
        <v/>
      </c>
      <c r="E101" s="3" t="str">
        <f>IF(Equips_usuari!F101="","",Equips_usuari!F101)</f>
        <v/>
      </c>
      <c r="F101" s="3" t="str">
        <f>IF($C101="","",SUMIFS(Resultats_jugadores!$C:$C,Resultats_jugadores!$A:$A,$A101,Resultats_jugadores!$B:$B,$C101))</f>
        <v/>
      </c>
      <c r="G101" s="3" t="str">
        <f>IF($C101="","",SUMIFS(Resultats_jugadores!$D:$D,Resultats_jugadores!$A:$A,$A101,Resultats_jugadores!$B:$B,$C101))</f>
        <v/>
      </c>
      <c r="H101" s="3" t="str">
        <f t="shared" si="3"/>
        <v/>
      </c>
      <c r="I101" s="3" t="str">
        <f t="array" ref="I101">IF($C101="","",IFERROR(INDEX(Partits!$C:$C,MATCH($A101&amp;"_"&amp;$D101,Partits!$D:$D,0)),""))</f>
        <v/>
      </c>
      <c r="J101" s="3" t="str">
        <f t="shared" si="4"/>
        <v/>
      </c>
      <c r="K101" s="3" t="str">
        <f t="shared" si="5"/>
        <v/>
      </c>
      <c r="L101" s="3" t="str">
        <f t="shared" si="6"/>
        <v/>
      </c>
      <c r="M101" s="3" t="str">
        <f t="shared" si="7"/>
        <v/>
      </c>
    </row>
    <row r="102" ht="15.0" customHeight="1">
      <c r="A102" s="3" t="str">
        <f>IF(Equips_usuari!A102="","",Equips_usuari!A102)</f>
        <v/>
      </c>
      <c r="B102" s="3" t="str">
        <f>IF(Equips_usuari!B102="","",Equips_usuari!B102)</f>
        <v/>
      </c>
      <c r="C102" s="3" t="str">
        <f>IF(Equips_usuari!C102="","",Equips_usuari!C102)</f>
        <v/>
      </c>
      <c r="D102" s="3" t="str">
        <f>IF(Equips_usuari!D102="","",Equips_usuari!D102)</f>
        <v/>
      </c>
      <c r="E102" s="3" t="str">
        <f>IF(Equips_usuari!F102="","",Equips_usuari!F102)</f>
        <v/>
      </c>
      <c r="F102" s="3" t="str">
        <f>IF($C102="","",SUMIFS(Resultats_jugadores!$C:$C,Resultats_jugadores!$A:$A,$A102,Resultats_jugadores!$B:$B,$C102))</f>
        <v/>
      </c>
      <c r="G102" s="3" t="str">
        <f>IF($C102="","",SUMIFS(Resultats_jugadores!$D:$D,Resultats_jugadores!$A:$A,$A102,Resultats_jugadores!$B:$B,$C102))</f>
        <v/>
      </c>
      <c r="H102" s="3" t="str">
        <f t="shared" si="3"/>
        <v/>
      </c>
      <c r="I102" s="3" t="str">
        <f t="array" ref="I102">IF($C102="","",IFERROR(INDEX(Partits!$C:$C,MATCH($A102&amp;"_"&amp;$D102,Partits!$D:$D,0)),""))</f>
        <v/>
      </c>
      <c r="J102" s="3" t="str">
        <f t="shared" si="4"/>
        <v/>
      </c>
      <c r="K102" s="3" t="str">
        <f t="shared" si="5"/>
        <v/>
      </c>
      <c r="L102" s="3" t="str">
        <f t="shared" si="6"/>
        <v/>
      </c>
      <c r="M102" s="3" t="str">
        <f t="shared" si="7"/>
        <v/>
      </c>
    </row>
    <row r="103" ht="15.0" customHeight="1">
      <c r="A103" s="3" t="str">
        <f>IF(Equips_usuari!A103="","",Equips_usuari!A103)</f>
        <v/>
      </c>
      <c r="B103" s="3" t="str">
        <f>IF(Equips_usuari!B103="","",Equips_usuari!B103)</f>
        <v/>
      </c>
      <c r="C103" s="3" t="str">
        <f>IF(Equips_usuari!C103="","",Equips_usuari!C103)</f>
        <v/>
      </c>
      <c r="D103" s="3" t="str">
        <f>IF(Equips_usuari!D103="","",Equips_usuari!D103)</f>
        <v/>
      </c>
      <c r="E103" s="3" t="str">
        <f>IF(Equips_usuari!F103="","",Equips_usuari!F103)</f>
        <v/>
      </c>
      <c r="F103" s="3" t="str">
        <f>IF($C103="","",SUMIFS(Resultats_jugadores!$C:$C,Resultats_jugadores!$A:$A,$A103,Resultats_jugadores!$B:$B,$C103))</f>
        <v/>
      </c>
      <c r="G103" s="3" t="str">
        <f>IF($C103="","",SUMIFS(Resultats_jugadores!$D:$D,Resultats_jugadores!$A:$A,$A103,Resultats_jugadores!$B:$B,$C103))</f>
        <v/>
      </c>
      <c r="H103" s="3" t="str">
        <f t="shared" si="3"/>
        <v/>
      </c>
      <c r="I103" s="3" t="str">
        <f t="array" ref="I103">IF($C103="","",IFERROR(INDEX(Partits!$C:$C,MATCH($A103&amp;"_"&amp;$D103,Partits!$D:$D,0)),""))</f>
        <v/>
      </c>
      <c r="J103" s="3" t="str">
        <f t="shared" si="4"/>
        <v/>
      </c>
      <c r="K103" s="3" t="str">
        <f t="shared" si="5"/>
        <v/>
      </c>
      <c r="L103" s="3" t="str">
        <f t="shared" si="6"/>
        <v/>
      </c>
      <c r="M103" s="3" t="str">
        <f t="shared" si="7"/>
        <v/>
      </c>
    </row>
    <row r="104" ht="15.0" customHeight="1">
      <c r="A104" s="3" t="str">
        <f>IF(Equips_usuari!A104="","",Equips_usuari!A104)</f>
        <v/>
      </c>
      <c r="B104" s="3" t="str">
        <f>IF(Equips_usuari!B104="","",Equips_usuari!B104)</f>
        <v/>
      </c>
      <c r="C104" s="3" t="str">
        <f>IF(Equips_usuari!C104="","",Equips_usuari!C104)</f>
        <v/>
      </c>
      <c r="D104" s="3" t="str">
        <f>IF(Equips_usuari!D104="","",Equips_usuari!D104)</f>
        <v/>
      </c>
      <c r="E104" s="3" t="str">
        <f>IF(Equips_usuari!F104="","",Equips_usuari!F104)</f>
        <v/>
      </c>
      <c r="F104" s="3" t="str">
        <f>IF($C104="","",SUMIFS(Resultats_jugadores!$C:$C,Resultats_jugadores!$A:$A,$A104,Resultats_jugadores!$B:$B,$C104))</f>
        <v/>
      </c>
      <c r="G104" s="3" t="str">
        <f>IF($C104="","",SUMIFS(Resultats_jugadores!$D:$D,Resultats_jugadores!$A:$A,$A104,Resultats_jugadores!$B:$B,$C104))</f>
        <v/>
      </c>
      <c r="H104" s="3" t="str">
        <f t="shared" si="3"/>
        <v/>
      </c>
      <c r="I104" s="3" t="str">
        <f t="array" ref="I104">IF($C104="","",IFERROR(INDEX(Partits!$C:$C,MATCH($A104&amp;"_"&amp;$D104,Partits!$D:$D,0)),""))</f>
        <v/>
      </c>
      <c r="J104" s="3" t="str">
        <f t="shared" si="4"/>
        <v/>
      </c>
      <c r="K104" s="3" t="str">
        <f t="shared" si="5"/>
        <v/>
      </c>
      <c r="L104" s="3" t="str">
        <f t="shared" si="6"/>
        <v/>
      </c>
      <c r="M104" s="3" t="str">
        <f t="shared" si="7"/>
        <v/>
      </c>
    </row>
    <row r="105" ht="15.0" customHeight="1">
      <c r="A105" s="3" t="str">
        <f>IF(Equips_usuari!A105="","",Equips_usuari!A105)</f>
        <v/>
      </c>
      <c r="B105" s="3" t="str">
        <f>IF(Equips_usuari!B105="","",Equips_usuari!B105)</f>
        <v/>
      </c>
      <c r="C105" s="3" t="str">
        <f>IF(Equips_usuari!C105="","",Equips_usuari!C105)</f>
        <v/>
      </c>
      <c r="D105" s="3" t="str">
        <f>IF(Equips_usuari!D105="","",Equips_usuari!D105)</f>
        <v/>
      </c>
      <c r="E105" s="3" t="str">
        <f>IF(Equips_usuari!F105="","",Equips_usuari!F105)</f>
        <v/>
      </c>
      <c r="F105" s="3" t="str">
        <f>IF($C105="","",SUMIFS(Resultats_jugadores!$C:$C,Resultats_jugadores!$A:$A,$A105,Resultats_jugadores!$B:$B,$C105))</f>
        <v/>
      </c>
      <c r="G105" s="3" t="str">
        <f>IF($C105="","",SUMIFS(Resultats_jugadores!$D:$D,Resultats_jugadores!$A:$A,$A105,Resultats_jugadores!$B:$B,$C105))</f>
        <v/>
      </c>
      <c r="H105" s="3" t="str">
        <f t="shared" si="3"/>
        <v/>
      </c>
      <c r="I105" s="3" t="str">
        <f t="array" ref="I105">IF($C105="","",IFERROR(INDEX(Partits!$C:$C,MATCH($A105&amp;"_"&amp;$D105,Partits!$D:$D,0)),""))</f>
        <v/>
      </c>
      <c r="J105" s="3" t="str">
        <f t="shared" si="4"/>
        <v/>
      </c>
      <c r="K105" s="3" t="str">
        <f t="shared" si="5"/>
        <v/>
      </c>
      <c r="L105" s="3" t="str">
        <f t="shared" si="6"/>
        <v/>
      </c>
      <c r="M105" s="3" t="str">
        <f t="shared" si="7"/>
        <v/>
      </c>
    </row>
    <row r="106" ht="15.0" customHeight="1">
      <c r="A106" s="3" t="str">
        <f>IF(Equips_usuari!A106="","",Equips_usuari!A106)</f>
        <v/>
      </c>
      <c r="B106" s="3" t="str">
        <f>IF(Equips_usuari!B106="","",Equips_usuari!B106)</f>
        <v/>
      </c>
      <c r="C106" s="3" t="str">
        <f>IF(Equips_usuari!C106="","",Equips_usuari!C106)</f>
        <v/>
      </c>
      <c r="D106" s="3" t="str">
        <f>IF(Equips_usuari!D106="","",Equips_usuari!D106)</f>
        <v/>
      </c>
      <c r="E106" s="3" t="str">
        <f>IF(Equips_usuari!F106="","",Equips_usuari!F106)</f>
        <v/>
      </c>
      <c r="F106" s="3" t="str">
        <f>IF($C106="","",SUMIFS(Resultats_jugadores!$C:$C,Resultats_jugadores!$A:$A,$A106,Resultats_jugadores!$B:$B,$C106))</f>
        <v/>
      </c>
      <c r="G106" s="3" t="str">
        <f>IF($C106="","",SUMIFS(Resultats_jugadores!$D:$D,Resultats_jugadores!$A:$A,$A106,Resultats_jugadores!$B:$B,$C106))</f>
        <v/>
      </c>
      <c r="H106" s="3" t="str">
        <f t="shared" si="3"/>
        <v/>
      </c>
      <c r="I106" s="3" t="str">
        <f t="array" ref="I106">IF($C106="","",IFERROR(INDEX(Partits!$C:$C,MATCH($A106&amp;"_"&amp;$D106,Partits!$D:$D,0)),""))</f>
        <v/>
      </c>
      <c r="J106" s="3" t="str">
        <f t="shared" si="4"/>
        <v/>
      </c>
      <c r="K106" s="3" t="str">
        <f t="shared" si="5"/>
        <v/>
      </c>
      <c r="L106" s="3" t="str">
        <f t="shared" si="6"/>
        <v/>
      </c>
      <c r="M106" s="3" t="str">
        <f t="shared" si="7"/>
        <v/>
      </c>
    </row>
    <row r="107" ht="15.0" customHeight="1">
      <c r="A107" s="3" t="str">
        <f>IF(Equips_usuari!A107="","",Equips_usuari!A107)</f>
        <v/>
      </c>
      <c r="B107" s="3" t="str">
        <f>IF(Equips_usuari!B107="","",Equips_usuari!B107)</f>
        <v/>
      </c>
      <c r="C107" s="3" t="str">
        <f>IF(Equips_usuari!C107="","",Equips_usuari!C107)</f>
        <v/>
      </c>
      <c r="D107" s="3" t="str">
        <f>IF(Equips_usuari!D107="","",Equips_usuari!D107)</f>
        <v/>
      </c>
      <c r="E107" s="3" t="str">
        <f>IF(Equips_usuari!F107="","",Equips_usuari!F107)</f>
        <v/>
      </c>
      <c r="F107" s="3" t="str">
        <f>IF($C107="","",SUMIFS(Resultats_jugadores!$C:$C,Resultats_jugadores!$A:$A,$A107,Resultats_jugadores!$B:$B,$C107))</f>
        <v/>
      </c>
      <c r="G107" s="3" t="str">
        <f>IF($C107="","",SUMIFS(Resultats_jugadores!$D:$D,Resultats_jugadores!$A:$A,$A107,Resultats_jugadores!$B:$B,$C107))</f>
        <v/>
      </c>
      <c r="H107" s="3" t="str">
        <f t="shared" si="3"/>
        <v/>
      </c>
      <c r="I107" s="3" t="str">
        <f t="array" ref="I107">IF($C107="","",IFERROR(INDEX(Partits!$C:$C,MATCH($A107&amp;"_"&amp;$D107,Partits!$D:$D,0)),""))</f>
        <v/>
      </c>
      <c r="J107" s="3" t="str">
        <f t="shared" si="4"/>
        <v/>
      </c>
      <c r="K107" s="3" t="str">
        <f t="shared" si="5"/>
        <v/>
      </c>
      <c r="L107" s="3" t="str">
        <f t="shared" si="6"/>
        <v/>
      </c>
      <c r="M107" s="3" t="str">
        <f t="shared" si="7"/>
        <v/>
      </c>
    </row>
    <row r="108" ht="15.0" customHeight="1">
      <c r="A108" s="3" t="str">
        <f>IF(Equips_usuari!A108="","",Equips_usuari!A108)</f>
        <v/>
      </c>
      <c r="B108" s="3" t="str">
        <f>IF(Equips_usuari!B108="","",Equips_usuari!B108)</f>
        <v/>
      </c>
      <c r="C108" s="3" t="str">
        <f>IF(Equips_usuari!C108="","",Equips_usuari!C108)</f>
        <v/>
      </c>
      <c r="D108" s="3" t="str">
        <f>IF(Equips_usuari!D108="","",Equips_usuari!D108)</f>
        <v/>
      </c>
      <c r="E108" s="3" t="str">
        <f>IF(Equips_usuari!F108="","",Equips_usuari!F108)</f>
        <v/>
      </c>
      <c r="F108" s="3" t="str">
        <f>IF($C108="","",SUMIFS(Resultats_jugadores!$C:$C,Resultats_jugadores!$A:$A,$A108,Resultats_jugadores!$B:$B,$C108))</f>
        <v/>
      </c>
      <c r="G108" s="3" t="str">
        <f>IF($C108="","",SUMIFS(Resultats_jugadores!$D:$D,Resultats_jugadores!$A:$A,$A108,Resultats_jugadores!$B:$B,$C108))</f>
        <v/>
      </c>
      <c r="H108" s="3" t="str">
        <f t="shared" si="3"/>
        <v/>
      </c>
      <c r="I108" s="3" t="str">
        <f t="array" ref="I108">IF($C108="","",IFERROR(INDEX(Partits!$C:$C,MATCH($A108&amp;"_"&amp;$D108,Partits!$D:$D,0)),""))</f>
        <v/>
      </c>
      <c r="J108" s="3" t="str">
        <f t="shared" si="4"/>
        <v/>
      </c>
      <c r="K108" s="3" t="str">
        <f t="shared" si="5"/>
        <v/>
      </c>
      <c r="L108" s="3" t="str">
        <f t="shared" si="6"/>
        <v/>
      </c>
      <c r="M108" s="3" t="str">
        <f t="shared" si="7"/>
        <v/>
      </c>
    </row>
    <row r="109" ht="15.0" customHeight="1">
      <c r="A109" s="3" t="str">
        <f>IF(Equips_usuari!A109="","",Equips_usuari!A109)</f>
        <v/>
      </c>
      <c r="B109" s="3" t="str">
        <f>IF(Equips_usuari!B109="","",Equips_usuari!B109)</f>
        <v/>
      </c>
      <c r="C109" s="3" t="str">
        <f>IF(Equips_usuari!C109="","",Equips_usuari!C109)</f>
        <v/>
      </c>
      <c r="D109" s="3" t="str">
        <f>IF(Equips_usuari!D109="","",Equips_usuari!D109)</f>
        <v/>
      </c>
      <c r="E109" s="3" t="str">
        <f>IF(Equips_usuari!F109="","",Equips_usuari!F109)</f>
        <v/>
      </c>
      <c r="F109" s="3" t="str">
        <f>IF($C109="","",SUMIFS(Resultats_jugadores!$C:$C,Resultats_jugadores!$A:$A,$A109,Resultats_jugadores!$B:$B,$C109))</f>
        <v/>
      </c>
      <c r="G109" s="3" t="str">
        <f>IF($C109="","",SUMIFS(Resultats_jugadores!$D:$D,Resultats_jugadores!$A:$A,$A109,Resultats_jugadores!$B:$B,$C109))</f>
        <v/>
      </c>
      <c r="H109" s="3" t="str">
        <f t="shared" si="3"/>
        <v/>
      </c>
      <c r="I109" s="3" t="str">
        <f t="array" ref="I109">IF($C109="","",IFERROR(INDEX(Partits!$C:$C,MATCH($A109&amp;"_"&amp;$D109,Partits!$D:$D,0)),""))</f>
        <v/>
      </c>
      <c r="J109" s="3" t="str">
        <f t="shared" si="4"/>
        <v/>
      </c>
      <c r="K109" s="3" t="str">
        <f t="shared" si="5"/>
        <v/>
      </c>
      <c r="L109" s="3" t="str">
        <f t="shared" si="6"/>
        <v/>
      </c>
      <c r="M109" s="3" t="str">
        <f t="shared" si="7"/>
        <v/>
      </c>
    </row>
    <row r="110" ht="15.0" customHeight="1">
      <c r="A110" s="3" t="str">
        <f>IF(Equips_usuari!A110="","",Equips_usuari!A110)</f>
        <v/>
      </c>
      <c r="B110" s="3" t="str">
        <f>IF(Equips_usuari!B110="","",Equips_usuari!B110)</f>
        <v/>
      </c>
      <c r="C110" s="3" t="str">
        <f>IF(Equips_usuari!C110="","",Equips_usuari!C110)</f>
        <v/>
      </c>
      <c r="D110" s="3" t="str">
        <f>IF(Equips_usuari!D110="","",Equips_usuari!D110)</f>
        <v/>
      </c>
      <c r="E110" s="3" t="str">
        <f>IF(Equips_usuari!F110="","",Equips_usuari!F110)</f>
        <v/>
      </c>
      <c r="F110" s="3" t="str">
        <f>IF($C110="","",SUMIFS(Resultats_jugadores!$C:$C,Resultats_jugadores!$A:$A,$A110,Resultats_jugadores!$B:$B,$C110))</f>
        <v/>
      </c>
      <c r="G110" s="3" t="str">
        <f>IF($C110="","",SUMIFS(Resultats_jugadores!$D:$D,Resultats_jugadores!$A:$A,$A110,Resultats_jugadores!$B:$B,$C110))</f>
        <v/>
      </c>
      <c r="H110" s="3" t="str">
        <f t="shared" si="3"/>
        <v/>
      </c>
      <c r="I110" s="3" t="str">
        <f t="array" ref="I110">IF($C110="","",IFERROR(INDEX(Partits!$C:$C,MATCH($A110&amp;"_"&amp;$D110,Partits!$D:$D,0)),""))</f>
        <v/>
      </c>
      <c r="J110" s="3" t="str">
        <f t="shared" si="4"/>
        <v/>
      </c>
      <c r="K110" s="3" t="str">
        <f t="shared" si="5"/>
        <v/>
      </c>
      <c r="L110" s="3" t="str">
        <f t="shared" si="6"/>
        <v/>
      </c>
      <c r="M110" s="3" t="str">
        <f t="shared" si="7"/>
        <v/>
      </c>
    </row>
    <row r="111" ht="15.0" customHeight="1">
      <c r="A111" s="3" t="str">
        <f>IF(Equips_usuari!A111="","",Equips_usuari!A111)</f>
        <v/>
      </c>
      <c r="B111" s="3" t="str">
        <f>IF(Equips_usuari!B111="","",Equips_usuari!B111)</f>
        <v/>
      </c>
      <c r="C111" s="3" t="str">
        <f>IF(Equips_usuari!C111="","",Equips_usuari!C111)</f>
        <v/>
      </c>
      <c r="D111" s="3" t="str">
        <f>IF(Equips_usuari!D111="","",Equips_usuari!D111)</f>
        <v/>
      </c>
      <c r="E111" s="3" t="str">
        <f>IF(Equips_usuari!F111="","",Equips_usuari!F111)</f>
        <v/>
      </c>
      <c r="F111" s="3" t="str">
        <f>IF($C111="","",SUMIFS(Resultats_jugadores!$C:$C,Resultats_jugadores!$A:$A,$A111,Resultats_jugadores!$B:$B,$C111))</f>
        <v/>
      </c>
      <c r="G111" s="3" t="str">
        <f>IF($C111="","",SUMIFS(Resultats_jugadores!$D:$D,Resultats_jugadores!$A:$A,$A111,Resultats_jugadores!$B:$B,$C111))</f>
        <v/>
      </c>
      <c r="H111" s="3" t="str">
        <f t="shared" si="3"/>
        <v/>
      </c>
      <c r="I111" s="3" t="str">
        <f t="array" ref="I111">IF($C111="","",IFERROR(INDEX(Partits!$C:$C,MATCH($A111&amp;"_"&amp;$D111,Partits!$D:$D,0)),""))</f>
        <v/>
      </c>
      <c r="J111" s="3" t="str">
        <f t="shared" si="4"/>
        <v/>
      </c>
      <c r="K111" s="3" t="str">
        <f t="shared" si="5"/>
        <v/>
      </c>
      <c r="L111" s="3" t="str">
        <f t="shared" si="6"/>
        <v/>
      </c>
      <c r="M111" s="3" t="str">
        <f t="shared" si="7"/>
        <v/>
      </c>
    </row>
    <row r="112" ht="15.0" customHeight="1">
      <c r="A112" s="3" t="str">
        <f>IF(Equips_usuari!A112="","",Equips_usuari!A112)</f>
        <v/>
      </c>
      <c r="B112" s="3" t="str">
        <f>IF(Equips_usuari!B112="","",Equips_usuari!B112)</f>
        <v/>
      </c>
      <c r="C112" s="3" t="str">
        <f>IF(Equips_usuari!C112="","",Equips_usuari!C112)</f>
        <v/>
      </c>
      <c r="D112" s="3" t="str">
        <f>IF(Equips_usuari!D112="","",Equips_usuari!D112)</f>
        <v/>
      </c>
      <c r="E112" s="3" t="str">
        <f>IF(Equips_usuari!F112="","",Equips_usuari!F112)</f>
        <v/>
      </c>
      <c r="F112" s="3" t="str">
        <f>IF($C112="","",SUMIFS(Resultats_jugadores!$C:$C,Resultats_jugadores!$A:$A,$A112,Resultats_jugadores!$B:$B,$C112))</f>
        <v/>
      </c>
      <c r="G112" s="3" t="str">
        <f>IF($C112="","",SUMIFS(Resultats_jugadores!$D:$D,Resultats_jugadores!$A:$A,$A112,Resultats_jugadores!$B:$B,$C112))</f>
        <v/>
      </c>
      <c r="H112" s="3" t="str">
        <f t="shared" si="3"/>
        <v/>
      </c>
      <c r="I112" s="3" t="str">
        <f t="array" ref="I112">IF($C112="","",IFERROR(INDEX(Partits!$C:$C,MATCH($A112&amp;"_"&amp;$D112,Partits!$D:$D,0)),""))</f>
        <v/>
      </c>
      <c r="J112" s="3" t="str">
        <f t="shared" si="4"/>
        <v/>
      </c>
      <c r="K112" s="3" t="str">
        <f t="shared" si="5"/>
        <v/>
      </c>
      <c r="L112" s="3" t="str">
        <f t="shared" si="6"/>
        <v/>
      </c>
      <c r="M112" s="3" t="str">
        <f t="shared" si="7"/>
        <v/>
      </c>
    </row>
    <row r="113" ht="15.0" customHeight="1">
      <c r="A113" s="3" t="str">
        <f>IF(Equips_usuari!A113="","",Equips_usuari!A113)</f>
        <v/>
      </c>
      <c r="B113" s="3" t="str">
        <f>IF(Equips_usuari!B113="","",Equips_usuari!B113)</f>
        <v/>
      </c>
      <c r="C113" s="3" t="str">
        <f>IF(Equips_usuari!C113="","",Equips_usuari!C113)</f>
        <v/>
      </c>
      <c r="D113" s="3" t="str">
        <f>IF(Equips_usuari!D113="","",Equips_usuari!D113)</f>
        <v/>
      </c>
      <c r="E113" s="3" t="str">
        <f>IF(Equips_usuari!F113="","",Equips_usuari!F113)</f>
        <v/>
      </c>
      <c r="F113" s="3" t="str">
        <f>IF($C113="","",SUMIFS(Resultats_jugadores!$C:$C,Resultats_jugadores!$A:$A,$A113,Resultats_jugadores!$B:$B,$C113))</f>
        <v/>
      </c>
      <c r="G113" s="3" t="str">
        <f>IF($C113="","",SUMIFS(Resultats_jugadores!$D:$D,Resultats_jugadores!$A:$A,$A113,Resultats_jugadores!$B:$B,$C113))</f>
        <v/>
      </c>
      <c r="H113" s="3" t="str">
        <f t="shared" si="3"/>
        <v/>
      </c>
      <c r="I113" s="3" t="str">
        <f t="array" ref="I113">IF($C113="","",IFERROR(INDEX(Partits!$C:$C,MATCH($A113&amp;"_"&amp;$D113,Partits!$D:$D,0)),""))</f>
        <v/>
      </c>
      <c r="J113" s="3" t="str">
        <f t="shared" si="4"/>
        <v/>
      </c>
      <c r="K113" s="3" t="str">
        <f t="shared" si="5"/>
        <v/>
      </c>
      <c r="L113" s="3" t="str">
        <f t="shared" si="6"/>
        <v/>
      </c>
      <c r="M113" s="3" t="str">
        <f t="shared" si="7"/>
        <v/>
      </c>
    </row>
    <row r="114" ht="15.0" customHeight="1">
      <c r="A114" s="3" t="str">
        <f>IF(Equips_usuari!A114="","",Equips_usuari!A114)</f>
        <v/>
      </c>
      <c r="B114" s="3" t="str">
        <f>IF(Equips_usuari!B114="","",Equips_usuari!B114)</f>
        <v/>
      </c>
      <c r="C114" s="3" t="str">
        <f>IF(Equips_usuari!C114="","",Equips_usuari!C114)</f>
        <v/>
      </c>
      <c r="D114" s="3" t="str">
        <f>IF(Equips_usuari!D114="","",Equips_usuari!D114)</f>
        <v/>
      </c>
      <c r="E114" s="3" t="str">
        <f>IF(Equips_usuari!F114="","",Equips_usuari!F114)</f>
        <v/>
      </c>
      <c r="F114" s="3" t="str">
        <f>IF($C114="","",SUMIFS(Resultats_jugadores!$C:$C,Resultats_jugadores!$A:$A,$A114,Resultats_jugadores!$B:$B,$C114))</f>
        <v/>
      </c>
      <c r="G114" s="3" t="str">
        <f>IF($C114="","",SUMIFS(Resultats_jugadores!$D:$D,Resultats_jugadores!$A:$A,$A114,Resultats_jugadores!$B:$B,$C114))</f>
        <v/>
      </c>
      <c r="H114" s="3" t="str">
        <f t="shared" si="3"/>
        <v/>
      </c>
      <c r="I114" s="3" t="str">
        <f t="array" ref="I114">IF($C114="","",IFERROR(INDEX(Partits!$C:$C,MATCH($A114&amp;"_"&amp;$D114,Partits!$D:$D,0)),""))</f>
        <v/>
      </c>
      <c r="J114" s="3" t="str">
        <f t="shared" si="4"/>
        <v/>
      </c>
      <c r="K114" s="3" t="str">
        <f t="shared" si="5"/>
        <v/>
      </c>
      <c r="L114" s="3" t="str">
        <f t="shared" si="6"/>
        <v/>
      </c>
      <c r="M114" s="3" t="str">
        <f t="shared" si="7"/>
        <v/>
      </c>
    </row>
    <row r="115" ht="15.0" customHeight="1">
      <c r="A115" s="3" t="str">
        <f>IF(Equips_usuari!A115="","",Equips_usuari!A115)</f>
        <v/>
      </c>
      <c r="B115" s="3" t="str">
        <f>IF(Equips_usuari!B115="","",Equips_usuari!B115)</f>
        <v/>
      </c>
      <c r="C115" s="3" t="str">
        <f>IF(Equips_usuari!C115="","",Equips_usuari!C115)</f>
        <v/>
      </c>
      <c r="D115" s="3" t="str">
        <f>IF(Equips_usuari!D115="","",Equips_usuari!D115)</f>
        <v/>
      </c>
      <c r="E115" s="3" t="str">
        <f>IF(Equips_usuari!F115="","",Equips_usuari!F115)</f>
        <v/>
      </c>
      <c r="F115" s="3" t="str">
        <f>IF($C115="","",SUMIFS(Resultats_jugadores!$C:$C,Resultats_jugadores!$A:$A,$A115,Resultats_jugadores!$B:$B,$C115))</f>
        <v/>
      </c>
      <c r="G115" s="3" t="str">
        <f>IF($C115="","",SUMIFS(Resultats_jugadores!$D:$D,Resultats_jugadores!$A:$A,$A115,Resultats_jugadores!$B:$B,$C115))</f>
        <v/>
      </c>
      <c r="H115" s="3" t="str">
        <f t="shared" si="3"/>
        <v/>
      </c>
      <c r="I115" s="3" t="str">
        <f t="array" ref="I115">IF($C115="","",IFERROR(INDEX(Partits!$C:$C,MATCH($A115&amp;"_"&amp;$D115,Partits!$D:$D,0)),""))</f>
        <v/>
      </c>
      <c r="J115" s="3" t="str">
        <f t="shared" si="4"/>
        <v/>
      </c>
      <c r="K115" s="3" t="str">
        <f t="shared" si="5"/>
        <v/>
      </c>
      <c r="L115" s="3" t="str">
        <f t="shared" si="6"/>
        <v/>
      </c>
      <c r="M115" s="3" t="str">
        <f t="shared" si="7"/>
        <v/>
      </c>
    </row>
    <row r="116" ht="15.0" customHeight="1">
      <c r="A116" s="3" t="str">
        <f>IF(Equips_usuari!A116="","",Equips_usuari!A116)</f>
        <v/>
      </c>
      <c r="B116" s="3" t="str">
        <f>IF(Equips_usuari!B116="","",Equips_usuari!B116)</f>
        <v/>
      </c>
      <c r="C116" s="3" t="str">
        <f>IF(Equips_usuari!C116="","",Equips_usuari!C116)</f>
        <v/>
      </c>
      <c r="D116" s="3" t="str">
        <f>IF(Equips_usuari!D116="","",Equips_usuari!D116)</f>
        <v/>
      </c>
      <c r="E116" s="3" t="str">
        <f>IF(Equips_usuari!F116="","",Equips_usuari!F116)</f>
        <v/>
      </c>
      <c r="F116" s="3" t="str">
        <f>IF($C116="","",SUMIFS(Resultats_jugadores!$C:$C,Resultats_jugadores!$A:$A,$A116,Resultats_jugadores!$B:$B,$C116))</f>
        <v/>
      </c>
      <c r="G116" s="3" t="str">
        <f>IF($C116="","",SUMIFS(Resultats_jugadores!$D:$D,Resultats_jugadores!$A:$A,$A116,Resultats_jugadores!$B:$B,$C116))</f>
        <v/>
      </c>
      <c r="H116" s="3" t="str">
        <f t="shared" si="3"/>
        <v/>
      </c>
      <c r="I116" s="3" t="str">
        <f t="array" ref="I116">IF($C116="","",IFERROR(INDEX(Partits!$C:$C,MATCH($A116&amp;"_"&amp;$D116,Partits!$D:$D,0)),""))</f>
        <v/>
      </c>
      <c r="J116" s="3" t="str">
        <f t="shared" si="4"/>
        <v/>
      </c>
      <c r="K116" s="3" t="str">
        <f t="shared" si="5"/>
        <v/>
      </c>
      <c r="L116" s="3" t="str">
        <f t="shared" si="6"/>
        <v/>
      </c>
      <c r="M116" s="3" t="str">
        <f t="shared" si="7"/>
        <v/>
      </c>
    </row>
    <row r="117" ht="15.0" customHeight="1">
      <c r="A117" s="3" t="str">
        <f>IF(Equips_usuari!A117="","",Equips_usuari!A117)</f>
        <v/>
      </c>
      <c r="B117" s="3" t="str">
        <f>IF(Equips_usuari!B117="","",Equips_usuari!B117)</f>
        <v/>
      </c>
      <c r="C117" s="3" t="str">
        <f>IF(Equips_usuari!C117="","",Equips_usuari!C117)</f>
        <v/>
      </c>
      <c r="D117" s="3" t="str">
        <f>IF(Equips_usuari!D117="","",Equips_usuari!D117)</f>
        <v/>
      </c>
      <c r="E117" s="3" t="str">
        <f>IF(Equips_usuari!F117="","",Equips_usuari!F117)</f>
        <v/>
      </c>
      <c r="F117" s="3" t="str">
        <f>IF($C117="","",SUMIFS(Resultats_jugadores!$C:$C,Resultats_jugadores!$A:$A,$A117,Resultats_jugadores!$B:$B,$C117))</f>
        <v/>
      </c>
      <c r="G117" s="3" t="str">
        <f>IF($C117="","",SUMIFS(Resultats_jugadores!$D:$D,Resultats_jugadores!$A:$A,$A117,Resultats_jugadores!$B:$B,$C117))</f>
        <v/>
      </c>
      <c r="H117" s="3" t="str">
        <f t="shared" si="3"/>
        <v/>
      </c>
      <c r="I117" s="3" t="str">
        <f t="array" ref="I117">IF($C117="","",IFERROR(INDEX(Partits!$C:$C,MATCH($A117&amp;"_"&amp;$D117,Partits!$D:$D,0)),""))</f>
        <v/>
      </c>
      <c r="J117" s="3" t="str">
        <f t="shared" si="4"/>
        <v/>
      </c>
      <c r="K117" s="3" t="str">
        <f t="shared" si="5"/>
        <v/>
      </c>
      <c r="L117" s="3" t="str">
        <f t="shared" si="6"/>
        <v/>
      </c>
      <c r="M117" s="3" t="str">
        <f t="shared" si="7"/>
        <v/>
      </c>
    </row>
    <row r="118" ht="15.0" customHeight="1">
      <c r="A118" s="3" t="str">
        <f>IF(Equips_usuari!A118="","",Equips_usuari!A118)</f>
        <v/>
      </c>
      <c r="B118" s="3" t="str">
        <f>IF(Equips_usuari!B118="","",Equips_usuari!B118)</f>
        <v/>
      </c>
      <c r="C118" s="3" t="str">
        <f>IF(Equips_usuari!C118="","",Equips_usuari!C118)</f>
        <v/>
      </c>
      <c r="D118" s="3" t="str">
        <f>IF(Equips_usuari!D118="","",Equips_usuari!D118)</f>
        <v/>
      </c>
      <c r="E118" s="3" t="str">
        <f>IF(Equips_usuari!F118="","",Equips_usuari!F118)</f>
        <v/>
      </c>
      <c r="F118" s="3" t="str">
        <f>IF($C118="","",SUMIFS(Resultats_jugadores!$C:$C,Resultats_jugadores!$A:$A,$A118,Resultats_jugadores!$B:$B,$C118))</f>
        <v/>
      </c>
      <c r="G118" s="3" t="str">
        <f>IF($C118="","",SUMIFS(Resultats_jugadores!$D:$D,Resultats_jugadores!$A:$A,$A118,Resultats_jugadores!$B:$B,$C118))</f>
        <v/>
      </c>
      <c r="H118" s="3" t="str">
        <f t="shared" si="3"/>
        <v/>
      </c>
      <c r="I118" s="3" t="str">
        <f t="array" ref="I118">IF($C118="","",IFERROR(INDEX(Partits!$C:$C,MATCH($A118&amp;"_"&amp;$D118,Partits!$D:$D,0)),""))</f>
        <v/>
      </c>
      <c r="J118" s="3" t="str">
        <f t="shared" si="4"/>
        <v/>
      </c>
      <c r="K118" s="3" t="str">
        <f t="shared" si="5"/>
        <v/>
      </c>
      <c r="L118" s="3" t="str">
        <f t="shared" si="6"/>
        <v/>
      </c>
      <c r="M118" s="3" t="str">
        <f t="shared" si="7"/>
        <v/>
      </c>
    </row>
    <row r="119" ht="15.0" customHeight="1">
      <c r="A119" s="3" t="str">
        <f>IF(Equips_usuari!A119="","",Equips_usuari!A119)</f>
        <v/>
      </c>
      <c r="B119" s="3" t="str">
        <f>IF(Equips_usuari!B119="","",Equips_usuari!B119)</f>
        <v/>
      </c>
      <c r="C119" s="3" t="str">
        <f>IF(Equips_usuari!C119="","",Equips_usuari!C119)</f>
        <v/>
      </c>
      <c r="D119" s="3" t="str">
        <f>IF(Equips_usuari!D119="","",Equips_usuari!D119)</f>
        <v/>
      </c>
      <c r="E119" s="3" t="str">
        <f>IF(Equips_usuari!F119="","",Equips_usuari!F119)</f>
        <v/>
      </c>
      <c r="F119" s="3" t="str">
        <f>IF($C119="","",SUMIFS(Resultats_jugadores!$C:$C,Resultats_jugadores!$A:$A,$A119,Resultats_jugadores!$B:$B,$C119))</f>
        <v/>
      </c>
      <c r="G119" s="3" t="str">
        <f>IF($C119="","",SUMIFS(Resultats_jugadores!$D:$D,Resultats_jugadores!$A:$A,$A119,Resultats_jugadores!$B:$B,$C119))</f>
        <v/>
      </c>
      <c r="H119" s="3" t="str">
        <f t="shared" si="3"/>
        <v/>
      </c>
      <c r="I119" s="3" t="str">
        <f t="array" ref="I119">IF($C119="","",IFERROR(INDEX(Partits!$C:$C,MATCH($A119&amp;"_"&amp;$D119,Partits!$D:$D,0)),""))</f>
        <v/>
      </c>
      <c r="J119" s="3" t="str">
        <f t="shared" si="4"/>
        <v/>
      </c>
      <c r="K119" s="3" t="str">
        <f t="shared" si="5"/>
        <v/>
      </c>
      <c r="L119" s="3" t="str">
        <f t="shared" si="6"/>
        <v/>
      </c>
      <c r="M119" s="3" t="str">
        <f t="shared" si="7"/>
        <v/>
      </c>
    </row>
    <row r="120" ht="15.0" customHeight="1">
      <c r="A120" s="3" t="str">
        <f>IF(Equips_usuari!A120="","",Equips_usuari!A120)</f>
        <v/>
      </c>
      <c r="B120" s="3" t="str">
        <f>IF(Equips_usuari!B120="","",Equips_usuari!B120)</f>
        <v/>
      </c>
      <c r="C120" s="3" t="str">
        <f>IF(Equips_usuari!C120="","",Equips_usuari!C120)</f>
        <v/>
      </c>
      <c r="D120" s="3" t="str">
        <f>IF(Equips_usuari!D120="","",Equips_usuari!D120)</f>
        <v/>
      </c>
      <c r="E120" s="3" t="str">
        <f>IF(Equips_usuari!F120="","",Equips_usuari!F120)</f>
        <v/>
      </c>
      <c r="F120" s="3" t="str">
        <f>IF($C120="","",SUMIFS(Resultats_jugadores!$C:$C,Resultats_jugadores!$A:$A,$A120,Resultats_jugadores!$B:$B,$C120))</f>
        <v/>
      </c>
      <c r="G120" s="3" t="str">
        <f>IF($C120="","",SUMIFS(Resultats_jugadores!$D:$D,Resultats_jugadores!$A:$A,$A120,Resultats_jugadores!$B:$B,$C120))</f>
        <v/>
      </c>
      <c r="H120" s="3" t="str">
        <f t="shared" si="3"/>
        <v/>
      </c>
      <c r="I120" s="3" t="str">
        <f t="array" ref="I120">IF($C120="","",IFERROR(INDEX(Partits!$C:$C,MATCH($A120&amp;"_"&amp;$D120,Partits!$D:$D,0)),""))</f>
        <v/>
      </c>
      <c r="J120" s="3" t="str">
        <f t="shared" si="4"/>
        <v/>
      </c>
      <c r="K120" s="3" t="str">
        <f t="shared" si="5"/>
        <v/>
      </c>
      <c r="L120" s="3" t="str">
        <f t="shared" si="6"/>
        <v/>
      </c>
      <c r="M120" s="3" t="str">
        <f t="shared" si="7"/>
        <v/>
      </c>
    </row>
    <row r="121" ht="15.0" customHeight="1">
      <c r="A121" s="3" t="str">
        <f>IF(Equips_usuari!A121="","",Equips_usuari!A121)</f>
        <v/>
      </c>
      <c r="B121" s="3" t="str">
        <f>IF(Equips_usuari!B121="","",Equips_usuari!B121)</f>
        <v/>
      </c>
      <c r="C121" s="3" t="str">
        <f>IF(Equips_usuari!C121="","",Equips_usuari!C121)</f>
        <v/>
      </c>
      <c r="D121" s="3" t="str">
        <f>IF(Equips_usuari!D121="","",Equips_usuari!D121)</f>
        <v/>
      </c>
      <c r="E121" s="3" t="str">
        <f>IF(Equips_usuari!F121="","",Equips_usuari!F121)</f>
        <v/>
      </c>
      <c r="F121" s="3" t="str">
        <f>IF($C121="","",SUMIFS(Resultats_jugadores!$C:$C,Resultats_jugadores!$A:$A,$A121,Resultats_jugadores!$B:$B,$C121))</f>
        <v/>
      </c>
      <c r="G121" s="3" t="str">
        <f>IF($C121="","",SUMIFS(Resultats_jugadores!$D:$D,Resultats_jugadores!$A:$A,$A121,Resultats_jugadores!$B:$B,$C121))</f>
        <v/>
      </c>
      <c r="H121" s="3" t="str">
        <f t="shared" si="3"/>
        <v/>
      </c>
      <c r="I121" s="3" t="str">
        <f t="array" ref="I121">IF($C121="","",IFERROR(INDEX(Partits!$C:$C,MATCH($A121&amp;"_"&amp;$D121,Partits!$D:$D,0)),""))</f>
        <v/>
      </c>
      <c r="J121" s="3" t="str">
        <f t="shared" si="4"/>
        <v/>
      </c>
      <c r="K121" s="3" t="str">
        <f t="shared" si="5"/>
        <v/>
      </c>
      <c r="L121" s="3" t="str">
        <f t="shared" si="6"/>
        <v/>
      </c>
      <c r="M121" s="3" t="str">
        <f t="shared" si="7"/>
        <v/>
      </c>
    </row>
    <row r="122" ht="15.0" customHeight="1">
      <c r="A122" s="3" t="str">
        <f>IF(Equips_usuari!A122="","",Equips_usuari!A122)</f>
        <v/>
      </c>
      <c r="B122" s="3" t="str">
        <f>IF(Equips_usuari!B122="","",Equips_usuari!B122)</f>
        <v/>
      </c>
      <c r="C122" s="3" t="str">
        <f>IF(Equips_usuari!C122="","",Equips_usuari!C122)</f>
        <v/>
      </c>
      <c r="D122" s="3" t="str">
        <f>IF(Equips_usuari!D122="","",Equips_usuari!D122)</f>
        <v/>
      </c>
      <c r="E122" s="3" t="str">
        <f>IF(Equips_usuari!F122="","",Equips_usuari!F122)</f>
        <v/>
      </c>
      <c r="F122" s="3" t="str">
        <f>IF($C122="","",SUMIFS(Resultats_jugadores!$C:$C,Resultats_jugadores!$A:$A,$A122,Resultats_jugadores!$B:$B,$C122))</f>
        <v/>
      </c>
      <c r="G122" s="3" t="str">
        <f>IF($C122="","",SUMIFS(Resultats_jugadores!$D:$D,Resultats_jugadores!$A:$A,$A122,Resultats_jugadores!$B:$B,$C122))</f>
        <v/>
      </c>
      <c r="H122" s="3" t="str">
        <f t="shared" si="3"/>
        <v/>
      </c>
      <c r="I122" s="3" t="str">
        <f t="array" ref="I122">IF($C122="","",IFERROR(INDEX(Partits!$C:$C,MATCH($A122&amp;"_"&amp;$D122,Partits!$D:$D,0)),""))</f>
        <v/>
      </c>
      <c r="J122" s="3" t="str">
        <f t="shared" si="4"/>
        <v/>
      </c>
      <c r="K122" s="3" t="str">
        <f t="shared" si="5"/>
        <v/>
      </c>
      <c r="L122" s="3" t="str">
        <f t="shared" si="6"/>
        <v/>
      </c>
      <c r="M122" s="3" t="str">
        <f t="shared" si="7"/>
        <v/>
      </c>
    </row>
    <row r="123" ht="15.0" customHeight="1">
      <c r="A123" s="3" t="str">
        <f>IF(Equips_usuari!A123="","",Equips_usuari!A123)</f>
        <v/>
      </c>
      <c r="B123" s="3" t="str">
        <f>IF(Equips_usuari!B123="","",Equips_usuari!B123)</f>
        <v/>
      </c>
      <c r="C123" s="3" t="str">
        <f>IF(Equips_usuari!C123="","",Equips_usuari!C123)</f>
        <v/>
      </c>
      <c r="D123" s="3" t="str">
        <f>IF(Equips_usuari!D123="","",Equips_usuari!D123)</f>
        <v/>
      </c>
      <c r="E123" s="3" t="str">
        <f>IF(Equips_usuari!F123="","",Equips_usuari!F123)</f>
        <v/>
      </c>
      <c r="F123" s="3" t="str">
        <f>IF($C123="","",SUMIFS(Resultats_jugadores!$C:$C,Resultats_jugadores!$A:$A,$A123,Resultats_jugadores!$B:$B,$C123))</f>
        <v/>
      </c>
      <c r="G123" s="3" t="str">
        <f>IF($C123="","",SUMIFS(Resultats_jugadores!$D:$D,Resultats_jugadores!$A:$A,$A123,Resultats_jugadores!$B:$B,$C123))</f>
        <v/>
      </c>
      <c r="H123" s="3" t="str">
        <f t="shared" si="3"/>
        <v/>
      </c>
      <c r="I123" s="3" t="str">
        <f t="array" ref="I123">IF($C123="","",IFERROR(INDEX(Partits!$C:$C,MATCH($A123&amp;"_"&amp;$D123,Partits!$D:$D,0)),""))</f>
        <v/>
      </c>
      <c r="J123" s="3" t="str">
        <f t="shared" si="4"/>
        <v/>
      </c>
      <c r="K123" s="3" t="str">
        <f t="shared" si="5"/>
        <v/>
      </c>
      <c r="L123" s="3" t="str">
        <f t="shared" si="6"/>
        <v/>
      </c>
      <c r="M123" s="3" t="str">
        <f t="shared" si="7"/>
        <v/>
      </c>
    </row>
    <row r="124" ht="15.0" customHeight="1">
      <c r="A124" s="3" t="str">
        <f>IF(Equips_usuari!A124="","",Equips_usuari!A124)</f>
        <v/>
      </c>
      <c r="B124" s="3" t="str">
        <f>IF(Equips_usuari!B124="","",Equips_usuari!B124)</f>
        <v/>
      </c>
      <c r="C124" s="3" t="str">
        <f>IF(Equips_usuari!C124="","",Equips_usuari!C124)</f>
        <v/>
      </c>
      <c r="D124" s="3" t="str">
        <f>IF(Equips_usuari!D124="","",Equips_usuari!D124)</f>
        <v/>
      </c>
      <c r="E124" s="3" t="str">
        <f>IF(Equips_usuari!F124="","",Equips_usuari!F124)</f>
        <v/>
      </c>
      <c r="F124" s="3" t="str">
        <f>IF($C124="","",SUMIFS(Resultats_jugadores!$C:$C,Resultats_jugadores!$A:$A,$A124,Resultats_jugadores!$B:$B,$C124))</f>
        <v/>
      </c>
      <c r="G124" s="3" t="str">
        <f>IF($C124="","",SUMIFS(Resultats_jugadores!$D:$D,Resultats_jugadores!$A:$A,$A124,Resultats_jugadores!$B:$B,$C124))</f>
        <v/>
      </c>
      <c r="H124" s="3" t="str">
        <f t="shared" si="3"/>
        <v/>
      </c>
      <c r="I124" s="3" t="str">
        <f t="array" ref="I124">IF($C124="","",IFERROR(INDEX(Partits!$C:$C,MATCH($A124&amp;"_"&amp;$D124,Partits!$D:$D,0)),""))</f>
        <v/>
      </c>
      <c r="J124" s="3" t="str">
        <f t="shared" si="4"/>
        <v/>
      </c>
      <c r="K124" s="3" t="str">
        <f t="shared" si="5"/>
        <v/>
      </c>
      <c r="L124" s="3" t="str">
        <f t="shared" si="6"/>
        <v/>
      </c>
      <c r="M124" s="3" t="str">
        <f t="shared" si="7"/>
        <v/>
      </c>
    </row>
    <row r="125" ht="15.0" customHeight="1">
      <c r="A125" s="3" t="str">
        <f>IF(Equips_usuari!A125="","",Equips_usuari!A125)</f>
        <v/>
      </c>
      <c r="B125" s="3" t="str">
        <f>IF(Equips_usuari!B125="","",Equips_usuari!B125)</f>
        <v/>
      </c>
      <c r="C125" s="3" t="str">
        <f>IF(Equips_usuari!C125="","",Equips_usuari!C125)</f>
        <v/>
      </c>
      <c r="D125" s="3" t="str">
        <f>IF(Equips_usuari!D125="","",Equips_usuari!D125)</f>
        <v/>
      </c>
      <c r="E125" s="3" t="str">
        <f>IF(Equips_usuari!F125="","",Equips_usuari!F125)</f>
        <v/>
      </c>
      <c r="F125" s="3" t="str">
        <f>IF($C125="","",SUMIFS(Resultats_jugadores!$C:$C,Resultats_jugadores!$A:$A,$A125,Resultats_jugadores!$B:$B,$C125))</f>
        <v/>
      </c>
      <c r="G125" s="3" t="str">
        <f>IF($C125="","",SUMIFS(Resultats_jugadores!$D:$D,Resultats_jugadores!$A:$A,$A125,Resultats_jugadores!$B:$B,$C125))</f>
        <v/>
      </c>
      <c r="H125" s="3" t="str">
        <f t="shared" si="3"/>
        <v/>
      </c>
      <c r="I125" s="3" t="str">
        <f t="array" ref="I125">IF($C125="","",IFERROR(INDEX(Partits!$C:$C,MATCH($A125&amp;"_"&amp;$D125,Partits!$D:$D,0)),""))</f>
        <v/>
      </c>
      <c r="J125" s="3" t="str">
        <f t="shared" si="4"/>
        <v/>
      </c>
      <c r="K125" s="3" t="str">
        <f t="shared" si="5"/>
        <v/>
      </c>
      <c r="L125" s="3" t="str">
        <f t="shared" si="6"/>
        <v/>
      </c>
      <c r="M125" s="3" t="str">
        <f t="shared" si="7"/>
        <v/>
      </c>
    </row>
    <row r="126" ht="15.0" customHeight="1">
      <c r="A126" s="3" t="str">
        <f>IF(Equips_usuari!A126="","",Equips_usuari!A126)</f>
        <v/>
      </c>
      <c r="B126" s="3" t="str">
        <f>IF(Equips_usuari!B126="","",Equips_usuari!B126)</f>
        <v/>
      </c>
      <c r="C126" s="3" t="str">
        <f>IF(Equips_usuari!C126="","",Equips_usuari!C126)</f>
        <v/>
      </c>
      <c r="D126" s="3" t="str">
        <f>IF(Equips_usuari!D126="","",Equips_usuari!D126)</f>
        <v/>
      </c>
      <c r="E126" s="3" t="str">
        <f>IF(Equips_usuari!F126="","",Equips_usuari!F126)</f>
        <v/>
      </c>
      <c r="F126" s="3" t="str">
        <f>IF($C126="","",SUMIFS(Resultats_jugadores!$C:$C,Resultats_jugadores!$A:$A,$A126,Resultats_jugadores!$B:$B,$C126))</f>
        <v/>
      </c>
      <c r="G126" s="3" t="str">
        <f>IF($C126="","",SUMIFS(Resultats_jugadores!$D:$D,Resultats_jugadores!$A:$A,$A126,Resultats_jugadores!$B:$B,$C126))</f>
        <v/>
      </c>
      <c r="H126" s="3" t="str">
        <f t="shared" si="3"/>
        <v/>
      </c>
      <c r="I126" s="3" t="str">
        <f t="array" ref="I126">IF($C126="","",IFERROR(INDEX(Partits!$C:$C,MATCH($A126&amp;"_"&amp;$D126,Partits!$D:$D,0)),""))</f>
        <v/>
      </c>
      <c r="J126" s="3" t="str">
        <f t="shared" si="4"/>
        <v/>
      </c>
      <c r="K126" s="3" t="str">
        <f t="shared" si="5"/>
        <v/>
      </c>
      <c r="L126" s="3" t="str">
        <f t="shared" si="6"/>
        <v/>
      </c>
      <c r="M126" s="3" t="str">
        <f t="shared" si="7"/>
        <v/>
      </c>
    </row>
    <row r="127" ht="15.0" customHeight="1">
      <c r="A127" s="3" t="str">
        <f>IF(Equips_usuari!A127="","",Equips_usuari!A127)</f>
        <v/>
      </c>
      <c r="B127" s="3" t="str">
        <f>IF(Equips_usuari!B127="","",Equips_usuari!B127)</f>
        <v/>
      </c>
      <c r="C127" s="3" t="str">
        <f>IF(Equips_usuari!C127="","",Equips_usuari!C127)</f>
        <v/>
      </c>
      <c r="D127" s="3" t="str">
        <f>IF(Equips_usuari!D127="","",Equips_usuari!D127)</f>
        <v/>
      </c>
      <c r="E127" s="3" t="str">
        <f>IF(Equips_usuari!F127="","",Equips_usuari!F127)</f>
        <v/>
      </c>
      <c r="F127" s="3" t="str">
        <f>IF($C127="","",SUMIFS(Resultats_jugadores!$C:$C,Resultats_jugadores!$A:$A,$A127,Resultats_jugadores!$B:$B,$C127))</f>
        <v/>
      </c>
      <c r="G127" s="3" t="str">
        <f>IF($C127="","",SUMIFS(Resultats_jugadores!$D:$D,Resultats_jugadores!$A:$A,$A127,Resultats_jugadores!$B:$B,$C127))</f>
        <v/>
      </c>
      <c r="H127" s="3" t="str">
        <f t="shared" si="3"/>
        <v/>
      </c>
      <c r="I127" s="3" t="str">
        <f t="array" ref="I127">IF($C127="","",IFERROR(INDEX(Partits!$C:$C,MATCH($A127&amp;"_"&amp;$D127,Partits!$D:$D,0)),""))</f>
        <v/>
      </c>
      <c r="J127" s="3" t="str">
        <f t="shared" si="4"/>
        <v/>
      </c>
      <c r="K127" s="3" t="str">
        <f t="shared" si="5"/>
        <v/>
      </c>
      <c r="L127" s="3" t="str">
        <f t="shared" si="6"/>
        <v/>
      </c>
      <c r="M127" s="3" t="str">
        <f t="shared" si="7"/>
        <v/>
      </c>
    </row>
    <row r="128" ht="15.0" customHeight="1">
      <c r="A128" s="3" t="str">
        <f>IF(Equips_usuari!A128="","",Equips_usuari!A128)</f>
        <v/>
      </c>
      <c r="B128" s="3" t="str">
        <f>IF(Equips_usuari!B128="","",Equips_usuari!B128)</f>
        <v/>
      </c>
      <c r="C128" s="3" t="str">
        <f>IF(Equips_usuari!C128="","",Equips_usuari!C128)</f>
        <v/>
      </c>
      <c r="D128" s="3" t="str">
        <f>IF(Equips_usuari!D128="","",Equips_usuari!D128)</f>
        <v/>
      </c>
      <c r="E128" s="3" t="str">
        <f>IF(Equips_usuari!F128="","",Equips_usuari!F128)</f>
        <v/>
      </c>
      <c r="F128" s="3" t="str">
        <f>IF($C128="","",SUMIFS(Resultats_jugadores!$C:$C,Resultats_jugadores!$A:$A,$A128,Resultats_jugadores!$B:$B,$C128))</f>
        <v/>
      </c>
      <c r="G128" s="3" t="str">
        <f>IF($C128="","",SUMIFS(Resultats_jugadores!$D:$D,Resultats_jugadores!$A:$A,$A128,Resultats_jugadores!$B:$B,$C128))</f>
        <v/>
      </c>
      <c r="H128" s="3" t="str">
        <f t="shared" si="3"/>
        <v/>
      </c>
      <c r="I128" s="3" t="str">
        <f t="array" ref="I128">IF($C128="","",IFERROR(INDEX(Partits!$C:$C,MATCH($A128&amp;"_"&amp;$D128,Partits!$D:$D,0)),""))</f>
        <v/>
      </c>
      <c r="J128" s="3" t="str">
        <f t="shared" si="4"/>
        <v/>
      </c>
      <c r="K128" s="3" t="str">
        <f t="shared" si="5"/>
        <v/>
      </c>
      <c r="L128" s="3" t="str">
        <f t="shared" si="6"/>
        <v/>
      </c>
      <c r="M128" s="3" t="str">
        <f t="shared" si="7"/>
        <v/>
      </c>
    </row>
    <row r="129" ht="15.0" customHeight="1">
      <c r="A129" s="3" t="str">
        <f>IF(Equips_usuari!A129="","",Equips_usuari!A129)</f>
        <v/>
      </c>
      <c r="B129" s="3" t="str">
        <f>IF(Equips_usuari!B129="","",Equips_usuari!B129)</f>
        <v/>
      </c>
      <c r="C129" s="3" t="str">
        <f>IF(Equips_usuari!C129="","",Equips_usuari!C129)</f>
        <v/>
      </c>
      <c r="D129" s="3" t="str">
        <f>IF(Equips_usuari!D129="","",Equips_usuari!D129)</f>
        <v/>
      </c>
      <c r="E129" s="3" t="str">
        <f>IF(Equips_usuari!F129="","",Equips_usuari!F129)</f>
        <v/>
      </c>
      <c r="F129" s="3" t="str">
        <f>IF($C129="","",SUMIFS(Resultats_jugadores!$C:$C,Resultats_jugadores!$A:$A,$A129,Resultats_jugadores!$B:$B,$C129))</f>
        <v/>
      </c>
      <c r="G129" s="3" t="str">
        <f>IF($C129="","",SUMIFS(Resultats_jugadores!$D:$D,Resultats_jugadores!$A:$A,$A129,Resultats_jugadores!$B:$B,$C129))</f>
        <v/>
      </c>
      <c r="H129" s="3" t="str">
        <f t="shared" si="3"/>
        <v/>
      </c>
      <c r="I129" s="3" t="str">
        <f t="array" ref="I129">IF($C129="","",IFERROR(INDEX(Partits!$C:$C,MATCH($A129&amp;"_"&amp;$D129,Partits!$D:$D,0)),""))</f>
        <v/>
      </c>
      <c r="J129" s="3" t="str">
        <f t="shared" si="4"/>
        <v/>
      </c>
      <c r="K129" s="3" t="str">
        <f t="shared" si="5"/>
        <v/>
      </c>
      <c r="L129" s="3" t="str">
        <f t="shared" si="6"/>
        <v/>
      </c>
      <c r="M129" s="3" t="str">
        <f t="shared" si="7"/>
        <v/>
      </c>
    </row>
    <row r="130" ht="15.0" customHeight="1">
      <c r="A130" s="3" t="str">
        <f>IF(Equips_usuari!A130="","",Equips_usuari!A130)</f>
        <v/>
      </c>
      <c r="B130" s="3" t="str">
        <f>IF(Equips_usuari!B130="","",Equips_usuari!B130)</f>
        <v/>
      </c>
      <c r="C130" s="3" t="str">
        <f>IF(Equips_usuari!C130="","",Equips_usuari!C130)</f>
        <v/>
      </c>
      <c r="D130" s="3" t="str">
        <f>IF(Equips_usuari!D130="","",Equips_usuari!D130)</f>
        <v/>
      </c>
      <c r="E130" s="3" t="str">
        <f>IF(Equips_usuari!F130="","",Equips_usuari!F130)</f>
        <v/>
      </c>
      <c r="F130" s="3" t="str">
        <f>IF($C130="","",SUMIFS(Resultats_jugadores!$C:$C,Resultats_jugadores!$A:$A,$A130,Resultats_jugadores!$B:$B,$C130))</f>
        <v/>
      </c>
      <c r="G130" s="3" t="str">
        <f>IF($C130="","",SUMIFS(Resultats_jugadores!$D:$D,Resultats_jugadores!$A:$A,$A130,Resultats_jugadores!$B:$B,$C130))</f>
        <v/>
      </c>
      <c r="H130" s="3" t="str">
        <f t="shared" si="3"/>
        <v/>
      </c>
      <c r="I130" s="3" t="str">
        <f t="array" ref="I130">IF($C130="","",IFERROR(INDEX(Partits!$C:$C,MATCH($A130&amp;"_"&amp;$D130,Partits!$D:$D,0)),""))</f>
        <v/>
      </c>
      <c r="J130" s="3" t="str">
        <f t="shared" si="4"/>
        <v/>
      </c>
      <c r="K130" s="3" t="str">
        <f t="shared" si="5"/>
        <v/>
      </c>
      <c r="L130" s="3" t="str">
        <f t="shared" si="6"/>
        <v/>
      </c>
      <c r="M130" s="3" t="str">
        <f t="shared" si="7"/>
        <v/>
      </c>
    </row>
    <row r="131" ht="15.0" customHeight="1">
      <c r="A131" s="3" t="str">
        <f>IF(Equips_usuari!A131="","",Equips_usuari!A131)</f>
        <v/>
      </c>
      <c r="B131" s="3" t="str">
        <f>IF(Equips_usuari!B131="","",Equips_usuari!B131)</f>
        <v/>
      </c>
      <c r="C131" s="3" t="str">
        <f>IF(Equips_usuari!C131="","",Equips_usuari!C131)</f>
        <v/>
      </c>
      <c r="D131" s="3" t="str">
        <f>IF(Equips_usuari!D131="","",Equips_usuari!D131)</f>
        <v/>
      </c>
      <c r="E131" s="3" t="str">
        <f>IF(Equips_usuari!F131="","",Equips_usuari!F131)</f>
        <v/>
      </c>
      <c r="F131" s="3" t="str">
        <f>IF($C131="","",SUMIFS(Resultats_jugadores!$C:$C,Resultats_jugadores!$A:$A,$A131,Resultats_jugadores!$B:$B,$C131))</f>
        <v/>
      </c>
      <c r="G131" s="3" t="str">
        <f>IF($C131="","",SUMIFS(Resultats_jugadores!$D:$D,Resultats_jugadores!$A:$A,$A131,Resultats_jugadores!$B:$B,$C131))</f>
        <v/>
      </c>
      <c r="H131" s="3" t="str">
        <f t="shared" si="3"/>
        <v/>
      </c>
      <c r="I131" s="3" t="str">
        <f t="array" ref="I131">IF($C131="","",IFERROR(INDEX(Partits!$C:$C,MATCH($A131&amp;"_"&amp;$D131,Partits!$D:$D,0)),""))</f>
        <v/>
      </c>
      <c r="J131" s="3" t="str">
        <f t="shared" si="4"/>
        <v/>
      </c>
      <c r="K131" s="3" t="str">
        <f t="shared" si="5"/>
        <v/>
      </c>
      <c r="L131" s="3" t="str">
        <f t="shared" si="6"/>
        <v/>
      </c>
      <c r="M131" s="3" t="str">
        <f t="shared" si="7"/>
        <v/>
      </c>
    </row>
    <row r="132" ht="15.0" customHeight="1">
      <c r="A132" s="3" t="str">
        <f>IF(Equips_usuari!A132="","",Equips_usuari!A132)</f>
        <v/>
      </c>
      <c r="B132" s="3" t="str">
        <f>IF(Equips_usuari!B132="","",Equips_usuari!B132)</f>
        <v/>
      </c>
      <c r="C132" s="3" t="str">
        <f>IF(Equips_usuari!C132="","",Equips_usuari!C132)</f>
        <v/>
      </c>
      <c r="D132" s="3" t="str">
        <f>IF(Equips_usuari!D132="","",Equips_usuari!D132)</f>
        <v/>
      </c>
      <c r="E132" s="3" t="str">
        <f>IF(Equips_usuari!F132="","",Equips_usuari!F132)</f>
        <v/>
      </c>
      <c r="F132" s="3" t="str">
        <f>IF($C132="","",SUMIFS(Resultats_jugadores!$C:$C,Resultats_jugadores!$A:$A,$A132,Resultats_jugadores!$B:$B,$C132))</f>
        <v/>
      </c>
      <c r="G132" s="3" t="str">
        <f>IF($C132="","",SUMIFS(Resultats_jugadores!$D:$D,Resultats_jugadores!$A:$A,$A132,Resultats_jugadores!$B:$B,$C132))</f>
        <v/>
      </c>
      <c r="H132" s="3" t="str">
        <f t="shared" si="3"/>
        <v/>
      </c>
      <c r="I132" s="3" t="str">
        <f t="array" ref="I132">IF($C132="","",IFERROR(INDEX(Partits!$C:$C,MATCH($A132&amp;"_"&amp;$D132,Partits!$D:$D,0)),""))</f>
        <v/>
      </c>
      <c r="J132" s="3" t="str">
        <f t="shared" si="4"/>
        <v/>
      </c>
      <c r="K132" s="3" t="str">
        <f t="shared" si="5"/>
        <v/>
      </c>
      <c r="L132" s="3" t="str">
        <f t="shared" si="6"/>
        <v/>
      </c>
      <c r="M132" s="3" t="str">
        <f t="shared" si="7"/>
        <v/>
      </c>
    </row>
    <row r="133" ht="15.0" customHeight="1">
      <c r="A133" s="3" t="str">
        <f>IF(Equips_usuari!A133="","",Equips_usuari!A133)</f>
        <v/>
      </c>
      <c r="B133" s="3" t="str">
        <f>IF(Equips_usuari!B133="","",Equips_usuari!B133)</f>
        <v/>
      </c>
      <c r="C133" s="3" t="str">
        <f>IF(Equips_usuari!C133="","",Equips_usuari!C133)</f>
        <v/>
      </c>
      <c r="D133" s="3" t="str">
        <f>IF(Equips_usuari!D133="","",Equips_usuari!D133)</f>
        <v/>
      </c>
      <c r="E133" s="3" t="str">
        <f>IF(Equips_usuari!F133="","",Equips_usuari!F133)</f>
        <v/>
      </c>
      <c r="F133" s="3" t="str">
        <f>IF($C133="","",SUMIFS(Resultats_jugadores!$C:$C,Resultats_jugadores!$A:$A,$A133,Resultats_jugadores!$B:$B,$C133))</f>
        <v/>
      </c>
      <c r="G133" s="3" t="str">
        <f>IF($C133="","",SUMIFS(Resultats_jugadores!$D:$D,Resultats_jugadores!$A:$A,$A133,Resultats_jugadores!$B:$B,$C133))</f>
        <v/>
      </c>
      <c r="H133" s="3" t="str">
        <f t="shared" si="3"/>
        <v/>
      </c>
      <c r="I133" s="3" t="str">
        <f t="array" ref="I133">IF($C133="","",IFERROR(INDEX(Partits!$C:$C,MATCH($A133&amp;"_"&amp;$D133,Partits!$D:$D,0)),""))</f>
        <v/>
      </c>
      <c r="J133" s="3" t="str">
        <f t="shared" si="4"/>
        <v/>
      </c>
      <c r="K133" s="3" t="str">
        <f t="shared" si="5"/>
        <v/>
      </c>
      <c r="L133" s="3" t="str">
        <f t="shared" si="6"/>
        <v/>
      </c>
      <c r="M133" s="3" t="str">
        <f t="shared" si="7"/>
        <v/>
      </c>
    </row>
    <row r="134" ht="15.0" customHeight="1">
      <c r="A134" s="3" t="str">
        <f>IF(Equips_usuari!A134="","",Equips_usuari!A134)</f>
        <v/>
      </c>
      <c r="B134" s="3" t="str">
        <f>IF(Equips_usuari!B134="","",Equips_usuari!B134)</f>
        <v/>
      </c>
      <c r="C134" s="3" t="str">
        <f>IF(Equips_usuari!C134="","",Equips_usuari!C134)</f>
        <v/>
      </c>
      <c r="D134" s="3" t="str">
        <f>IF(Equips_usuari!D134="","",Equips_usuari!D134)</f>
        <v/>
      </c>
      <c r="E134" s="3" t="str">
        <f>IF(Equips_usuari!F134="","",Equips_usuari!F134)</f>
        <v/>
      </c>
      <c r="F134" s="3" t="str">
        <f>IF($C134="","",SUMIFS(Resultats_jugadores!$C:$C,Resultats_jugadores!$A:$A,$A134,Resultats_jugadores!$B:$B,$C134))</f>
        <v/>
      </c>
      <c r="G134" s="3" t="str">
        <f>IF($C134="","",SUMIFS(Resultats_jugadores!$D:$D,Resultats_jugadores!$A:$A,$A134,Resultats_jugadores!$B:$B,$C134))</f>
        <v/>
      </c>
      <c r="H134" s="3" t="str">
        <f t="shared" si="3"/>
        <v/>
      </c>
      <c r="I134" s="3" t="str">
        <f t="array" ref="I134">IF($C134="","",IFERROR(INDEX(Partits!$C:$C,MATCH($A134&amp;"_"&amp;$D134,Partits!$D:$D,0)),""))</f>
        <v/>
      </c>
      <c r="J134" s="3" t="str">
        <f t="shared" si="4"/>
        <v/>
      </c>
      <c r="K134" s="3" t="str">
        <f t="shared" si="5"/>
        <v/>
      </c>
      <c r="L134" s="3" t="str">
        <f t="shared" si="6"/>
        <v/>
      </c>
      <c r="M134" s="3" t="str">
        <f t="shared" si="7"/>
        <v/>
      </c>
    </row>
    <row r="135" ht="15.0" customHeight="1">
      <c r="A135" s="3" t="str">
        <f>IF(Equips_usuari!A135="","",Equips_usuari!A135)</f>
        <v/>
      </c>
      <c r="B135" s="3" t="str">
        <f>IF(Equips_usuari!B135="","",Equips_usuari!B135)</f>
        <v/>
      </c>
      <c r="C135" s="3" t="str">
        <f>IF(Equips_usuari!C135="","",Equips_usuari!C135)</f>
        <v/>
      </c>
      <c r="D135" s="3" t="str">
        <f>IF(Equips_usuari!D135="","",Equips_usuari!D135)</f>
        <v/>
      </c>
      <c r="E135" s="3" t="str">
        <f>IF(Equips_usuari!F135="","",Equips_usuari!F135)</f>
        <v/>
      </c>
      <c r="F135" s="3" t="str">
        <f>IF($C135="","",SUMIFS(Resultats_jugadores!$C:$C,Resultats_jugadores!$A:$A,$A135,Resultats_jugadores!$B:$B,$C135))</f>
        <v/>
      </c>
      <c r="G135" s="3" t="str">
        <f>IF($C135="","",SUMIFS(Resultats_jugadores!$D:$D,Resultats_jugadores!$A:$A,$A135,Resultats_jugadores!$B:$B,$C135))</f>
        <v/>
      </c>
      <c r="H135" s="3" t="str">
        <f t="shared" si="3"/>
        <v/>
      </c>
      <c r="I135" s="3" t="str">
        <f t="array" ref="I135">IF($C135="","",IFERROR(INDEX(Partits!$C:$C,MATCH($A135&amp;"_"&amp;$D135,Partits!$D:$D,0)),""))</f>
        <v/>
      </c>
      <c r="J135" s="3" t="str">
        <f t="shared" si="4"/>
        <v/>
      </c>
      <c r="K135" s="3" t="str">
        <f t="shared" si="5"/>
        <v/>
      </c>
      <c r="L135" s="3" t="str">
        <f t="shared" si="6"/>
        <v/>
      </c>
      <c r="M135" s="3" t="str">
        <f t="shared" si="7"/>
        <v/>
      </c>
    </row>
    <row r="136" ht="15.0" customHeight="1">
      <c r="A136" s="3" t="str">
        <f>IF(Equips_usuari!A136="","",Equips_usuari!A136)</f>
        <v/>
      </c>
      <c r="B136" s="3" t="str">
        <f>IF(Equips_usuari!B136="","",Equips_usuari!B136)</f>
        <v/>
      </c>
      <c r="C136" s="3" t="str">
        <f>IF(Equips_usuari!C136="","",Equips_usuari!C136)</f>
        <v/>
      </c>
      <c r="D136" s="3" t="str">
        <f>IF(Equips_usuari!D136="","",Equips_usuari!D136)</f>
        <v/>
      </c>
      <c r="E136" s="3" t="str">
        <f>IF(Equips_usuari!F136="","",Equips_usuari!F136)</f>
        <v/>
      </c>
      <c r="F136" s="3" t="str">
        <f>IF($C136="","",SUMIFS(Resultats_jugadores!$C:$C,Resultats_jugadores!$A:$A,$A136,Resultats_jugadores!$B:$B,$C136))</f>
        <v/>
      </c>
      <c r="G136" s="3" t="str">
        <f>IF($C136="","",SUMIFS(Resultats_jugadores!$D:$D,Resultats_jugadores!$A:$A,$A136,Resultats_jugadores!$B:$B,$C136))</f>
        <v/>
      </c>
      <c r="H136" s="3" t="str">
        <f t="shared" si="3"/>
        <v/>
      </c>
      <c r="I136" s="3" t="str">
        <f t="array" ref="I136">IF($C136="","",IFERROR(INDEX(Partits!$C:$C,MATCH($A136&amp;"_"&amp;$D136,Partits!$D:$D,0)),""))</f>
        <v/>
      </c>
      <c r="J136" s="3" t="str">
        <f t="shared" si="4"/>
        <v/>
      </c>
      <c r="K136" s="3" t="str">
        <f t="shared" si="5"/>
        <v/>
      </c>
      <c r="L136" s="3" t="str">
        <f t="shared" si="6"/>
        <v/>
      </c>
      <c r="M136" s="3" t="str">
        <f t="shared" si="7"/>
        <v/>
      </c>
    </row>
    <row r="137" ht="15.0" customHeight="1">
      <c r="A137" s="3" t="str">
        <f>IF(Equips_usuari!A137="","",Equips_usuari!A137)</f>
        <v/>
      </c>
      <c r="B137" s="3" t="str">
        <f>IF(Equips_usuari!B137="","",Equips_usuari!B137)</f>
        <v/>
      </c>
      <c r="C137" s="3" t="str">
        <f>IF(Equips_usuari!C137="","",Equips_usuari!C137)</f>
        <v/>
      </c>
      <c r="D137" s="3" t="str">
        <f>IF(Equips_usuari!D137="","",Equips_usuari!D137)</f>
        <v/>
      </c>
      <c r="E137" s="3" t="str">
        <f>IF(Equips_usuari!F137="","",Equips_usuari!F137)</f>
        <v/>
      </c>
      <c r="F137" s="3" t="str">
        <f>IF($C137="","",SUMIFS(Resultats_jugadores!$C:$C,Resultats_jugadores!$A:$A,$A137,Resultats_jugadores!$B:$B,$C137))</f>
        <v/>
      </c>
      <c r="G137" s="3" t="str">
        <f>IF($C137="","",SUMIFS(Resultats_jugadores!$D:$D,Resultats_jugadores!$A:$A,$A137,Resultats_jugadores!$B:$B,$C137))</f>
        <v/>
      </c>
      <c r="H137" s="3" t="str">
        <f t="shared" si="3"/>
        <v/>
      </c>
      <c r="I137" s="3" t="str">
        <f t="array" ref="I137">IF($C137="","",IFERROR(INDEX(Partits!$C:$C,MATCH($A137&amp;"_"&amp;$D137,Partits!$D:$D,0)),""))</f>
        <v/>
      </c>
      <c r="J137" s="3" t="str">
        <f t="shared" si="4"/>
        <v/>
      </c>
      <c r="K137" s="3" t="str">
        <f t="shared" si="5"/>
        <v/>
      </c>
      <c r="L137" s="3" t="str">
        <f t="shared" si="6"/>
        <v/>
      </c>
      <c r="M137" s="3" t="str">
        <f t="shared" si="7"/>
        <v/>
      </c>
    </row>
    <row r="138" ht="15.0" customHeight="1">
      <c r="A138" s="3" t="str">
        <f>IF(Equips_usuari!A138="","",Equips_usuari!A138)</f>
        <v/>
      </c>
      <c r="B138" s="3" t="str">
        <f>IF(Equips_usuari!B138="","",Equips_usuari!B138)</f>
        <v/>
      </c>
      <c r="C138" s="3" t="str">
        <f>IF(Equips_usuari!C138="","",Equips_usuari!C138)</f>
        <v/>
      </c>
      <c r="D138" s="3" t="str">
        <f>IF(Equips_usuari!D138="","",Equips_usuari!D138)</f>
        <v/>
      </c>
      <c r="E138" s="3" t="str">
        <f>IF(Equips_usuari!F138="","",Equips_usuari!F138)</f>
        <v/>
      </c>
      <c r="F138" s="3" t="str">
        <f>IF($C138="","",SUMIFS(Resultats_jugadores!$C:$C,Resultats_jugadores!$A:$A,$A138,Resultats_jugadores!$B:$B,$C138))</f>
        <v/>
      </c>
      <c r="G138" s="3" t="str">
        <f>IF($C138="","",SUMIFS(Resultats_jugadores!$D:$D,Resultats_jugadores!$A:$A,$A138,Resultats_jugadores!$B:$B,$C138))</f>
        <v/>
      </c>
      <c r="H138" s="3" t="str">
        <f t="shared" si="3"/>
        <v/>
      </c>
      <c r="I138" s="3" t="str">
        <f t="array" ref="I138">IF($C138="","",IFERROR(INDEX(Partits!$C:$C,MATCH($A138&amp;"_"&amp;$D138,Partits!$D:$D,0)),""))</f>
        <v/>
      </c>
      <c r="J138" s="3" t="str">
        <f t="shared" si="4"/>
        <v/>
      </c>
      <c r="K138" s="3" t="str">
        <f t="shared" si="5"/>
        <v/>
      </c>
      <c r="L138" s="3" t="str">
        <f t="shared" si="6"/>
        <v/>
      </c>
      <c r="M138" s="3" t="str">
        <f t="shared" si="7"/>
        <v/>
      </c>
    </row>
    <row r="139" ht="15.0" customHeight="1">
      <c r="A139" s="3" t="str">
        <f>IF(Equips_usuari!A139="","",Equips_usuari!A139)</f>
        <v/>
      </c>
      <c r="B139" s="3" t="str">
        <f>IF(Equips_usuari!B139="","",Equips_usuari!B139)</f>
        <v/>
      </c>
      <c r="C139" s="3" t="str">
        <f>IF(Equips_usuari!C139="","",Equips_usuari!C139)</f>
        <v/>
      </c>
      <c r="D139" s="3" t="str">
        <f>IF(Equips_usuari!D139="","",Equips_usuari!D139)</f>
        <v/>
      </c>
      <c r="E139" s="3" t="str">
        <f>IF(Equips_usuari!F139="","",Equips_usuari!F139)</f>
        <v/>
      </c>
      <c r="F139" s="3" t="str">
        <f>IF($C139="","",SUMIFS(Resultats_jugadores!$C:$C,Resultats_jugadores!$A:$A,$A139,Resultats_jugadores!$B:$B,$C139))</f>
        <v/>
      </c>
      <c r="G139" s="3" t="str">
        <f>IF($C139="","",SUMIFS(Resultats_jugadores!$D:$D,Resultats_jugadores!$A:$A,$A139,Resultats_jugadores!$B:$B,$C139))</f>
        <v/>
      </c>
      <c r="H139" s="3" t="str">
        <f t="shared" si="3"/>
        <v/>
      </c>
      <c r="I139" s="3" t="str">
        <f t="array" ref="I139">IF($C139="","",IFERROR(INDEX(Partits!$C:$C,MATCH($A139&amp;"_"&amp;$D139,Partits!$D:$D,0)),""))</f>
        <v/>
      </c>
      <c r="J139" s="3" t="str">
        <f t="shared" si="4"/>
        <v/>
      </c>
      <c r="K139" s="3" t="str">
        <f t="shared" si="5"/>
        <v/>
      </c>
      <c r="L139" s="3" t="str">
        <f t="shared" si="6"/>
        <v/>
      </c>
      <c r="M139" s="3" t="str">
        <f t="shared" si="7"/>
        <v/>
      </c>
    </row>
    <row r="140" ht="15.0" customHeight="1">
      <c r="A140" s="3" t="str">
        <f>IF(Equips_usuari!A140="","",Equips_usuari!A140)</f>
        <v/>
      </c>
      <c r="B140" s="3" t="str">
        <f>IF(Equips_usuari!B140="","",Equips_usuari!B140)</f>
        <v/>
      </c>
      <c r="C140" s="3" t="str">
        <f>IF(Equips_usuari!C140="","",Equips_usuari!C140)</f>
        <v/>
      </c>
      <c r="D140" s="3" t="str">
        <f>IF(Equips_usuari!D140="","",Equips_usuari!D140)</f>
        <v/>
      </c>
      <c r="E140" s="3" t="str">
        <f>IF(Equips_usuari!F140="","",Equips_usuari!F140)</f>
        <v/>
      </c>
      <c r="F140" s="3" t="str">
        <f>IF($C140="","",SUMIFS(Resultats_jugadores!$C:$C,Resultats_jugadores!$A:$A,$A140,Resultats_jugadores!$B:$B,$C140))</f>
        <v/>
      </c>
      <c r="G140" s="3" t="str">
        <f>IF($C140="","",SUMIFS(Resultats_jugadores!$D:$D,Resultats_jugadores!$A:$A,$A140,Resultats_jugadores!$B:$B,$C140))</f>
        <v/>
      </c>
      <c r="H140" s="3" t="str">
        <f t="shared" si="3"/>
        <v/>
      </c>
      <c r="I140" s="3" t="str">
        <f t="array" ref="I140">IF($C140="","",IFERROR(INDEX(Partits!$C:$C,MATCH($A140&amp;"_"&amp;$D140,Partits!$D:$D,0)),""))</f>
        <v/>
      </c>
      <c r="J140" s="3" t="str">
        <f t="shared" si="4"/>
        <v/>
      </c>
      <c r="K140" s="3" t="str">
        <f t="shared" si="5"/>
        <v/>
      </c>
      <c r="L140" s="3" t="str">
        <f t="shared" si="6"/>
        <v/>
      </c>
      <c r="M140" s="3" t="str">
        <f t="shared" si="7"/>
        <v/>
      </c>
    </row>
    <row r="141" ht="15.0" customHeight="1">
      <c r="A141" s="3" t="str">
        <f>IF(Equips_usuari!A141="","",Equips_usuari!A141)</f>
        <v/>
      </c>
      <c r="B141" s="3" t="str">
        <f>IF(Equips_usuari!B141="","",Equips_usuari!B141)</f>
        <v/>
      </c>
      <c r="C141" s="3" t="str">
        <f>IF(Equips_usuari!C141="","",Equips_usuari!C141)</f>
        <v/>
      </c>
      <c r="D141" s="3" t="str">
        <f>IF(Equips_usuari!D141="","",Equips_usuari!D141)</f>
        <v/>
      </c>
      <c r="E141" s="3" t="str">
        <f>IF(Equips_usuari!F141="","",Equips_usuari!F141)</f>
        <v/>
      </c>
      <c r="F141" s="3" t="str">
        <f>IF($C141="","",SUMIFS(Resultats_jugadores!$C:$C,Resultats_jugadores!$A:$A,$A141,Resultats_jugadores!$B:$B,$C141))</f>
        <v/>
      </c>
      <c r="G141" s="3" t="str">
        <f>IF($C141="","",SUMIFS(Resultats_jugadores!$D:$D,Resultats_jugadores!$A:$A,$A141,Resultats_jugadores!$B:$B,$C141))</f>
        <v/>
      </c>
      <c r="H141" s="3" t="str">
        <f t="shared" si="3"/>
        <v/>
      </c>
      <c r="I141" s="3" t="str">
        <f t="array" ref="I141">IF($C141="","",IFERROR(INDEX(Partits!$C:$C,MATCH($A141&amp;"_"&amp;$D141,Partits!$D:$D,0)),""))</f>
        <v/>
      </c>
      <c r="J141" s="3" t="str">
        <f t="shared" si="4"/>
        <v/>
      </c>
      <c r="K141" s="3" t="str">
        <f t="shared" si="5"/>
        <v/>
      </c>
      <c r="L141" s="3" t="str">
        <f t="shared" si="6"/>
        <v/>
      </c>
      <c r="M141" s="3" t="str">
        <f t="shared" si="7"/>
        <v/>
      </c>
    </row>
    <row r="142" ht="15.0" customHeight="1">
      <c r="A142" s="3" t="str">
        <f>IF(Equips_usuari!A142="","",Equips_usuari!A142)</f>
        <v/>
      </c>
      <c r="B142" s="3" t="str">
        <f>IF(Equips_usuari!B142="","",Equips_usuari!B142)</f>
        <v/>
      </c>
      <c r="C142" s="3" t="str">
        <f>IF(Equips_usuari!C142="","",Equips_usuari!C142)</f>
        <v/>
      </c>
      <c r="D142" s="3" t="str">
        <f>IF(Equips_usuari!D142="","",Equips_usuari!D142)</f>
        <v/>
      </c>
      <c r="E142" s="3" t="str">
        <f>IF(Equips_usuari!F142="","",Equips_usuari!F142)</f>
        <v/>
      </c>
      <c r="F142" s="3" t="str">
        <f>IF($C142="","",SUMIFS(Resultats_jugadores!$C:$C,Resultats_jugadores!$A:$A,$A142,Resultats_jugadores!$B:$B,$C142))</f>
        <v/>
      </c>
      <c r="G142" s="3" t="str">
        <f>IF($C142="","",SUMIFS(Resultats_jugadores!$D:$D,Resultats_jugadores!$A:$A,$A142,Resultats_jugadores!$B:$B,$C142))</f>
        <v/>
      </c>
      <c r="H142" s="3" t="str">
        <f t="shared" si="3"/>
        <v/>
      </c>
      <c r="I142" s="3" t="str">
        <f t="array" ref="I142">IF($C142="","",IFERROR(INDEX(Partits!$C:$C,MATCH($A142&amp;"_"&amp;$D142,Partits!$D:$D,0)),""))</f>
        <v/>
      </c>
      <c r="J142" s="3" t="str">
        <f t="shared" si="4"/>
        <v/>
      </c>
      <c r="K142" s="3" t="str">
        <f t="shared" si="5"/>
        <v/>
      </c>
      <c r="L142" s="3" t="str">
        <f t="shared" si="6"/>
        <v/>
      </c>
      <c r="M142" s="3" t="str">
        <f t="shared" si="7"/>
        <v/>
      </c>
    </row>
    <row r="143" ht="15.0" customHeight="1">
      <c r="A143" s="3" t="str">
        <f>IF(Equips_usuari!A143="","",Equips_usuari!A143)</f>
        <v/>
      </c>
      <c r="B143" s="3" t="str">
        <f>IF(Equips_usuari!B143="","",Equips_usuari!B143)</f>
        <v/>
      </c>
      <c r="C143" s="3" t="str">
        <f>IF(Equips_usuari!C143="","",Equips_usuari!C143)</f>
        <v/>
      </c>
      <c r="D143" s="3" t="str">
        <f>IF(Equips_usuari!D143="","",Equips_usuari!D143)</f>
        <v/>
      </c>
      <c r="E143" s="3" t="str">
        <f>IF(Equips_usuari!F143="","",Equips_usuari!F143)</f>
        <v/>
      </c>
      <c r="F143" s="3" t="str">
        <f>IF($C143="","",SUMIFS(Resultats_jugadores!$C:$C,Resultats_jugadores!$A:$A,$A143,Resultats_jugadores!$B:$B,$C143))</f>
        <v/>
      </c>
      <c r="G143" s="3" t="str">
        <f>IF($C143="","",SUMIFS(Resultats_jugadores!$D:$D,Resultats_jugadores!$A:$A,$A143,Resultats_jugadores!$B:$B,$C143))</f>
        <v/>
      </c>
      <c r="H143" s="3" t="str">
        <f t="shared" si="3"/>
        <v/>
      </c>
      <c r="I143" s="3" t="str">
        <f t="array" ref="I143">IF($C143="","",IFERROR(INDEX(Partits!$C:$C,MATCH($A143&amp;"_"&amp;$D143,Partits!$D:$D,0)),""))</f>
        <v/>
      </c>
      <c r="J143" s="3" t="str">
        <f t="shared" si="4"/>
        <v/>
      </c>
      <c r="K143" s="3" t="str">
        <f t="shared" si="5"/>
        <v/>
      </c>
      <c r="L143" s="3" t="str">
        <f t="shared" si="6"/>
        <v/>
      </c>
      <c r="M143" s="3" t="str">
        <f t="shared" si="7"/>
        <v/>
      </c>
    </row>
    <row r="144" ht="15.0" customHeight="1">
      <c r="A144" s="3" t="str">
        <f>IF(Equips_usuari!A144="","",Equips_usuari!A144)</f>
        <v/>
      </c>
      <c r="B144" s="3" t="str">
        <f>IF(Equips_usuari!B144="","",Equips_usuari!B144)</f>
        <v/>
      </c>
      <c r="C144" s="3" t="str">
        <f>IF(Equips_usuari!C144="","",Equips_usuari!C144)</f>
        <v/>
      </c>
      <c r="D144" s="3" t="str">
        <f>IF(Equips_usuari!D144="","",Equips_usuari!D144)</f>
        <v/>
      </c>
      <c r="E144" s="3" t="str">
        <f>IF(Equips_usuari!F144="","",Equips_usuari!F144)</f>
        <v/>
      </c>
      <c r="F144" s="3" t="str">
        <f>IF($C144="","",SUMIFS(Resultats_jugadores!$C:$C,Resultats_jugadores!$A:$A,$A144,Resultats_jugadores!$B:$B,$C144))</f>
        <v/>
      </c>
      <c r="G144" s="3" t="str">
        <f>IF($C144="","",SUMIFS(Resultats_jugadores!$D:$D,Resultats_jugadores!$A:$A,$A144,Resultats_jugadores!$B:$B,$C144))</f>
        <v/>
      </c>
      <c r="H144" s="3" t="str">
        <f t="shared" si="3"/>
        <v/>
      </c>
      <c r="I144" s="3" t="str">
        <f t="array" ref="I144">IF($C144="","",IFERROR(INDEX(Partits!$C:$C,MATCH($A144&amp;"_"&amp;$D144,Partits!$D:$D,0)),""))</f>
        <v/>
      </c>
      <c r="J144" s="3" t="str">
        <f t="shared" si="4"/>
        <v/>
      </c>
      <c r="K144" s="3" t="str">
        <f t="shared" si="5"/>
        <v/>
      </c>
      <c r="L144" s="3" t="str">
        <f t="shared" si="6"/>
        <v/>
      </c>
      <c r="M144" s="3" t="str">
        <f t="shared" si="7"/>
        <v/>
      </c>
    </row>
    <row r="145" ht="15.0" customHeight="1">
      <c r="A145" s="3" t="str">
        <f>IF(Equips_usuari!A145="","",Equips_usuari!A145)</f>
        <v/>
      </c>
      <c r="B145" s="3" t="str">
        <f>IF(Equips_usuari!B145="","",Equips_usuari!B145)</f>
        <v/>
      </c>
      <c r="C145" s="3" t="str">
        <f>IF(Equips_usuari!C145="","",Equips_usuari!C145)</f>
        <v/>
      </c>
      <c r="D145" s="3" t="str">
        <f>IF(Equips_usuari!D145="","",Equips_usuari!D145)</f>
        <v/>
      </c>
      <c r="E145" s="3" t="str">
        <f>IF(Equips_usuari!F145="","",Equips_usuari!F145)</f>
        <v/>
      </c>
      <c r="F145" s="3" t="str">
        <f>IF($C145="","",SUMIFS(Resultats_jugadores!$C:$C,Resultats_jugadores!$A:$A,$A145,Resultats_jugadores!$B:$B,$C145))</f>
        <v/>
      </c>
      <c r="G145" s="3" t="str">
        <f>IF($C145="","",SUMIFS(Resultats_jugadores!$D:$D,Resultats_jugadores!$A:$A,$A145,Resultats_jugadores!$B:$B,$C145))</f>
        <v/>
      </c>
      <c r="H145" s="3" t="str">
        <f t="shared" si="3"/>
        <v/>
      </c>
      <c r="I145" s="3" t="str">
        <f t="array" ref="I145">IF($C145="","",IFERROR(INDEX(Partits!$C:$C,MATCH($A145&amp;"_"&amp;$D145,Partits!$D:$D,0)),""))</f>
        <v/>
      </c>
      <c r="J145" s="3" t="str">
        <f t="shared" si="4"/>
        <v/>
      </c>
      <c r="K145" s="3" t="str">
        <f t="shared" si="5"/>
        <v/>
      </c>
      <c r="L145" s="3" t="str">
        <f t="shared" si="6"/>
        <v/>
      </c>
      <c r="M145" s="3" t="str">
        <f t="shared" si="7"/>
        <v/>
      </c>
    </row>
    <row r="146" ht="15.0" customHeight="1">
      <c r="A146" s="3" t="str">
        <f>IF(Equips_usuari!A146="","",Equips_usuari!A146)</f>
        <v/>
      </c>
      <c r="B146" s="3" t="str">
        <f>IF(Equips_usuari!B146="","",Equips_usuari!B146)</f>
        <v/>
      </c>
      <c r="C146" s="3" t="str">
        <f>IF(Equips_usuari!C146="","",Equips_usuari!C146)</f>
        <v/>
      </c>
      <c r="D146" s="3" t="str">
        <f>IF(Equips_usuari!D146="","",Equips_usuari!D146)</f>
        <v/>
      </c>
      <c r="E146" s="3" t="str">
        <f>IF(Equips_usuari!F146="","",Equips_usuari!F146)</f>
        <v/>
      </c>
      <c r="F146" s="3" t="str">
        <f>IF($C146="","",SUMIFS(Resultats_jugadores!$C:$C,Resultats_jugadores!$A:$A,$A146,Resultats_jugadores!$B:$B,$C146))</f>
        <v/>
      </c>
      <c r="G146" s="3" t="str">
        <f>IF($C146="","",SUMIFS(Resultats_jugadores!$D:$D,Resultats_jugadores!$A:$A,$A146,Resultats_jugadores!$B:$B,$C146))</f>
        <v/>
      </c>
      <c r="H146" s="3" t="str">
        <f t="shared" si="3"/>
        <v/>
      </c>
      <c r="I146" s="3" t="str">
        <f t="array" ref="I146">IF($C146="","",IFERROR(INDEX(Partits!$C:$C,MATCH($A146&amp;"_"&amp;$D146,Partits!$D:$D,0)),""))</f>
        <v/>
      </c>
      <c r="J146" s="3" t="str">
        <f t="shared" si="4"/>
        <v/>
      </c>
      <c r="K146" s="3" t="str">
        <f t="shared" si="5"/>
        <v/>
      </c>
      <c r="L146" s="3" t="str">
        <f t="shared" si="6"/>
        <v/>
      </c>
      <c r="M146" s="3" t="str">
        <f t="shared" si="7"/>
        <v/>
      </c>
    </row>
    <row r="147" ht="15.0" customHeight="1">
      <c r="A147" s="3" t="str">
        <f>IF(Equips_usuari!A147="","",Equips_usuari!A147)</f>
        <v/>
      </c>
      <c r="B147" s="3" t="str">
        <f>IF(Equips_usuari!B147="","",Equips_usuari!B147)</f>
        <v/>
      </c>
      <c r="C147" s="3" t="str">
        <f>IF(Equips_usuari!C147="","",Equips_usuari!C147)</f>
        <v/>
      </c>
      <c r="D147" s="3" t="str">
        <f>IF(Equips_usuari!D147="","",Equips_usuari!D147)</f>
        <v/>
      </c>
      <c r="E147" s="3" t="str">
        <f>IF(Equips_usuari!F147="","",Equips_usuari!F147)</f>
        <v/>
      </c>
      <c r="F147" s="3" t="str">
        <f>IF($C147="","",SUMIFS(Resultats_jugadores!$C:$C,Resultats_jugadores!$A:$A,$A147,Resultats_jugadores!$B:$B,$C147))</f>
        <v/>
      </c>
      <c r="G147" s="3" t="str">
        <f>IF($C147="","",SUMIFS(Resultats_jugadores!$D:$D,Resultats_jugadores!$A:$A,$A147,Resultats_jugadores!$B:$B,$C147))</f>
        <v/>
      </c>
      <c r="H147" s="3" t="str">
        <f t="shared" si="3"/>
        <v/>
      </c>
      <c r="I147" s="3" t="str">
        <f t="array" ref="I147">IF($C147="","",IFERROR(INDEX(Partits!$C:$C,MATCH($A147&amp;"_"&amp;$D147,Partits!$D:$D,0)),""))</f>
        <v/>
      </c>
      <c r="J147" s="3" t="str">
        <f t="shared" si="4"/>
        <v/>
      </c>
      <c r="K147" s="3" t="str">
        <f t="shared" si="5"/>
        <v/>
      </c>
      <c r="L147" s="3" t="str">
        <f t="shared" si="6"/>
        <v/>
      </c>
      <c r="M147" s="3" t="str">
        <f t="shared" si="7"/>
        <v/>
      </c>
    </row>
    <row r="148" ht="15.0" customHeight="1">
      <c r="A148" s="3" t="str">
        <f>IF(Equips_usuari!A148="","",Equips_usuari!A148)</f>
        <v/>
      </c>
      <c r="B148" s="3" t="str">
        <f>IF(Equips_usuari!B148="","",Equips_usuari!B148)</f>
        <v/>
      </c>
      <c r="C148" s="3" t="str">
        <f>IF(Equips_usuari!C148="","",Equips_usuari!C148)</f>
        <v/>
      </c>
      <c r="D148" s="3" t="str">
        <f>IF(Equips_usuari!D148="","",Equips_usuari!D148)</f>
        <v/>
      </c>
      <c r="E148" s="3" t="str">
        <f>IF(Equips_usuari!F148="","",Equips_usuari!F148)</f>
        <v/>
      </c>
      <c r="F148" s="3" t="str">
        <f>IF($C148="","",SUMIFS(Resultats_jugadores!$C:$C,Resultats_jugadores!$A:$A,$A148,Resultats_jugadores!$B:$B,$C148))</f>
        <v/>
      </c>
      <c r="G148" s="3" t="str">
        <f>IF($C148="","",SUMIFS(Resultats_jugadores!$D:$D,Resultats_jugadores!$A:$A,$A148,Resultats_jugadores!$B:$B,$C148))</f>
        <v/>
      </c>
      <c r="H148" s="3" t="str">
        <f t="shared" si="3"/>
        <v/>
      </c>
      <c r="I148" s="3" t="str">
        <f t="array" ref="I148">IF($C148="","",IFERROR(INDEX(Partits!$C:$C,MATCH($A148&amp;"_"&amp;$D148,Partits!$D:$D,0)),""))</f>
        <v/>
      </c>
      <c r="J148" s="3" t="str">
        <f t="shared" si="4"/>
        <v/>
      </c>
      <c r="K148" s="3" t="str">
        <f t="shared" si="5"/>
        <v/>
      </c>
      <c r="L148" s="3" t="str">
        <f t="shared" si="6"/>
        <v/>
      </c>
      <c r="M148" s="3" t="str">
        <f t="shared" si="7"/>
        <v/>
      </c>
    </row>
    <row r="149" ht="15.0" customHeight="1">
      <c r="A149" s="3" t="str">
        <f>IF(Equips_usuari!A149="","",Equips_usuari!A149)</f>
        <v/>
      </c>
      <c r="B149" s="3" t="str">
        <f>IF(Equips_usuari!B149="","",Equips_usuari!B149)</f>
        <v/>
      </c>
      <c r="C149" s="3" t="str">
        <f>IF(Equips_usuari!C149="","",Equips_usuari!C149)</f>
        <v/>
      </c>
      <c r="D149" s="3" t="str">
        <f>IF(Equips_usuari!D149="","",Equips_usuari!D149)</f>
        <v/>
      </c>
      <c r="E149" s="3" t="str">
        <f>IF(Equips_usuari!F149="","",Equips_usuari!F149)</f>
        <v/>
      </c>
      <c r="F149" s="3" t="str">
        <f>IF($C149="","",SUMIFS(Resultats_jugadores!$C:$C,Resultats_jugadores!$A:$A,$A149,Resultats_jugadores!$B:$B,$C149))</f>
        <v/>
      </c>
      <c r="G149" s="3" t="str">
        <f>IF($C149="","",SUMIFS(Resultats_jugadores!$D:$D,Resultats_jugadores!$A:$A,$A149,Resultats_jugadores!$B:$B,$C149))</f>
        <v/>
      </c>
      <c r="H149" s="3" t="str">
        <f t="shared" si="3"/>
        <v/>
      </c>
      <c r="I149" s="3" t="str">
        <f t="array" ref="I149">IF($C149="","",IFERROR(INDEX(Partits!$C:$C,MATCH($A149&amp;"_"&amp;$D149,Partits!$D:$D,0)),""))</f>
        <v/>
      </c>
      <c r="J149" s="3" t="str">
        <f t="shared" si="4"/>
        <v/>
      </c>
      <c r="K149" s="3" t="str">
        <f t="shared" si="5"/>
        <v/>
      </c>
      <c r="L149" s="3" t="str">
        <f t="shared" si="6"/>
        <v/>
      </c>
      <c r="M149" s="3" t="str">
        <f t="shared" si="7"/>
        <v/>
      </c>
    </row>
    <row r="150" ht="15.0" customHeight="1">
      <c r="A150" s="3" t="str">
        <f>IF(Equips_usuari!A150="","",Equips_usuari!A150)</f>
        <v/>
      </c>
      <c r="B150" s="3" t="str">
        <f>IF(Equips_usuari!B150="","",Equips_usuari!B150)</f>
        <v/>
      </c>
      <c r="C150" s="3" t="str">
        <f>IF(Equips_usuari!C150="","",Equips_usuari!C150)</f>
        <v/>
      </c>
      <c r="D150" s="3" t="str">
        <f>IF(Equips_usuari!D150="","",Equips_usuari!D150)</f>
        <v/>
      </c>
      <c r="E150" s="3" t="str">
        <f>IF(Equips_usuari!F150="","",Equips_usuari!F150)</f>
        <v/>
      </c>
      <c r="F150" s="3" t="str">
        <f>IF($C150="","",SUMIFS(Resultats_jugadores!$C:$C,Resultats_jugadores!$A:$A,$A150,Resultats_jugadores!$B:$B,$C150))</f>
        <v/>
      </c>
      <c r="G150" s="3" t="str">
        <f>IF($C150="","",SUMIFS(Resultats_jugadores!$D:$D,Resultats_jugadores!$A:$A,$A150,Resultats_jugadores!$B:$B,$C150))</f>
        <v/>
      </c>
      <c r="H150" s="3" t="str">
        <f t="shared" si="3"/>
        <v/>
      </c>
      <c r="I150" s="3" t="str">
        <f t="array" ref="I150">IF($C150="","",IFERROR(INDEX(Partits!$C:$C,MATCH($A150&amp;"_"&amp;$D150,Partits!$D:$D,0)),""))</f>
        <v/>
      </c>
      <c r="J150" s="3" t="str">
        <f t="shared" si="4"/>
        <v/>
      </c>
      <c r="K150" s="3" t="str">
        <f t="shared" si="5"/>
        <v/>
      </c>
      <c r="L150" s="3" t="str">
        <f t="shared" si="6"/>
        <v/>
      </c>
      <c r="M150" s="3" t="str">
        <f t="shared" si="7"/>
        <v/>
      </c>
    </row>
    <row r="151" ht="15.0" customHeight="1">
      <c r="A151" s="3" t="str">
        <f>IF(Equips_usuari!A151="","",Equips_usuari!A151)</f>
        <v/>
      </c>
      <c r="B151" s="3" t="str">
        <f>IF(Equips_usuari!B151="","",Equips_usuari!B151)</f>
        <v/>
      </c>
      <c r="C151" s="3" t="str">
        <f>IF(Equips_usuari!C151="","",Equips_usuari!C151)</f>
        <v/>
      </c>
      <c r="D151" s="3" t="str">
        <f>IF(Equips_usuari!D151="","",Equips_usuari!D151)</f>
        <v/>
      </c>
      <c r="E151" s="3" t="str">
        <f>IF(Equips_usuari!F151="","",Equips_usuari!F151)</f>
        <v/>
      </c>
      <c r="F151" s="3" t="str">
        <f>IF($C151="","",SUMIFS(Resultats_jugadores!$C:$C,Resultats_jugadores!$A:$A,$A151,Resultats_jugadores!$B:$B,$C151))</f>
        <v/>
      </c>
      <c r="G151" s="3" t="str">
        <f>IF($C151="","",SUMIFS(Resultats_jugadores!$D:$D,Resultats_jugadores!$A:$A,$A151,Resultats_jugadores!$B:$B,$C151))</f>
        <v/>
      </c>
      <c r="H151" s="3" t="str">
        <f t="shared" si="3"/>
        <v/>
      </c>
      <c r="I151" s="3" t="str">
        <f t="array" ref="I151">IF($C151="","",IFERROR(INDEX(Partits!$C:$C,MATCH($A151&amp;"_"&amp;$D151,Partits!$D:$D,0)),""))</f>
        <v/>
      </c>
      <c r="J151" s="3" t="str">
        <f t="shared" si="4"/>
        <v/>
      </c>
      <c r="K151" s="3" t="str">
        <f t="shared" si="5"/>
        <v/>
      </c>
      <c r="L151" s="3" t="str">
        <f t="shared" si="6"/>
        <v/>
      </c>
      <c r="M151" s="3" t="str">
        <f t="shared" si="7"/>
        <v/>
      </c>
    </row>
    <row r="152" ht="15.0" customHeight="1">
      <c r="A152" s="3" t="str">
        <f>IF(Equips_usuari!A152="","",Equips_usuari!A152)</f>
        <v/>
      </c>
      <c r="B152" s="3" t="str">
        <f>IF(Equips_usuari!B152="","",Equips_usuari!B152)</f>
        <v/>
      </c>
      <c r="C152" s="3" t="str">
        <f>IF(Equips_usuari!C152="","",Equips_usuari!C152)</f>
        <v/>
      </c>
      <c r="D152" s="3" t="str">
        <f>IF(Equips_usuari!D152="","",Equips_usuari!D152)</f>
        <v/>
      </c>
      <c r="E152" s="3" t="str">
        <f>IF(Equips_usuari!F152="","",Equips_usuari!F152)</f>
        <v/>
      </c>
      <c r="F152" s="3" t="str">
        <f>IF($C152="","",SUMIFS(Resultats_jugadores!$C:$C,Resultats_jugadores!$A:$A,$A152,Resultats_jugadores!$B:$B,$C152))</f>
        <v/>
      </c>
      <c r="G152" s="3" t="str">
        <f>IF($C152="","",SUMIFS(Resultats_jugadores!$D:$D,Resultats_jugadores!$A:$A,$A152,Resultats_jugadores!$B:$B,$C152))</f>
        <v/>
      </c>
      <c r="H152" s="3" t="str">
        <f t="shared" si="3"/>
        <v/>
      </c>
      <c r="I152" s="3" t="str">
        <f t="array" ref="I152">IF($C152="","",IFERROR(INDEX(Partits!$C:$C,MATCH($A152&amp;"_"&amp;$D152,Partits!$D:$D,0)),""))</f>
        <v/>
      </c>
      <c r="J152" s="3" t="str">
        <f t="shared" si="4"/>
        <v/>
      </c>
      <c r="K152" s="3" t="str">
        <f t="shared" si="5"/>
        <v/>
      </c>
      <c r="L152" s="3" t="str">
        <f t="shared" si="6"/>
        <v/>
      </c>
      <c r="M152" s="3" t="str">
        <f t="shared" si="7"/>
        <v/>
      </c>
    </row>
    <row r="153" ht="15.0" customHeight="1">
      <c r="A153" s="3" t="str">
        <f>IF(Equips_usuari!A153="","",Equips_usuari!A153)</f>
        <v/>
      </c>
      <c r="B153" s="3" t="str">
        <f>IF(Equips_usuari!B153="","",Equips_usuari!B153)</f>
        <v/>
      </c>
      <c r="C153" s="3" t="str">
        <f>IF(Equips_usuari!C153="","",Equips_usuari!C153)</f>
        <v/>
      </c>
      <c r="D153" s="3" t="str">
        <f>IF(Equips_usuari!D153="","",Equips_usuari!D153)</f>
        <v/>
      </c>
      <c r="E153" s="3" t="str">
        <f>IF(Equips_usuari!F153="","",Equips_usuari!F153)</f>
        <v/>
      </c>
      <c r="F153" s="3" t="str">
        <f>IF($C153="","",SUMIFS(Resultats_jugadores!$C:$C,Resultats_jugadores!$A:$A,$A153,Resultats_jugadores!$B:$B,$C153))</f>
        <v/>
      </c>
      <c r="G153" s="3" t="str">
        <f>IF($C153="","",SUMIFS(Resultats_jugadores!$D:$D,Resultats_jugadores!$A:$A,$A153,Resultats_jugadores!$B:$B,$C153))</f>
        <v/>
      </c>
      <c r="H153" s="3" t="str">
        <f t="shared" si="3"/>
        <v/>
      </c>
      <c r="I153" s="3" t="str">
        <f t="array" ref="I153">IF($C153="","",IFERROR(INDEX(Partits!$C:$C,MATCH($A153&amp;"_"&amp;$D153,Partits!$D:$D,0)),""))</f>
        <v/>
      </c>
      <c r="J153" s="3" t="str">
        <f t="shared" si="4"/>
        <v/>
      </c>
      <c r="K153" s="3" t="str">
        <f t="shared" si="5"/>
        <v/>
      </c>
      <c r="L153" s="3" t="str">
        <f t="shared" si="6"/>
        <v/>
      </c>
      <c r="M153" s="3" t="str">
        <f t="shared" si="7"/>
        <v/>
      </c>
    </row>
    <row r="154" ht="15.0" customHeight="1">
      <c r="A154" s="3" t="str">
        <f>IF(Equips_usuari!A154="","",Equips_usuari!A154)</f>
        <v/>
      </c>
      <c r="B154" s="3" t="str">
        <f>IF(Equips_usuari!B154="","",Equips_usuari!B154)</f>
        <v/>
      </c>
      <c r="C154" s="3" t="str">
        <f>IF(Equips_usuari!C154="","",Equips_usuari!C154)</f>
        <v/>
      </c>
      <c r="D154" s="3" t="str">
        <f>IF(Equips_usuari!D154="","",Equips_usuari!D154)</f>
        <v/>
      </c>
      <c r="E154" s="3" t="str">
        <f>IF(Equips_usuari!F154="","",Equips_usuari!F154)</f>
        <v/>
      </c>
      <c r="F154" s="3" t="str">
        <f>IF($C154="","",SUMIFS(Resultats_jugadores!$C:$C,Resultats_jugadores!$A:$A,$A154,Resultats_jugadores!$B:$B,$C154))</f>
        <v/>
      </c>
      <c r="G154" s="3" t="str">
        <f>IF($C154="","",SUMIFS(Resultats_jugadores!$D:$D,Resultats_jugadores!$A:$A,$A154,Resultats_jugadores!$B:$B,$C154))</f>
        <v/>
      </c>
      <c r="H154" s="3" t="str">
        <f t="shared" si="3"/>
        <v/>
      </c>
      <c r="I154" s="3" t="str">
        <f t="array" ref="I154">IF($C154="","",IFERROR(INDEX(Partits!$C:$C,MATCH($A154&amp;"_"&amp;$D154,Partits!$D:$D,0)),""))</f>
        <v/>
      </c>
      <c r="J154" s="3" t="str">
        <f t="shared" si="4"/>
        <v/>
      </c>
      <c r="K154" s="3" t="str">
        <f t="shared" si="5"/>
        <v/>
      </c>
      <c r="L154" s="3" t="str">
        <f t="shared" si="6"/>
        <v/>
      </c>
      <c r="M154" s="3" t="str">
        <f t="shared" si="7"/>
        <v/>
      </c>
    </row>
    <row r="155" ht="15.0" customHeight="1">
      <c r="A155" s="3" t="str">
        <f>IF(Equips_usuari!A155="","",Equips_usuari!A155)</f>
        <v/>
      </c>
      <c r="B155" s="3" t="str">
        <f>IF(Equips_usuari!B155="","",Equips_usuari!B155)</f>
        <v/>
      </c>
      <c r="C155" s="3" t="str">
        <f>IF(Equips_usuari!C155="","",Equips_usuari!C155)</f>
        <v/>
      </c>
      <c r="D155" s="3" t="str">
        <f>IF(Equips_usuari!D155="","",Equips_usuari!D155)</f>
        <v/>
      </c>
      <c r="E155" s="3" t="str">
        <f>IF(Equips_usuari!F155="","",Equips_usuari!F155)</f>
        <v/>
      </c>
      <c r="F155" s="3" t="str">
        <f>IF($C155="","",SUMIFS(Resultats_jugadores!$C:$C,Resultats_jugadores!$A:$A,$A155,Resultats_jugadores!$B:$B,$C155))</f>
        <v/>
      </c>
      <c r="G155" s="3" t="str">
        <f>IF($C155="","",SUMIFS(Resultats_jugadores!$D:$D,Resultats_jugadores!$A:$A,$A155,Resultats_jugadores!$B:$B,$C155))</f>
        <v/>
      </c>
      <c r="H155" s="3" t="str">
        <f t="shared" si="3"/>
        <v/>
      </c>
      <c r="I155" s="3" t="str">
        <f t="array" ref="I155">IF($C155="","",IFERROR(INDEX(Partits!$C:$C,MATCH($A155&amp;"_"&amp;$D155,Partits!$D:$D,0)),""))</f>
        <v/>
      </c>
      <c r="J155" s="3" t="str">
        <f t="shared" si="4"/>
        <v/>
      </c>
      <c r="K155" s="3" t="str">
        <f t="shared" si="5"/>
        <v/>
      </c>
      <c r="L155" s="3" t="str">
        <f t="shared" si="6"/>
        <v/>
      </c>
      <c r="M155" s="3" t="str">
        <f t="shared" si="7"/>
        <v/>
      </c>
    </row>
    <row r="156" ht="15.0" customHeight="1">
      <c r="A156" s="3" t="str">
        <f>IF(Equips_usuari!A156="","",Equips_usuari!A156)</f>
        <v/>
      </c>
      <c r="B156" s="3" t="str">
        <f>IF(Equips_usuari!B156="","",Equips_usuari!B156)</f>
        <v/>
      </c>
      <c r="C156" s="3" t="str">
        <f>IF(Equips_usuari!C156="","",Equips_usuari!C156)</f>
        <v/>
      </c>
      <c r="D156" s="3" t="str">
        <f>IF(Equips_usuari!D156="","",Equips_usuari!D156)</f>
        <v/>
      </c>
      <c r="E156" s="3" t="str">
        <f>IF(Equips_usuari!F156="","",Equips_usuari!F156)</f>
        <v/>
      </c>
      <c r="F156" s="3" t="str">
        <f>IF($C156="","",SUMIFS(Resultats_jugadores!$C:$C,Resultats_jugadores!$A:$A,$A156,Resultats_jugadores!$B:$B,$C156))</f>
        <v/>
      </c>
      <c r="G156" s="3" t="str">
        <f>IF($C156="","",SUMIFS(Resultats_jugadores!$D:$D,Resultats_jugadores!$A:$A,$A156,Resultats_jugadores!$B:$B,$C156))</f>
        <v/>
      </c>
      <c r="H156" s="3" t="str">
        <f t="shared" si="3"/>
        <v/>
      </c>
      <c r="I156" s="3" t="str">
        <f t="array" ref="I156">IF($C156="","",IFERROR(INDEX(Partits!$C:$C,MATCH($A156&amp;"_"&amp;$D156,Partits!$D:$D,0)),""))</f>
        <v/>
      </c>
      <c r="J156" s="3" t="str">
        <f t="shared" si="4"/>
        <v/>
      </c>
      <c r="K156" s="3" t="str">
        <f t="shared" si="5"/>
        <v/>
      </c>
      <c r="L156" s="3" t="str">
        <f t="shared" si="6"/>
        <v/>
      </c>
      <c r="M156" s="3" t="str">
        <f t="shared" si="7"/>
        <v/>
      </c>
    </row>
    <row r="157" ht="15.0" customHeight="1">
      <c r="A157" s="3" t="str">
        <f>IF(Equips_usuari!A157="","",Equips_usuari!A157)</f>
        <v/>
      </c>
      <c r="B157" s="3" t="str">
        <f>IF(Equips_usuari!B157="","",Equips_usuari!B157)</f>
        <v/>
      </c>
      <c r="C157" s="3" t="str">
        <f>IF(Equips_usuari!C157="","",Equips_usuari!C157)</f>
        <v/>
      </c>
      <c r="D157" s="3" t="str">
        <f>IF(Equips_usuari!D157="","",Equips_usuari!D157)</f>
        <v/>
      </c>
      <c r="E157" s="3" t="str">
        <f>IF(Equips_usuari!F157="","",Equips_usuari!F157)</f>
        <v/>
      </c>
      <c r="F157" s="3" t="str">
        <f>IF($C157="","",SUMIFS(Resultats_jugadores!$C:$C,Resultats_jugadores!$A:$A,$A157,Resultats_jugadores!$B:$B,$C157))</f>
        <v/>
      </c>
      <c r="G157" s="3" t="str">
        <f>IF($C157="","",SUMIFS(Resultats_jugadores!$D:$D,Resultats_jugadores!$A:$A,$A157,Resultats_jugadores!$B:$B,$C157))</f>
        <v/>
      </c>
      <c r="H157" s="3" t="str">
        <f t="shared" si="3"/>
        <v/>
      </c>
      <c r="I157" s="3" t="str">
        <f t="array" ref="I157">IF($C157="","",IFERROR(INDEX(Partits!$C:$C,MATCH($A157&amp;"_"&amp;$D157,Partits!$D:$D,0)),""))</f>
        <v/>
      </c>
      <c r="J157" s="3" t="str">
        <f t="shared" si="4"/>
        <v/>
      </c>
      <c r="K157" s="3" t="str">
        <f t="shared" si="5"/>
        <v/>
      </c>
      <c r="L157" s="3" t="str">
        <f t="shared" si="6"/>
        <v/>
      </c>
      <c r="M157" s="3" t="str">
        <f t="shared" si="7"/>
        <v/>
      </c>
    </row>
    <row r="158" ht="15.0" customHeight="1">
      <c r="A158" s="3" t="str">
        <f>IF(Equips_usuari!A158="","",Equips_usuari!A158)</f>
        <v/>
      </c>
      <c r="B158" s="3" t="str">
        <f>IF(Equips_usuari!B158="","",Equips_usuari!B158)</f>
        <v/>
      </c>
      <c r="C158" s="3" t="str">
        <f>IF(Equips_usuari!C158="","",Equips_usuari!C158)</f>
        <v/>
      </c>
      <c r="D158" s="3" t="str">
        <f>IF(Equips_usuari!D158="","",Equips_usuari!D158)</f>
        <v/>
      </c>
      <c r="E158" s="3" t="str">
        <f>IF(Equips_usuari!F158="","",Equips_usuari!F158)</f>
        <v/>
      </c>
      <c r="F158" s="3" t="str">
        <f>IF($C158="","",SUMIFS(Resultats_jugadores!$C:$C,Resultats_jugadores!$A:$A,$A158,Resultats_jugadores!$B:$B,$C158))</f>
        <v/>
      </c>
      <c r="G158" s="3" t="str">
        <f>IF($C158="","",SUMIFS(Resultats_jugadores!$D:$D,Resultats_jugadores!$A:$A,$A158,Resultats_jugadores!$B:$B,$C158))</f>
        <v/>
      </c>
      <c r="H158" s="3" t="str">
        <f t="shared" si="3"/>
        <v/>
      </c>
      <c r="I158" s="3" t="str">
        <f t="array" ref="I158">IF($C158="","",IFERROR(INDEX(Partits!$C:$C,MATCH($A158&amp;"_"&amp;$D158,Partits!$D:$D,0)),""))</f>
        <v/>
      </c>
      <c r="J158" s="3" t="str">
        <f t="shared" si="4"/>
        <v/>
      </c>
      <c r="K158" s="3" t="str">
        <f t="shared" si="5"/>
        <v/>
      </c>
      <c r="L158" s="3" t="str">
        <f t="shared" si="6"/>
        <v/>
      </c>
      <c r="M158" s="3" t="str">
        <f t="shared" si="7"/>
        <v/>
      </c>
    </row>
    <row r="159" ht="15.0" customHeight="1">
      <c r="A159" s="3" t="str">
        <f>IF(Equips_usuari!A159="","",Equips_usuari!A159)</f>
        <v/>
      </c>
      <c r="B159" s="3" t="str">
        <f>IF(Equips_usuari!B159="","",Equips_usuari!B159)</f>
        <v/>
      </c>
      <c r="C159" s="3" t="str">
        <f>IF(Equips_usuari!C159="","",Equips_usuari!C159)</f>
        <v/>
      </c>
      <c r="D159" s="3" t="str">
        <f>IF(Equips_usuari!D159="","",Equips_usuari!D159)</f>
        <v/>
      </c>
      <c r="E159" s="3" t="str">
        <f>IF(Equips_usuari!F159="","",Equips_usuari!F159)</f>
        <v/>
      </c>
      <c r="F159" s="3" t="str">
        <f>IF($C159="","",SUMIFS(Resultats_jugadores!$C:$C,Resultats_jugadores!$A:$A,$A159,Resultats_jugadores!$B:$B,$C159))</f>
        <v/>
      </c>
      <c r="G159" s="3" t="str">
        <f>IF($C159="","",SUMIFS(Resultats_jugadores!$D:$D,Resultats_jugadores!$A:$A,$A159,Resultats_jugadores!$B:$B,$C159))</f>
        <v/>
      </c>
      <c r="H159" s="3" t="str">
        <f t="shared" si="3"/>
        <v/>
      </c>
      <c r="I159" s="3" t="str">
        <f t="array" ref="I159">IF($C159="","",IFERROR(INDEX(Partits!$C:$C,MATCH($A159&amp;"_"&amp;$D159,Partits!$D:$D,0)),""))</f>
        <v/>
      </c>
      <c r="J159" s="3" t="str">
        <f t="shared" si="4"/>
        <v/>
      </c>
      <c r="K159" s="3" t="str">
        <f t="shared" si="5"/>
        <v/>
      </c>
      <c r="L159" s="3" t="str">
        <f t="shared" si="6"/>
        <v/>
      </c>
      <c r="M159" s="3" t="str">
        <f t="shared" si="7"/>
        <v/>
      </c>
    </row>
    <row r="160" ht="15.0" customHeight="1">
      <c r="A160" s="3" t="str">
        <f>IF(Equips_usuari!A160="","",Equips_usuari!A160)</f>
        <v/>
      </c>
      <c r="B160" s="3" t="str">
        <f>IF(Equips_usuari!B160="","",Equips_usuari!B160)</f>
        <v/>
      </c>
      <c r="C160" s="3" t="str">
        <f>IF(Equips_usuari!C160="","",Equips_usuari!C160)</f>
        <v/>
      </c>
      <c r="D160" s="3" t="str">
        <f>IF(Equips_usuari!D160="","",Equips_usuari!D160)</f>
        <v/>
      </c>
      <c r="E160" s="3" t="str">
        <f>IF(Equips_usuari!F160="","",Equips_usuari!F160)</f>
        <v/>
      </c>
      <c r="F160" s="3" t="str">
        <f>IF($C160="","",SUMIFS(Resultats_jugadores!$C:$C,Resultats_jugadores!$A:$A,$A160,Resultats_jugadores!$B:$B,$C160))</f>
        <v/>
      </c>
      <c r="G160" s="3" t="str">
        <f>IF($C160="","",SUMIFS(Resultats_jugadores!$D:$D,Resultats_jugadores!$A:$A,$A160,Resultats_jugadores!$B:$B,$C160))</f>
        <v/>
      </c>
      <c r="H160" s="3" t="str">
        <f t="shared" si="3"/>
        <v/>
      </c>
      <c r="I160" s="3" t="str">
        <f t="array" ref="I160">IF($C160="","",IFERROR(INDEX(Partits!$C:$C,MATCH($A160&amp;"_"&amp;$D160,Partits!$D:$D,0)),""))</f>
        <v/>
      </c>
      <c r="J160" s="3" t="str">
        <f t="shared" si="4"/>
        <v/>
      </c>
      <c r="K160" s="3" t="str">
        <f t="shared" si="5"/>
        <v/>
      </c>
      <c r="L160" s="3" t="str">
        <f t="shared" si="6"/>
        <v/>
      </c>
      <c r="M160" s="3" t="str">
        <f t="shared" si="7"/>
        <v/>
      </c>
    </row>
    <row r="161" ht="15.0" customHeight="1">
      <c r="A161" s="3" t="str">
        <f>IF(Equips_usuari!A161="","",Equips_usuari!A161)</f>
        <v/>
      </c>
      <c r="B161" s="3" t="str">
        <f>IF(Equips_usuari!B161="","",Equips_usuari!B161)</f>
        <v/>
      </c>
      <c r="C161" s="3" t="str">
        <f>IF(Equips_usuari!C161="","",Equips_usuari!C161)</f>
        <v/>
      </c>
      <c r="D161" s="3" t="str">
        <f>IF(Equips_usuari!D161="","",Equips_usuari!D161)</f>
        <v/>
      </c>
      <c r="E161" s="3" t="str">
        <f>IF(Equips_usuari!F161="","",Equips_usuari!F161)</f>
        <v/>
      </c>
      <c r="F161" s="3" t="str">
        <f>IF($C161="","",SUMIFS(Resultats_jugadores!$C:$C,Resultats_jugadores!$A:$A,$A161,Resultats_jugadores!$B:$B,$C161))</f>
        <v/>
      </c>
      <c r="G161" s="3" t="str">
        <f>IF($C161="","",SUMIFS(Resultats_jugadores!$D:$D,Resultats_jugadores!$A:$A,$A161,Resultats_jugadores!$B:$B,$C161))</f>
        <v/>
      </c>
      <c r="H161" s="3" t="str">
        <f t="shared" si="3"/>
        <v/>
      </c>
      <c r="I161" s="3" t="str">
        <f t="array" ref="I161">IF($C161="","",IFERROR(INDEX(Partits!$C:$C,MATCH($A161&amp;"_"&amp;$D161,Partits!$D:$D,0)),""))</f>
        <v/>
      </c>
      <c r="J161" s="3" t="str">
        <f t="shared" si="4"/>
        <v/>
      </c>
      <c r="K161" s="3" t="str">
        <f t="shared" si="5"/>
        <v/>
      </c>
      <c r="L161" s="3" t="str">
        <f t="shared" si="6"/>
        <v/>
      </c>
      <c r="M161" s="3" t="str">
        <f t="shared" si="7"/>
        <v/>
      </c>
    </row>
    <row r="162" ht="15.0" customHeight="1">
      <c r="A162" s="3" t="str">
        <f>IF(Equips_usuari!A162="","",Equips_usuari!A162)</f>
        <v/>
      </c>
      <c r="B162" s="3" t="str">
        <f>IF(Equips_usuari!B162="","",Equips_usuari!B162)</f>
        <v/>
      </c>
      <c r="C162" s="3" t="str">
        <f>IF(Equips_usuari!C162="","",Equips_usuari!C162)</f>
        <v/>
      </c>
      <c r="D162" s="3" t="str">
        <f>IF(Equips_usuari!D162="","",Equips_usuari!D162)</f>
        <v/>
      </c>
      <c r="E162" s="3" t="str">
        <f>IF(Equips_usuari!F162="","",Equips_usuari!F162)</f>
        <v/>
      </c>
      <c r="F162" s="3" t="str">
        <f>IF($C162="","",SUMIFS(Resultats_jugadores!$C:$C,Resultats_jugadores!$A:$A,$A162,Resultats_jugadores!$B:$B,$C162))</f>
        <v/>
      </c>
      <c r="G162" s="3" t="str">
        <f>IF($C162="","",SUMIFS(Resultats_jugadores!$D:$D,Resultats_jugadores!$A:$A,$A162,Resultats_jugadores!$B:$B,$C162))</f>
        <v/>
      </c>
      <c r="H162" s="3" t="str">
        <f t="shared" si="3"/>
        <v/>
      </c>
      <c r="I162" s="3" t="str">
        <f t="array" ref="I162">IF($C162="","",IFERROR(INDEX(Partits!$C:$C,MATCH($A162&amp;"_"&amp;$D162,Partits!$D:$D,0)),""))</f>
        <v/>
      </c>
      <c r="J162" s="3" t="str">
        <f t="shared" si="4"/>
        <v/>
      </c>
      <c r="K162" s="3" t="str">
        <f t="shared" si="5"/>
        <v/>
      </c>
      <c r="L162" s="3" t="str">
        <f t="shared" si="6"/>
        <v/>
      </c>
      <c r="M162" s="3" t="str">
        <f t="shared" si="7"/>
        <v/>
      </c>
    </row>
    <row r="163" ht="15.0" customHeight="1">
      <c r="A163" s="3" t="str">
        <f>IF(Equips_usuari!A163="","",Equips_usuari!A163)</f>
        <v/>
      </c>
      <c r="B163" s="3" t="str">
        <f>IF(Equips_usuari!B163="","",Equips_usuari!B163)</f>
        <v/>
      </c>
      <c r="C163" s="3" t="str">
        <f>IF(Equips_usuari!C163="","",Equips_usuari!C163)</f>
        <v/>
      </c>
      <c r="D163" s="3" t="str">
        <f>IF(Equips_usuari!D163="","",Equips_usuari!D163)</f>
        <v/>
      </c>
      <c r="E163" s="3" t="str">
        <f>IF(Equips_usuari!F163="","",Equips_usuari!F163)</f>
        <v/>
      </c>
      <c r="F163" s="3" t="str">
        <f>IF($C163="","",SUMIFS(Resultats_jugadores!$C:$C,Resultats_jugadores!$A:$A,$A163,Resultats_jugadores!$B:$B,$C163))</f>
        <v/>
      </c>
      <c r="G163" s="3" t="str">
        <f>IF($C163="","",SUMIFS(Resultats_jugadores!$D:$D,Resultats_jugadores!$A:$A,$A163,Resultats_jugadores!$B:$B,$C163))</f>
        <v/>
      </c>
      <c r="H163" s="3" t="str">
        <f t="shared" si="3"/>
        <v/>
      </c>
      <c r="I163" s="3" t="str">
        <f t="array" ref="I163">IF($C163="","",IFERROR(INDEX(Partits!$C:$C,MATCH($A163&amp;"_"&amp;$D163,Partits!$D:$D,0)),""))</f>
        <v/>
      </c>
      <c r="J163" s="3" t="str">
        <f t="shared" si="4"/>
        <v/>
      </c>
      <c r="K163" s="3" t="str">
        <f t="shared" si="5"/>
        <v/>
      </c>
      <c r="L163" s="3" t="str">
        <f t="shared" si="6"/>
        <v/>
      </c>
      <c r="M163" s="3" t="str">
        <f t="shared" si="7"/>
        <v/>
      </c>
    </row>
    <row r="164" ht="15.0" customHeight="1">
      <c r="A164" s="3" t="str">
        <f>IF(Equips_usuari!A164="","",Equips_usuari!A164)</f>
        <v/>
      </c>
      <c r="B164" s="3" t="str">
        <f>IF(Equips_usuari!B164="","",Equips_usuari!B164)</f>
        <v/>
      </c>
      <c r="C164" s="3" t="str">
        <f>IF(Equips_usuari!C164="","",Equips_usuari!C164)</f>
        <v/>
      </c>
      <c r="D164" s="3" t="str">
        <f>IF(Equips_usuari!D164="","",Equips_usuari!D164)</f>
        <v/>
      </c>
      <c r="E164" s="3" t="str">
        <f>IF(Equips_usuari!F164="","",Equips_usuari!F164)</f>
        <v/>
      </c>
      <c r="F164" s="3" t="str">
        <f>IF($C164="","",SUMIFS(Resultats_jugadores!$C:$C,Resultats_jugadores!$A:$A,$A164,Resultats_jugadores!$B:$B,$C164))</f>
        <v/>
      </c>
      <c r="G164" s="3" t="str">
        <f>IF($C164="","",SUMIFS(Resultats_jugadores!$D:$D,Resultats_jugadores!$A:$A,$A164,Resultats_jugadores!$B:$B,$C164))</f>
        <v/>
      </c>
      <c r="H164" s="3" t="str">
        <f t="shared" si="3"/>
        <v/>
      </c>
      <c r="I164" s="3" t="str">
        <f t="array" ref="I164">IF($C164="","",IFERROR(INDEX(Partits!$C:$C,MATCH($A164&amp;"_"&amp;$D164,Partits!$D:$D,0)),""))</f>
        <v/>
      </c>
      <c r="J164" s="3" t="str">
        <f t="shared" si="4"/>
        <v/>
      </c>
      <c r="K164" s="3" t="str">
        <f t="shared" si="5"/>
        <v/>
      </c>
      <c r="L164" s="3" t="str">
        <f t="shared" si="6"/>
        <v/>
      </c>
      <c r="M164" s="3" t="str">
        <f t="shared" si="7"/>
        <v/>
      </c>
    </row>
    <row r="165" ht="15.0" customHeight="1">
      <c r="A165" s="3" t="str">
        <f>IF(Equips_usuari!A165="","",Equips_usuari!A165)</f>
        <v/>
      </c>
      <c r="B165" s="3" t="str">
        <f>IF(Equips_usuari!B165="","",Equips_usuari!B165)</f>
        <v/>
      </c>
      <c r="C165" s="3" t="str">
        <f>IF(Equips_usuari!C165="","",Equips_usuari!C165)</f>
        <v/>
      </c>
      <c r="D165" s="3" t="str">
        <f>IF(Equips_usuari!D165="","",Equips_usuari!D165)</f>
        <v/>
      </c>
      <c r="E165" s="3" t="str">
        <f>IF(Equips_usuari!F165="","",Equips_usuari!F165)</f>
        <v/>
      </c>
      <c r="F165" s="3" t="str">
        <f>IF($C165="","",SUMIFS(Resultats_jugadores!$C:$C,Resultats_jugadores!$A:$A,$A165,Resultats_jugadores!$B:$B,$C165))</f>
        <v/>
      </c>
      <c r="G165" s="3" t="str">
        <f>IF($C165="","",SUMIFS(Resultats_jugadores!$D:$D,Resultats_jugadores!$A:$A,$A165,Resultats_jugadores!$B:$B,$C165))</f>
        <v/>
      </c>
      <c r="H165" s="3" t="str">
        <f t="shared" si="3"/>
        <v/>
      </c>
      <c r="I165" s="3" t="str">
        <f t="array" ref="I165">IF($C165="","",IFERROR(INDEX(Partits!$C:$C,MATCH($A165&amp;"_"&amp;$D165,Partits!$D:$D,0)),""))</f>
        <v/>
      </c>
      <c r="J165" s="3" t="str">
        <f t="shared" si="4"/>
        <v/>
      </c>
      <c r="K165" s="3" t="str">
        <f t="shared" si="5"/>
        <v/>
      </c>
      <c r="L165" s="3" t="str">
        <f t="shared" si="6"/>
        <v/>
      </c>
      <c r="M165" s="3" t="str">
        <f t="shared" si="7"/>
        <v/>
      </c>
    </row>
    <row r="166" ht="15.0" customHeight="1">
      <c r="A166" s="3" t="str">
        <f>IF(Equips_usuari!A166="","",Equips_usuari!A166)</f>
        <v/>
      </c>
      <c r="B166" s="3" t="str">
        <f>IF(Equips_usuari!B166="","",Equips_usuari!B166)</f>
        <v/>
      </c>
      <c r="C166" s="3" t="str">
        <f>IF(Equips_usuari!C166="","",Equips_usuari!C166)</f>
        <v/>
      </c>
      <c r="D166" s="3" t="str">
        <f>IF(Equips_usuari!D166="","",Equips_usuari!D166)</f>
        <v/>
      </c>
      <c r="E166" s="3" t="str">
        <f>IF(Equips_usuari!F166="","",Equips_usuari!F166)</f>
        <v/>
      </c>
      <c r="F166" s="3" t="str">
        <f>IF($C166="","",SUMIFS(Resultats_jugadores!$C:$C,Resultats_jugadores!$A:$A,$A166,Resultats_jugadores!$B:$B,$C166))</f>
        <v/>
      </c>
      <c r="G166" s="3" t="str">
        <f>IF($C166="","",SUMIFS(Resultats_jugadores!$D:$D,Resultats_jugadores!$A:$A,$A166,Resultats_jugadores!$B:$B,$C166))</f>
        <v/>
      </c>
      <c r="H166" s="3" t="str">
        <f t="shared" si="3"/>
        <v/>
      </c>
      <c r="I166" s="3" t="str">
        <f t="array" ref="I166">IF($C166="","",IFERROR(INDEX(Partits!$C:$C,MATCH($A166&amp;"_"&amp;$D166,Partits!$D:$D,0)),""))</f>
        <v/>
      </c>
      <c r="J166" s="3" t="str">
        <f t="shared" si="4"/>
        <v/>
      </c>
      <c r="K166" s="3" t="str">
        <f t="shared" si="5"/>
        <v/>
      </c>
      <c r="L166" s="3" t="str">
        <f t="shared" si="6"/>
        <v/>
      </c>
      <c r="M166" s="3" t="str">
        <f t="shared" si="7"/>
        <v/>
      </c>
    </row>
    <row r="167" ht="15.0" customHeight="1">
      <c r="A167" s="3" t="str">
        <f>IF(Equips_usuari!A167="","",Equips_usuari!A167)</f>
        <v/>
      </c>
      <c r="B167" s="3" t="str">
        <f>IF(Equips_usuari!B167="","",Equips_usuari!B167)</f>
        <v/>
      </c>
      <c r="C167" s="3" t="str">
        <f>IF(Equips_usuari!C167="","",Equips_usuari!C167)</f>
        <v/>
      </c>
      <c r="D167" s="3" t="str">
        <f>IF(Equips_usuari!D167="","",Equips_usuari!D167)</f>
        <v/>
      </c>
      <c r="E167" s="3" t="str">
        <f>IF(Equips_usuari!F167="","",Equips_usuari!F167)</f>
        <v/>
      </c>
      <c r="F167" s="3" t="str">
        <f>IF($C167="","",SUMIFS(Resultats_jugadores!$C:$C,Resultats_jugadores!$A:$A,$A167,Resultats_jugadores!$B:$B,$C167))</f>
        <v/>
      </c>
      <c r="G167" s="3" t="str">
        <f>IF($C167="","",SUMIFS(Resultats_jugadores!$D:$D,Resultats_jugadores!$A:$A,$A167,Resultats_jugadores!$B:$B,$C167))</f>
        <v/>
      </c>
      <c r="H167" s="3" t="str">
        <f t="shared" si="3"/>
        <v/>
      </c>
      <c r="I167" s="3" t="str">
        <f t="array" ref="I167">IF($C167="","",IFERROR(INDEX(Partits!$C:$C,MATCH($A167&amp;"_"&amp;$D167,Partits!$D:$D,0)),""))</f>
        <v/>
      </c>
      <c r="J167" s="3" t="str">
        <f t="shared" si="4"/>
        <v/>
      </c>
      <c r="K167" s="3" t="str">
        <f t="shared" si="5"/>
        <v/>
      </c>
      <c r="L167" s="3" t="str">
        <f t="shared" si="6"/>
        <v/>
      </c>
      <c r="M167" s="3" t="str">
        <f t="shared" si="7"/>
        <v/>
      </c>
    </row>
    <row r="168" ht="15.0" customHeight="1">
      <c r="A168" s="3" t="str">
        <f>IF(Equips_usuari!A168="","",Equips_usuari!A168)</f>
        <v/>
      </c>
      <c r="B168" s="3" t="str">
        <f>IF(Equips_usuari!B168="","",Equips_usuari!B168)</f>
        <v/>
      </c>
      <c r="C168" s="3" t="str">
        <f>IF(Equips_usuari!C168="","",Equips_usuari!C168)</f>
        <v/>
      </c>
      <c r="D168" s="3" t="str">
        <f>IF(Equips_usuari!D168="","",Equips_usuari!D168)</f>
        <v/>
      </c>
      <c r="E168" s="3" t="str">
        <f>IF(Equips_usuari!F168="","",Equips_usuari!F168)</f>
        <v/>
      </c>
      <c r="F168" s="3" t="str">
        <f>IF($C168="","",SUMIFS(Resultats_jugadores!$C:$C,Resultats_jugadores!$A:$A,$A168,Resultats_jugadores!$B:$B,$C168))</f>
        <v/>
      </c>
      <c r="G168" s="3" t="str">
        <f>IF($C168="","",SUMIFS(Resultats_jugadores!$D:$D,Resultats_jugadores!$A:$A,$A168,Resultats_jugadores!$B:$B,$C168))</f>
        <v/>
      </c>
      <c r="H168" s="3" t="str">
        <f t="shared" si="3"/>
        <v/>
      </c>
      <c r="I168" s="3" t="str">
        <f t="array" ref="I168">IF($C168="","",IFERROR(INDEX(Partits!$C:$C,MATCH($A168&amp;"_"&amp;$D168,Partits!$D:$D,0)),""))</f>
        <v/>
      </c>
      <c r="J168" s="3" t="str">
        <f t="shared" si="4"/>
        <v/>
      </c>
      <c r="K168" s="3" t="str">
        <f t="shared" si="5"/>
        <v/>
      </c>
      <c r="L168" s="3" t="str">
        <f t="shared" si="6"/>
        <v/>
      </c>
      <c r="M168" s="3" t="str">
        <f t="shared" si="7"/>
        <v/>
      </c>
    </row>
    <row r="169" ht="15.0" customHeight="1">
      <c r="A169" s="3" t="str">
        <f>IF(Equips_usuari!A169="","",Equips_usuari!A169)</f>
        <v/>
      </c>
      <c r="B169" s="3" t="str">
        <f>IF(Equips_usuari!B169="","",Equips_usuari!B169)</f>
        <v/>
      </c>
      <c r="C169" s="3" t="str">
        <f>IF(Equips_usuari!C169="","",Equips_usuari!C169)</f>
        <v/>
      </c>
      <c r="D169" s="3" t="str">
        <f>IF(Equips_usuari!D169="","",Equips_usuari!D169)</f>
        <v/>
      </c>
      <c r="E169" s="3" t="str">
        <f>IF(Equips_usuari!F169="","",Equips_usuari!F169)</f>
        <v/>
      </c>
      <c r="F169" s="3" t="str">
        <f>IF($C169="","",SUMIFS(Resultats_jugadores!$C:$C,Resultats_jugadores!$A:$A,$A169,Resultats_jugadores!$B:$B,$C169))</f>
        <v/>
      </c>
      <c r="G169" s="3" t="str">
        <f>IF($C169="","",SUMIFS(Resultats_jugadores!$D:$D,Resultats_jugadores!$A:$A,$A169,Resultats_jugadores!$B:$B,$C169))</f>
        <v/>
      </c>
      <c r="H169" s="3" t="str">
        <f t="shared" si="3"/>
        <v/>
      </c>
      <c r="I169" s="3" t="str">
        <f t="array" ref="I169">IF($C169="","",IFERROR(INDEX(Partits!$C:$C,MATCH($A169&amp;"_"&amp;$D169,Partits!$D:$D,0)),""))</f>
        <v/>
      </c>
      <c r="J169" s="3" t="str">
        <f t="shared" si="4"/>
        <v/>
      </c>
      <c r="K169" s="3" t="str">
        <f t="shared" si="5"/>
        <v/>
      </c>
      <c r="L169" s="3" t="str">
        <f t="shared" si="6"/>
        <v/>
      </c>
      <c r="M169" s="3" t="str">
        <f t="shared" si="7"/>
        <v/>
      </c>
    </row>
    <row r="170" ht="15.0" customHeight="1">
      <c r="A170" s="3" t="str">
        <f>IF(Equips_usuari!A170="","",Equips_usuari!A170)</f>
        <v/>
      </c>
      <c r="B170" s="3" t="str">
        <f>IF(Equips_usuari!B170="","",Equips_usuari!B170)</f>
        <v/>
      </c>
      <c r="C170" s="3" t="str">
        <f>IF(Equips_usuari!C170="","",Equips_usuari!C170)</f>
        <v/>
      </c>
      <c r="D170" s="3" t="str">
        <f>IF(Equips_usuari!D170="","",Equips_usuari!D170)</f>
        <v/>
      </c>
      <c r="E170" s="3" t="str">
        <f>IF(Equips_usuari!F170="","",Equips_usuari!F170)</f>
        <v/>
      </c>
      <c r="F170" s="3" t="str">
        <f>IF($C170="","",SUMIFS(Resultats_jugadores!$C:$C,Resultats_jugadores!$A:$A,$A170,Resultats_jugadores!$B:$B,$C170))</f>
        <v/>
      </c>
      <c r="G170" s="3" t="str">
        <f>IF($C170="","",SUMIFS(Resultats_jugadores!$D:$D,Resultats_jugadores!$A:$A,$A170,Resultats_jugadores!$B:$B,$C170))</f>
        <v/>
      </c>
      <c r="H170" s="3" t="str">
        <f t="shared" si="3"/>
        <v/>
      </c>
      <c r="I170" s="3" t="str">
        <f t="array" ref="I170">IF($C170="","",IFERROR(INDEX(Partits!$C:$C,MATCH($A170&amp;"_"&amp;$D170,Partits!$D:$D,0)),""))</f>
        <v/>
      </c>
      <c r="J170" s="3" t="str">
        <f t="shared" si="4"/>
        <v/>
      </c>
      <c r="K170" s="3" t="str">
        <f t="shared" si="5"/>
        <v/>
      </c>
      <c r="L170" s="3" t="str">
        <f t="shared" si="6"/>
        <v/>
      </c>
      <c r="M170" s="3" t="str">
        <f t="shared" si="7"/>
        <v/>
      </c>
    </row>
    <row r="171" ht="15.0" customHeight="1">
      <c r="A171" s="3" t="str">
        <f>IF(Equips_usuari!A171="","",Equips_usuari!A171)</f>
        <v/>
      </c>
      <c r="B171" s="3" t="str">
        <f>IF(Equips_usuari!B171="","",Equips_usuari!B171)</f>
        <v/>
      </c>
      <c r="C171" s="3" t="str">
        <f>IF(Equips_usuari!C171="","",Equips_usuari!C171)</f>
        <v/>
      </c>
      <c r="D171" s="3" t="str">
        <f>IF(Equips_usuari!D171="","",Equips_usuari!D171)</f>
        <v/>
      </c>
      <c r="E171" s="3" t="str">
        <f>IF(Equips_usuari!F171="","",Equips_usuari!F171)</f>
        <v/>
      </c>
      <c r="F171" s="3" t="str">
        <f>IF($C171="","",SUMIFS(Resultats_jugadores!$C:$C,Resultats_jugadores!$A:$A,$A171,Resultats_jugadores!$B:$B,$C171))</f>
        <v/>
      </c>
      <c r="G171" s="3" t="str">
        <f>IF($C171="","",SUMIFS(Resultats_jugadores!$D:$D,Resultats_jugadores!$A:$A,$A171,Resultats_jugadores!$B:$B,$C171))</f>
        <v/>
      </c>
      <c r="H171" s="3" t="str">
        <f t="shared" si="3"/>
        <v/>
      </c>
      <c r="I171" s="3" t="str">
        <f t="array" ref="I171">IF($C171="","",IFERROR(INDEX(Partits!$C:$C,MATCH($A171&amp;"_"&amp;$D171,Partits!$D:$D,0)),""))</f>
        <v/>
      </c>
      <c r="J171" s="3" t="str">
        <f t="shared" si="4"/>
        <v/>
      </c>
      <c r="K171" s="3" t="str">
        <f t="shared" si="5"/>
        <v/>
      </c>
      <c r="L171" s="3" t="str">
        <f t="shared" si="6"/>
        <v/>
      </c>
      <c r="M171" s="3" t="str">
        <f t="shared" si="7"/>
        <v/>
      </c>
    </row>
    <row r="172" ht="15.0" customHeight="1">
      <c r="A172" s="3" t="str">
        <f>IF(Equips_usuari!A172="","",Equips_usuari!A172)</f>
        <v/>
      </c>
      <c r="B172" s="3" t="str">
        <f>IF(Equips_usuari!B172="","",Equips_usuari!B172)</f>
        <v/>
      </c>
      <c r="C172" s="3" t="str">
        <f>IF(Equips_usuari!C172="","",Equips_usuari!C172)</f>
        <v/>
      </c>
      <c r="D172" s="3" t="str">
        <f>IF(Equips_usuari!D172="","",Equips_usuari!D172)</f>
        <v/>
      </c>
      <c r="E172" s="3" t="str">
        <f>IF(Equips_usuari!F172="","",Equips_usuari!F172)</f>
        <v/>
      </c>
      <c r="F172" s="3" t="str">
        <f>IF($C172="","",SUMIFS(Resultats_jugadores!$C:$C,Resultats_jugadores!$A:$A,$A172,Resultats_jugadores!$B:$B,$C172))</f>
        <v/>
      </c>
      <c r="G172" s="3" t="str">
        <f>IF($C172="","",SUMIFS(Resultats_jugadores!$D:$D,Resultats_jugadores!$A:$A,$A172,Resultats_jugadores!$B:$B,$C172))</f>
        <v/>
      </c>
      <c r="H172" s="3" t="str">
        <f t="shared" si="3"/>
        <v/>
      </c>
      <c r="I172" s="3" t="str">
        <f t="array" ref="I172">IF($C172="","",IFERROR(INDEX(Partits!$C:$C,MATCH($A172&amp;"_"&amp;$D172,Partits!$D:$D,0)),""))</f>
        <v/>
      </c>
      <c r="J172" s="3" t="str">
        <f t="shared" si="4"/>
        <v/>
      </c>
      <c r="K172" s="3" t="str">
        <f t="shared" si="5"/>
        <v/>
      </c>
      <c r="L172" s="3" t="str">
        <f t="shared" si="6"/>
        <v/>
      </c>
      <c r="M172" s="3" t="str">
        <f t="shared" si="7"/>
        <v/>
      </c>
    </row>
    <row r="173" ht="15.0" customHeight="1">
      <c r="A173" s="3" t="str">
        <f>IF(Equips_usuari!A173="","",Equips_usuari!A173)</f>
        <v/>
      </c>
      <c r="B173" s="3" t="str">
        <f>IF(Equips_usuari!B173="","",Equips_usuari!B173)</f>
        <v/>
      </c>
      <c r="C173" s="3" t="str">
        <f>IF(Equips_usuari!C173="","",Equips_usuari!C173)</f>
        <v/>
      </c>
      <c r="D173" s="3" t="str">
        <f>IF(Equips_usuari!D173="","",Equips_usuari!D173)</f>
        <v/>
      </c>
      <c r="E173" s="3" t="str">
        <f>IF(Equips_usuari!F173="","",Equips_usuari!F173)</f>
        <v/>
      </c>
      <c r="F173" s="3" t="str">
        <f>IF($C173="","",SUMIFS(Resultats_jugadores!$C:$C,Resultats_jugadores!$A:$A,$A173,Resultats_jugadores!$B:$B,$C173))</f>
        <v/>
      </c>
      <c r="G173" s="3" t="str">
        <f>IF($C173="","",SUMIFS(Resultats_jugadores!$D:$D,Resultats_jugadores!$A:$A,$A173,Resultats_jugadores!$B:$B,$C173))</f>
        <v/>
      </c>
      <c r="H173" s="3" t="str">
        <f t="shared" si="3"/>
        <v/>
      </c>
      <c r="I173" s="3" t="str">
        <f t="array" ref="I173">IF($C173="","",IFERROR(INDEX(Partits!$C:$C,MATCH($A173&amp;"_"&amp;$D173,Partits!$D:$D,0)),""))</f>
        <v/>
      </c>
      <c r="J173" s="3" t="str">
        <f t="shared" si="4"/>
        <v/>
      </c>
      <c r="K173" s="3" t="str">
        <f t="shared" si="5"/>
        <v/>
      </c>
      <c r="L173" s="3" t="str">
        <f t="shared" si="6"/>
        <v/>
      </c>
      <c r="M173" s="3" t="str">
        <f t="shared" si="7"/>
        <v/>
      </c>
    </row>
    <row r="174" ht="15.0" customHeight="1">
      <c r="A174" s="3" t="str">
        <f>IF(Equips_usuari!A174="","",Equips_usuari!A174)</f>
        <v/>
      </c>
      <c r="B174" s="3" t="str">
        <f>IF(Equips_usuari!B174="","",Equips_usuari!B174)</f>
        <v/>
      </c>
      <c r="C174" s="3" t="str">
        <f>IF(Equips_usuari!C174="","",Equips_usuari!C174)</f>
        <v/>
      </c>
      <c r="D174" s="3" t="str">
        <f>IF(Equips_usuari!D174="","",Equips_usuari!D174)</f>
        <v/>
      </c>
      <c r="E174" s="3" t="str">
        <f>IF(Equips_usuari!F174="","",Equips_usuari!F174)</f>
        <v/>
      </c>
      <c r="F174" s="3" t="str">
        <f>IF($C174="","",SUMIFS(Resultats_jugadores!$C:$C,Resultats_jugadores!$A:$A,$A174,Resultats_jugadores!$B:$B,$C174))</f>
        <v/>
      </c>
      <c r="G174" s="3" t="str">
        <f>IF($C174="","",SUMIFS(Resultats_jugadores!$D:$D,Resultats_jugadores!$A:$A,$A174,Resultats_jugadores!$B:$B,$C174))</f>
        <v/>
      </c>
      <c r="H174" s="3" t="str">
        <f t="shared" si="3"/>
        <v/>
      </c>
      <c r="I174" s="3" t="str">
        <f t="array" ref="I174">IF($C174="","",IFERROR(INDEX(Partits!$C:$C,MATCH($A174&amp;"_"&amp;$D174,Partits!$D:$D,0)),""))</f>
        <v/>
      </c>
      <c r="J174" s="3" t="str">
        <f t="shared" si="4"/>
        <v/>
      </c>
      <c r="K174" s="3" t="str">
        <f t="shared" si="5"/>
        <v/>
      </c>
      <c r="L174" s="3" t="str">
        <f t="shared" si="6"/>
        <v/>
      </c>
      <c r="M174" s="3" t="str">
        <f t="shared" si="7"/>
        <v/>
      </c>
    </row>
    <row r="175" ht="15.0" customHeight="1">
      <c r="A175" s="3" t="str">
        <f>IF(Equips_usuari!A175="","",Equips_usuari!A175)</f>
        <v/>
      </c>
      <c r="B175" s="3" t="str">
        <f>IF(Equips_usuari!B175="","",Equips_usuari!B175)</f>
        <v/>
      </c>
      <c r="C175" s="3" t="str">
        <f>IF(Equips_usuari!C175="","",Equips_usuari!C175)</f>
        <v/>
      </c>
      <c r="D175" s="3" t="str">
        <f>IF(Equips_usuari!D175="","",Equips_usuari!D175)</f>
        <v/>
      </c>
      <c r="E175" s="3" t="str">
        <f>IF(Equips_usuari!F175="","",Equips_usuari!F175)</f>
        <v/>
      </c>
      <c r="F175" s="3" t="str">
        <f>IF($C175="","",SUMIFS(Resultats_jugadores!$C:$C,Resultats_jugadores!$A:$A,$A175,Resultats_jugadores!$B:$B,$C175))</f>
        <v/>
      </c>
      <c r="G175" s="3" t="str">
        <f>IF($C175="","",SUMIFS(Resultats_jugadores!$D:$D,Resultats_jugadores!$A:$A,$A175,Resultats_jugadores!$B:$B,$C175))</f>
        <v/>
      </c>
      <c r="H175" s="3" t="str">
        <f t="shared" si="3"/>
        <v/>
      </c>
      <c r="I175" s="3" t="str">
        <f t="array" ref="I175">IF($C175="","",IFERROR(INDEX(Partits!$C:$C,MATCH($A175&amp;"_"&amp;$D175,Partits!$D:$D,0)),""))</f>
        <v/>
      </c>
      <c r="J175" s="3" t="str">
        <f t="shared" si="4"/>
        <v/>
      </c>
      <c r="K175" s="3" t="str">
        <f t="shared" si="5"/>
        <v/>
      </c>
      <c r="L175" s="3" t="str">
        <f t="shared" si="6"/>
        <v/>
      </c>
      <c r="M175" s="3" t="str">
        <f t="shared" si="7"/>
        <v/>
      </c>
    </row>
    <row r="176" ht="15.0" customHeight="1">
      <c r="A176" s="3" t="str">
        <f>IF(Equips_usuari!A176="","",Equips_usuari!A176)</f>
        <v/>
      </c>
      <c r="B176" s="3" t="str">
        <f>IF(Equips_usuari!B176="","",Equips_usuari!B176)</f>
        <v/>
      </c>
      <c r="C176" s="3" t="str">
        <f>IF(Equips_usuari!C176="","",Equips_usuari!C176)</f>
        <v/>
      </c>
      <c r="D176" s="3" t="str">
        <f>IF(Equips_usuari!D176="","",Equips_usuari!D176)</f>
        <v/>
      </c>
      <c r="E176" s="3" t="str">
        <f>IF(Equips_usuari!F176="","",Equips_usuari!F176)</f>
        <v/>
      </c>
      <c r="F176" s="3" t="str">
        <f>IF($C176="","",SUMIFS(Resultats_jugadores!$C:$C,Resultats_jugadores!$A:$A,$A176,Resultats_jugadores!$B:$B,$C176))</f>
        <v/>
      </c>
      <c r="G176" s="3" t="str">
        <f>IF($C176="","",SUMIFS(Resultats_jugadores!$D:$D,Resultats_jugadores!$A:$A,$A176,Resultats_jugadores!$B:$B,$C176))</f>
        <v/>
      </c>
      <c r="H176" s="3" t="str">
        <f t="shared" si="3"/>
        <v/>
      </c>
      <c r="I176" s="3" t="str">
        <f t="array" ref="I176">IF($C176="","",IFERROR(INDEX(Partits!$C:$C,MATCH($A176&amp;"_"&amp;$D176,Partits!$D:$D,0)),""))</f>
        <v/>
      </c>
      <c r="J176" s="3" t="str">
        <f t="shared" si="4"/>
        <v/>
      </c>
      <c r="K176" s="3" t="str">
        <f t="shared" si="5"/>
        <v/>
      </c>
      <c r="L176" s="3" t="str">
        <f t="shared" si="6"/>
        <v/>
      </c>
      <c r="M176" s="3" t="str">
        <f t="shared" si="7"/>
        <v/>
      </c>
    </row>
    <row r="177" ht="15.0" customHeight="1">
      <c r="A177" s="3" t="str">
        <f>IF(Equips_usuari!A177="","",Equips_usuari!A177)</f>
        <v/>
      </c>
      <c r="B177" s="3" t="str">
        <f>IF(Equips_usuari!B177="","",Equips_usuari!B177)</f>
        <v/>
      </c>
      <c r="C177" s="3" t="str">
        <f>IF(Equips_usuari!C177="","",Equips_usuari!C177)</f>
        <v/>
      </c>
      <c r="D177" s="3" t="str">
        <f>IF(Equips_usuari!D177="","",Equips_usuari!D177)</f>
        <v/>
      </c>
      <c r="E177" s="3" t="str">
        <f>IF(Equips_usuari!F177="","",Equips_usuari!F177)</f>
        <v/>
      </c>
      <c r="F177" s="3" t="str">
        <f>IF($C177="","",SUMIFS(Resultats_jugadores!$C:$C,Resultats_jugadores!$A:$A,$A177,Resultats_jugadores!$B:$B,$C177))</f>
        <v/>
      </c>
      <c r="G177" s="3" t="str">
        <f>IF($C177="","",SUMIFS(Resultats_jugadores!$D:$D,Resultats_jugadores!$A:$A,$A177,Resultats_jugadores!$B:$B,$C177))</f>
        <v/>
      </c>
      <c r="H177" s="3" t="str">
        <f t="shared" si="3"/>
        <v/>
      </c>
      <c r="I177" s="3" t="str">
        <f t="array" ref="I177">IF($C177="","",IFERROR(INDEX(Partits!$C:$C,MATCH($A177&amp;"_"&amp;$D177,Partits!$D:$D,0)),""))</f>
        <v/>
      </c>
      <c r="J177" s="3" t="str">
        <f t="shared" si="4"/>
        <v/>
      </c>
      <c r="K177" s="3" t="str">
        <f t="shared" si="5"/>
        <v/>
      </c>
      <c r="L177" s="3" t="str">
        <f t="shared" si="6"/>
        <v/>
      </c>
      <c r="M177" s="3" t="str">
        <f t="shared" si="7"/>
        <v/>
      </c>
    </row>
    <row r="178" ht="15.0" customHeight="1">
      <c r="A178" s="3" t="str">
        <f>IF(Equips_usuari!A178="","",Equips_usuari!A178)</f>
        <v/>
      </c>
      <c r="B178" s="3" t="str">
        <f>IF(Equips_usuari!B178="","",Equips_usuari!B178)</f>
        <v/>
      </c>
      <c r="C178" s="3" t="str">
        <f>IF(Equips_usuari!C178="","",Equips_usuari!C178)</f>
        <v/>
      </c>
      <c r="D178" s="3" t="str">
        <f>IF(Equips_usuari!D178="","",Equips_usuari!D178)</f>
        <v/>
      </c>
      <c r="E178" s="3" t="str">
        <f>IF(Equips_usuari!F178="","",Equips_usuari!F178)</f>
        <v/>
      </c>
      <c r="F178" s="3" t="str">
        <f>IF($C178="","",SUMIFS(Resultats_jugadores!$C:$C,Resultats_jugadores!$A:$A,$A178,Resultats_jugadores!$B:$B,$C178))</f>
        <v/>
      </c>
      <c r="G178" s="3" t="str">
        <f>IF($C178="","",SUMIFS(Resultats_jugadores!$D:$D,Resultats_jugadores!$A:$A,$A178,Resultats_jugadores!$B:$B,$C178))</f>
        <v/>
      </c>
      <c r="H178" s="3" t="str">
        <f t="shared" si="3"/>
        <v/>
      </c>
      <c r="I178" s="3" t="str">
        <f t="array" ref="I178">IF($C178="","",IFERROR(INDEX(Partits!$C:$C,MATCH($A178&amp;"_"&amp;$D178,Partits!$D:$D,0)),""))</f>
        <v/>
      </c>
      <c r="J178" s="3" t="str">
        <f t="shared" si="4"/>
        <v/>
      </c>
      <c r="K178" s="3" t="str">
        <f t="shared" si="5"/>
        <v/>
      </c>
      <c r="L178" s="3" t="str">
        <f t="shared" si="6"/>
        <v/>
      </c>
      <c r="M178" s="3" t="str">
        <f t="shared" si="7"/>
        <v/>
      </c>
    </row>
    <row r="179" ht="15.0" customHeight="1">
      <c r="A179" s="3" t="str">
        <f>IF(Equips_usuari!A179="","",Equips_usuari!A179)</f>
        <v/>
      </c>
      <c r="B179" s="3" t="str">
        <f>IF(Equips_usuari!B179="","",Equips_usuari!B179)</f>
        <v/>
      </c>
      <c r="C179" s="3" t="str">
        <f>IF(Equips_usuari!C179="","",Equips_usuari!C179)</f>
        <v/>
      </c>
      <c r="D179" s="3" t="str">
        <f>IF(Equips_usuari!D179="","",Equips_usuari!D179)</f>
        <v/>
      </c>
      <c r="E179" s="3" t="str">
        <f>IF(Equips_usuari!F179="","",Equips_usuari!F179)</f>
        <v/>
      </c>
      <c r="F179" s="3" t="str">
        <f>IF($C179="","",SUMIFS(Resultats_jugadores!$C:$C,Resultats_jugadores!$A:$A,$A179,Resultats_jugadores!$B:$B,$C179))</f>
        <v/>
      </c>
      <c r="G179" s="3" t="str">
        <f>IF($C179="","",SUMIFS(Resultats_jugadores!$D:$D,Resultats_jugadores!$A:$A,$A179,Resultats_jugadores!$B:$B,$C179))</f>
        <v/>
      </c>
      <c r="H179" s="3" t="str">
        <f t="shared" si="3"/>
        <v/>
      </c>
      <c r="I179" s="3" t="str">
        <f t="array" ref="I179">IF($C179="","",IFERROR(INDEX(Partits!$C:$C,MATCH($A179&amp;"_"&amp;$D179,Partits!$D:$D,0)),""))</f>
        <v/>
      </c>
      <c r="J179" s="3" t="str">
        <f t="shared" si="4"/>
        <v/>
      </c>
      <c r="K179" s="3" t="str">
        <f t="shared" si="5"/>
        <v/>
      </c>
      <c r="L179" s="3" t="str">
        <f t="shared" si="6"/>
        <v/>
      </c>
      <c r="M179" s="3" t="str">
        <f t="shared" si="7"/>
        <v/>
      </c>
    </row>
    <row r="180" ht="15.0" customHeight="1">
      <c r="A180" s="3" t="str">
        <f>IF(Equips_usuari!A180="","",Equips_usuari!A180)</f>
        <v/>
      </c>
      <c r="B180" s="3" t="str">
        <f>IF(Equips_usuari!B180="","",Equips_usuari!B180)</f>
        <v/>
      </c>
      <c r="C180" s="3" t="str">
        <f>IF(Equips_usuari!C180="","",Equips_usuari!C180)</f>
        <v/>
      </c>
      <c r="D180" s="3" t="str">
        <f>IF(Equips_usuari!D180="","",Equips_usuari!D180)</f>
        <v/>
      </c>
      <c r="E180" s="3" t="str">
        <f>IF(Equips_usuari!F180="","",Equips_usuari!F180)</f>
        <v/>
      </c>
      <c r="F180" s="3" t="str">
        <f>IF($C180="","",SUMIFS(Resultats_jugadores!$C:$C,Resultats_jugadores!$A:$A,$A180,Resultats_jugadores!$B:$B,$C180))</f>
        <v/>
      </c>
      <c r="G180" s="3" t="str">
        <f>IF($C180="","",SUMIFS(Resultats_jugadores!$D:$D,Resultats_jugadores!$A:$A,$A180,Resultats_jugadores!$B:$B,$C180))</f>
        <v/>
      </c>
      <c r="H180" s="3" t="str">
        <f t="shared" si="3"/>
        <v/>
      </c>
      <c r="I180" s="3" t="str">
        <f t="array" ref="I180">IF($C180="","",IFERROR(INDEX(Partits!$C:$C,MATCH($A180&amp;"_"&amp;$D180,Partits!$D:$D,0)),""))</f>
        <v/>
      </c>
      <c r="J180" s="3" t="str">
        <f t="shared" si="4"/>
        <v/>
      </c>
      <c r="K180" s="3" t="str">
        <f t="shared" si="5"/>
        <v/>
      </c>
      <c r="L180" s="3" t="str">
        <f t="shared" si="6"/>
        <v/>
      </c>
      <c r="M180" s="3" t="str">
        <f t="shared" si="7"/>
        <v/>
      </c>
    </row>
    <row r="181" ht="15.0" customHeight="1">
      <c r="A181" s="3" t="str">
        <f>IF(Equips_usuari!A181="","",Equips_usuari!A181)</f>
        <v/>
      </c>
      <c r="B181" s="3" t="str">
        <f>IF(Equips_usuari!B181="","",Equips_usuari!B181)</f>
        <v/>
      </c>
      <c r="C181" s="3" t="str">
        <f>IF(Equips_usuari!C181="","",Equips_usuari!C181)</f>
        <v/>
      </c>
      <c r="D181" s="3" t="str">
        <f>IF(Equips_usuari!D181="","",Equips_usuari!D181)</f>
        <v/>
      </c>
      <c r="E181" s="3" t="str">
        <f>IF(Equips_usuari!F181="","",Equips_usuari!F181)</f>
        <v/>
      </c>
      <c r="F181" s="3" t="str">
        <f>IF($C181="","",SUMIFS(Resultats_jugadores!$C:$C,Resultats_jugadores!$A:$A,$A181,Resultats_jugadores!$B:$B,$C181))</f>
        <v/>
      </c>
      <c r="G181" s="3" t="str">
        <f>IF($C181="","",SUMIFS(Resultats_jugadores!$D:$D,Resultats_jugadores!$A:$A,$A181,Resultats_jugadores!$B:$B,$C181))</f>
        <v/>
      </c>
      <c r="H181" s="3" t="str">
        <f t="shared" si="3"/>
        <v/>
      </c>
      <c r="I181" s="3" t="str">
        <f t="array" ref="I181">IF($C181="","",IFERROR(INDEX(Partits!$C:$C,MATCH($A181&amp;"_"&amp;$D181,Partits!$D:$D,0)),""))</f>
        <v/>
      </c>
      <c r="J181" s="3" t="str">
        <f t="shared" si="4"/>
        <v/>
      </c>
      <c r="K181" s="3" t="str">
        <f t="shared" si="5"/>
        <v/>
      </c>
      <c r="L181" s="3" t="str">
        <f t="shared" si="6"/>
        <v/>
      </c>
      <c r="M181" s="3" t="str">
        <f t="shared" si="7"/>
        <v/>
      </c>
    </row>
    <row r="182" ht="15.0" customHeight="1">
      <c r="A182" s="3" t="str">
        <f>IF(Equips_usuari!A182="","",Equips_usuari!A182)</f>
        <v/>
      </c>
      <c r="B182" s="3" t="str">
        <f>IF(Equips_usuari!B182="","",Equips_usuari!B182)</f>
        <v/>
      </c>
      <c r="C182" s="3" t="str">
        <f>IF(Equips_usuari!C182="","",Equips_usuari!C182)</f>
        <v/>
      </c>
      <c r="D182" s="3" t="str">
        <f>IF(Equips_usuari!D182="","",Equips_usuari!D182)</f>
        <v/>
      </c>
      <c r="E182" s="3" t="str">
        <f>IF(Equips_usuari!F182="","",Equips_usuari!F182)</f>
        <v/>
      </c>
      <c r="F182" s="3" t="str">
        <f>IF($C182="","",SUMIFS(Resultats_jugadores!$C:$C,Resultats_jugadores!$A:$A,$A182,Resultats_jugadores!$B:$B,$C182))</f>
        <v/>
      </c>
      <c r="G182" s="3" t="str">
        <f>IF($C182="","",SUMIFS(Resultats_jugadores!$D:$D,Resultats_jugadores!$A:$A,$A182,Resultats_jugadores!$B:$B,$C182))</f>
        <v/>
      </c>
      <c r="H182" s="3" t="str">
        <f t="shared" si="3"/>
        <v/>
      </c>
      <c r="I182" s="3" t="str">
        <f t="array" ref="I182">IF($C182="","",IFERROR(INDEX(Partits!$C:$C,MATCH($A182&amp;"_"&amp;$D182,Partits!$D:$D,0)),""))</f>
        <v/>
      </c>
      <c r="J182" s="3" t="str">
        <f t="shared" si="4"/>
        <v/>
      </c>
      <c r="K182" s="3" t="str">
        <f t="shared" si="5"/>
        <v/>
      </c>
      <c r="L182" s="3" t="str">
        <f t="shared" si="6"/>
        <v/>
      </c>
      <c r="M182" s="3" t="str">
        <f t="shared" si="7"/>
        <v/>
      </c>
    </row>
    <row r="183" ht="15.0" customHeight="1">
      <c r="A183" s="3" t="str">
        <f>IF(Equips_usuari!A183="","",Equips_usuari!A183)</f>
        <v/>
      </c>
      <c r="B183" s="3" t="str">
        <f>IF(Equips_usuari!B183="","",Equips_usuari!B183)</f>
        <v/>
      </c>
      <c r="C183" s="3" t="str">
        <f>IF(Equips_usuari!C183="","",Equips_usuari!C183)</f>
        <v/>
      </c>
      <c r="D183" s="3" t="str">
        <f>IF(Equips_usuari!D183="","",Equips_usuari!D183)</f>
        <v/>
      </c>
      <c r="E183" s="3" t="str">
        <f>IF(Equips_usuari!F183="","",Equips_usuari!F183)</f>
        <v/>
      </c>
      <c r="F183" s="3" t="str">
        <f>IF($C183="","",SUMIFS(Resultats_jugadores!$C:$C,Resultats_jugadores!$A:$A,$A183,Resultats_jugadores!$B:$B,$C183))</f>
        <v/>
      </c>
      <c r="G183" s="3" t="str">
        <f>IF($C183="","",SUMIFS(Resultats_jugadores!$D:$D,Resultats_jugadores!$A:$A,$A183,Resultats_jugadores!$B:$B,$C183))</f>
        <v/>
      </c>
      <c r="H183" s="3" t="str">
        <f t="shared" si="3"/>
        <v/>
      </c>
      <c r="I183" s="3" t="str">
        <f t="array" ref="I183">IF($C183="","",IFERROR(INDEX(Partits!$C:$C,MATCH($A183&amp;"_"&amp;$D183,Partits!$D:$D,0)),""))</f>
        <v/>
      </c>
      <c r="J183" s="3" t="str">
        <f t="shared" si="4"/>
        <v/>
      </c>
      <c r="K183" s="3" t="str">
        <f t="shared" si="5"/>
        <v/>
      </c>
      <c r="L183" s="3" t="str">
        <f t="shared" si="6"/>
        <v/>
      </c>
      <c r="M183" s="3" t="str">
        <f t="shared" si="7"/>
        <v/>
      </c>
    </row>
    <row r="184" ht="15.0" customHeight="1">
      <c r="A184" s="3" t="str">
        <f>IF(Equips_usuari!A184="","",Equips_usuari!A184)</f>
        <v/>
      </c>
      <c r="B184" s="3" t="str">
        <f>IF(Equips_usuari!B184="","",Equips_usuari!B184)</f>
        <v/>
      </c>
      <c r="C184" s="3" t="str">
        <f>IF(Equips_usuari!C184="","",Equips_usuari!C184)</f>
        <v/>
      </c>
      <c r="D184" s="3" t="str">
        <f>IF(Equips_usuari!D184="","",Equips_usuari!D184)</f>
        <v/>
      </c>
      <c r="E184" s="3" t="str">
        <f>IF(Equips_usuari!F184="","",Equips_usuari!F184)</f>
        <v/>
      </c>
      <c r="F184" s="3" t="str">
        <f>IF($C184="","",SUMIFS(Resultats_jugadores!$C:$C,Resultats_jugadores!$A:$A,$A184,Resultats_jugadores!$B:$B,$C184))</f>
        <v/>
      </c>
      <c r="G184" s="3" t="str">
        <f>IF($C184="","",SUMIFS(Resultats_jugadores!$D:$D,Resultats_jugadores!$A:$A,$A184,Resultats_jugadores!$B:$B,$C184))</f>
        <v/>
      </c>
      <c r="H184" s="3" t="str">
        <f t="shared" si="3"/>
        <v/>
      </c>
      <c r="I184" s="3" t="str">
        <f t="array" ref="I184">IF($C184="","",IFERROR(INDEX(Partits!$C:$C,MATCH($A184&amp;"_"&amp;$D184,Partits!$D:$D,0)),""))</f>
        <v/>
      </c>
      <c r="J184" s="3" t="str">
        <f t="shared" si="4"/>
        <v/>
      </c>
      <c r="K184" s="3" t="str">
        <f t="shared" si="5"/>
        <v/>
      </c>
      <c r="L184" s="3" t="str">
        <f t="shared" si="6"/>
        <v/>
      </c>
      <c r="M184" s="3" t="str">
        <f t="shared" si="7"/>
        <v/>
      </c>
    </row>
    <row r="185" ht="15.0" customHeight="1">
      <c r="A185" s="3" t="str">
        <f>IF(Equips_usuari!A185="","",Equips_usuari!A185)</f>
        <v/>
      </c>
      <c r="B185" s="3" t="str">
        <f>IF(Equips_usuari!B185="","",Equips_usuari!B185)</f>
        <v/>
      </c>
      <c r="C185" s="3" t="str">
        <f>IF(Equips_usuari!C185="","",Equips_usuari!C185)</f>
        <v/>
      </c>
      <c r="D185" s="3" t="str">
        <f>IF(Equips_usuari!D185="","",Equips_usuari!D185)</f>
        <v/>
      </c>
      <c r="E185" s="3" t="str">
        <f>IF(Equips_usuari!F185="","",Equips_usuari!F185)</f>
        <v/>
      </c>
      <c r="F185" s="3" t="str">
        <f>IF($C185="","",SUMIFS(Resultats_jugadores!$C:$C,Resultats_jugadores!$A:$A,$A185,Resultats_jugadores!$B:$B,$C185))</f>
        <v/>
      </c>
      <c r="G185" s="3" t="str">
        <f>IF($C185="","",SUMIFS(Resultats_jugadores!$D:$D,Resultats_jugadores!$A:$A,$A185,Resultats_jugadores!$B:$B,$C185))</f>
        <v/>
      </c>
      <c r="H185" s="3" t="str">
        <f t="shared" si="3"/>
        <v/>
      </c>
      <c r="I185" s="3" t="str">
        <f t="array" ref="I185">IF($C185="","",IFERROR(INDEX(Partits!$C:$C,MATCH($A185&amp;"_"&amp;$D185,Partits!$D:$D,0)),""))</f>
        <v/>
      </c>
      <c r="J185" s="3" t="str">
        <f t="shared" si="4"/>
        <v/>
      </c>
      <c r="K185" s="3" t="str">
        <f t="shared" si="5"/>
        <v/>
      </c>
      <c r="L185" s="3" t="str">
        <f t="shared" si="6"/>
        <v/>
      </c>
      <c r="M185" s="3" t="str">
        <f t="shared" si="7"/>
        <v/>
      </c>
    </row>
    <row r="186" ht="15.0" customHeight="1">
      <c r="A186" s="3" t="str">
        <f>IF(Equips_usuari!A186="","",Equips_usuari!A186)</f>
        <v/>
      </c>
      <c r="B186" s="3" t="str">
        <f>IF(Equips_usuari!B186="","",Equips_usuari!B186)</f>
        <v/>
      </c>
      <c r="C186" s="3" t="str">
        <f>IF(Equips_usuari!C186="","",Equips_usuari!C186)</f>
        <v/>
      </c>
      <c r="D186" s="3" t="str">
        <f>IF(Equips_usuari!D186="","",Equips_usuari!D186)</f>
        <v/>
      </c>
      <c r="E186" s="3" t="str">
        <f>IF(Equips_usuari!F186="","",Equips_usuari!F186)</f>
        <v/>
      </c>
      <c r="F186" s="3" t="str">
        <f>IF($C186="","",SUMIFS(Resultats_jugadores!$C:$C,Resultats_jugadores!$A:$A,$A186,Resultats_jugadores!$B:$B,$C186))</f>
        <v/>
      </c>
      <c r="G186" s="3" t="str">
        <f>IF($C186="","",SUMIFS(Resultats_jugadores!$D:$D,Resultats_jugadores!$A:$A,$A186,Resultats_jugadores!$B:$B,$C186))</f>
        <v/>
      </c>
      <c r="H186" s="3" t="str">
        <f t="shared" si="3"/>
        <v/>
      </c>
      <c r="I186" s="3" t="str">
        <f t="array" ref="I186">IF($C186="","",IFERROR(INDEX(Partits!$C:$C,MATCH($A186&amp;"_"&amp;$D186,Partits!$D:$D,0)),""))</f>
        <v/>
      </c>
      <c r="J186" s="3" t="str">
        <f t="shared" si="4"/>
        <v/>
      </c>
      <c r="K186" s="3" t="str">
        <f t="shared" si="5"/>
        <v/>
      </c>
      <c r="L186" s="3" t="str">
        <f t="shared" si="6"/>
        <v/>
      </c>
      <c r="M186" s="3" t="str">
        <f t="shared" si="7"/>
        <v/>
      </c>
    </row>
    <row r="187" ht="15.0" customHeight="1">
      <c r="A187" s="3" t="str">
        <f>IF(Equips_usuari!A187="","",Equips_usuari!A187)</f>
        <v/>
      </c>
      <c r="B187" s="3" t="str">
        <f>IF(Equips_usuari!B187="","",Equips_usuari!B187)</f>
        <v/>
      </c>
      <c r="C187" s="3" t="str">
        <f>IF(Equips_usuari!C187="","",Equips_usuari!C187)</f>
        <v/>
      </c>
      <c r="D187" s="3" t="str">
        <f>IF(Equips_usuari!D187="","",Equips_usuari!D187)</f>
        <v/>
      </c>
      <c r="E187" s="3" t="str">
        <f>IF(Equips_usuari!F187="","",Equips_usuari!F187)</f>
        <v/>
      </c>
      <c r="F187" s="3" t="str">
        <f>IF($C187="","",SUMIFS(Resultats_jugadores!$C:$C,Resultats_jugadores!$A:$A,$A187,Resultats_jugadores!$B:$B,$C187))</f>
        <v/>
      </c>
      <c r="G187" s="3" t="str">
        <f>IF($C187="","",SUMIFS(Resultats_jugadores!$D:$D,Resultats_jugadores!$A:$A,$A187,Resultats_jugadores!$B:$B,$C187))</f>
        <v/>
      </c>
      <c r="H187" s="3" t="str">
        <f t="shared" si="3"/>
        <v/>
      </c>
      <c r="I187" s="3" t="str">
        <f t="array" ref="I187">IF($C187="","",IFERROR(INDEX(Partits!$C:$C,MATCH($A187&amp;"_"&amp;$D187,Partits!$D:$D,0)),""))</f>
        <v/>
      </c>
      <c r="J187" s="3" t="str">
        <f t="shared" si="4"/>
        <v/>
      </c>
      <c r="K187" s="3" t="str">
        <f t="shared" si="5"/>
        <v/>
      </c>
      <c r="L187" s="3" t="str">
        <f t="shared" si="6"/>
        <v/>
      </c>
      <c r="M187" s="3" t="str">
        <f t="shared" si="7"/>
        <v/>
      </c>
    </row>
    <row r="188" ht="15.0" customHeight="1">
      <c r="A188" s="3" t="str">
        <f>IF(Equips_usuari!A188="","",Equips_usuari!A188)</f>
        <v/>
      </c>
      <c r="B188" s="3" t="str">
        <f>IF(Equips_usuari!B188="","",Equips_usuari!B188)</f>
        <v/>
      </c>
      <c r="C188" s="3" t="str">
        <f>IF(Equips_usuari!C188="","",Equips_usuari!C188)</f>
        <v/>
      </c>
      <c r="D188" s="3" t="str">
        <f>IF(Equips_usuari!D188="","",Equips_usuari!D188)</f>
        <v/>
      </c>
      <c r="E188" s="3" t="str">
        <f>IF(Equips_usuari!F188="","",Equips_usuari!F188)</f>
        <v/>
      </c>
      <c r="F188" s="3" t="str">
        <f>IF($C188="","",SUMIFS(Resultats_jugadores!$C:$C,Resultats_jugadores!$A:$A,$A188,Resultats_jugadores!$B:$B,$C188))</f>
        <v/>
      </c>
      <c r="G188" s="3" t="str">
        <f>IF($C188="","",SUMIFS(Resultats_jugadores!$D:$D,Resultats_jugadores!$A:$A,$A188,Resultats_jugadores!$B:$B,$C188))</f>
        <v/>
      </c>
      <c r="H188" s="3" t="str">
        <f t="shared" si="3"/>
        <v/>
      </c>
      <c r="I188" s="3" t="str">
        <f t="array" ref="I188">IF($C188="","",IFERROR(INDEX(Partits!$C:$C,MATCH($A188&amp;"_"&amp;$D188,Partits!$D:$D,0)),""))</f>
        <v/>
      </c>
      <c r="J188" s="3" t="str">
        <f t="shared" si="4"/>
        <v/>
      </c>
      <c r="K188" s="3" t="str">
        <f t="shared" si="5"/>
        <v/>
      </c>
      <c r="L188" s="3" t="str">
        <f t="shared" si="6"/>
        <v/>
      </c>
      <c r="M188" s="3" t="str">
        <f t="shared" si="7"/>
        <v/>
      </c>
    </row>
    <row r="189" ht="15.0" customHeight="1">
      <c r="A189" s="3" t="str">
        <f>IF(Equips_usuari!A189="","",Equips_usuari!A189)</f>
        <v/>
      </c>
      <c r="B189" s="3" t="str">
        <f>IF(Equips_usuari!B189="","",Equips_usuari!B189)</f>
        <v/>
      </c>
      <c r="C189" s="3" t="str">
        <f>IF(Equips_usuari!C189="","",Equips_usuari!C189)</f>
        <v/>
      </c>
      <c r="D189" s="3" t="str">
        <f>IF(Equips_usuari!D189="","",Equips_usuari!D189)</f>
        <v/>
      </c>
      <c r="E189" s="3" t="str">
        <f>IF(Equips_usuari!F189="","",Equips_usuari!F189)</f>
        <v/>
      </c>
      <c r="F189" s="3" t="str">
        <f>IF($C189="","",SUMIFS(Resultats_jugadores!$C:$C,Resultats_jugadores!$A:$A,$A189,Resultats_jugadores!$B:$B,$C189))</f>
        <v/>
      </c>
      <c r="G189" s="3" t="str">
        <f>IF($C189="","",SUMIFS(Resultats_jugadores!$D:$D,Resultats_jugadores!$A:$A,$A189,Resultats_jugadores!$B:$B,$C189))</f>
        <v/>
      </c>
      <c r="H189" s="3" t="str">
        <f t="shared" si="3"/>
        <v/>
      </c>
      <c r="I189" s="3" t="str">
        <f t="array" ref="I189">IF($C189="","",IFERROR(INDEX(Partits!$C:$C,MATCH($A189&amp;"_"&amp;$D189,Partits!$D:$D,0)),""))</f>
        <v/>
      </c>
      <c r="J189" s="3" t="str">
        <f t="shared" si="4"/>
        <v/>
      </c>
      <c r="K189" s="3" t="str">
        <f t="shared" si="5"/>
        <v/>
      </c>
      <c r="L189" s="3" t="str">
        <f t="shared" si="6"/>
        <v/>
      </c>
      <c r="M189" s="3" t="str">
        <f t="shared" si="7"/>
        <v/>
      </c>
    </row>
    <row r="190" ht="15.0" customHeight="1">
      <c r="A190" s="3" t="str">
        <f>IF(Equips_usuari!A190="","",Equips_usuari!A190)</f>
        <v/>
      </c>
      <c r="B190" s="3" t="str">
        <f>IF(Equips_usuari!B190="","",Equips_usuari!B190)</f>
        <v/>
      </c>
      <c r="C190" s="3" t="str">
        <f>IF(Equips_usuari!C190="","",Equips_usuari!C190)</f>
        <v/>
      </c>
      <c r="D190" s="3" t="str">
        <f>IF(Equips_usuari!D190="","",Equips_usuari!D190)</f>
        <v/>
      </c>
      <c r="E190" s="3" t="str">
        <f>IF(Equips_usuari!F190="","",Equips_usuari!F190)</f>
        <v/>
      </c>
      <c r="F190" s="3" t="str">
        <f>IF($C190="","",SUMIFS(Resultats_jugadores!$C:$C,Resultats_jugadores!$A:$A,$A190,Resultats_jugadores!$B:$B,$C190))</f>
        <v/>
      </c>
      <c r="G190" s="3" t="str">
        <f>IF($C190="","",SUMIFS(Resultats_jugadores!$D:$D,Resultats_jugadores!$A:$A,$A190,Resultats_jugadores!$B:$B,$C190))</f>
        <v/>
      </c>
      <c r="H190" s="3" t="str">
        <f t="shared" si="3"/>
        <v/>
      </c>
      <c r="I190" s="3" t="str">
        <f t="array" ref="I190">IF($C190="","",IFERROR(INDEX(Partits!$C:$C,MATCH($A190&amp;"_"&amp;$D190,Partits!$D:$D,0)),""))</f>
        <v/>
      </c>
      <c r="J190" s="3" t="str">
        <f t="shared" si="4"/>
        <v/>
      </c>
      <c r="K190" s="3" t="str">
        <f t="shared" si="5"/>
        <v/>
      </c>
      <c r="L190" s="3" t="str">
        <f t="shared" si="6"/>
        <v/>
      </c>
      <c r="M190" s="3" t="str">
        <f t="shared" si="7"/>
        <v/>
      </c>
    </row>
    <row r="191" ht="15.0" customHeight="1">
      <c r="A191" s="3" t="str">
        <f>IF(Equips_usuari!A191="","",Equips_usuari!A191)</f>
        <v/>
      </c>
      <c r="B191" s="3" t="str">
        <f>IF(Equips_usuari!B191="","",Equips_usuari!B191)</f>
        <v/>
      </c>
      <c r="C191" s="3" t="str">
        <f>IF(Equips_usuari!C191="","",Equips_usuari!C191)</f>
        <v/>
      </c>
      <c r="D191" s="3" t="str">
        <f>IF(Equips_usuari!D191="","",Equips_usuari!D191)</f>
        <v/>
      </c>
      <c r="E191" s="3" t="str">
        <f>IF(Equips_usuari!F191="","",Equips_usuari!F191)</f>
        <v/>
      </c>
      <c r="F191" s="3" t="str">
        <f>IF($C191="","",SUMIFS(Resultats_jugadores!$C:$C,Resultats_jugadores!$A:$A,$A191,Resultats_jugadores!$B:$B,$C191))</f>
        <v/>
      </c>
      <c r="G191" s="3" t="str">
        <f>IF($C191="","",SUMIFS(Resultats_jugadores!$D:$D,Resultats_jugadores!$A:$A,$A191,Resultats_jugadores!$B:$B,$C191))</f>
        <v/>
      </c>
      <c r="H191" s="3" t="str">
        <f t="shared" si="3"/>
        <v/>
      </c>
      <c r="I191" s="3" t="str">
        <f t="array" ref="I191">IF($C191="","",IFERROR(INDEX(Partits!$C:$C,MATCH($A191&amp;"_"&amp;$D191,Partits!$D:$D,0)),""))</f>
        <v/>
      </c>
      <c r="J191" s="3" t="str">
        <f t="shared" si="4"/>
        <v/>
      </c>
      <c r="K191" s="3" t="str">
        <f t="shared" si="5"/>
        <v/>
      </c>
      <c r="L191" s="3" t="str">
        <f t="shared" si="6"/>
        <v/>
      </c>
      <c r="M191" s="3" t="str">
        <f t="shared" si="7"/>
        <v/>
      </c>
    </row>
    <row r="192" ht="15.0" customHeight="1">
      <c r="A192" s="3" t="str">
        <f>IF(Equips_usuari!A192="","",Equips_usuari!A192)</f>
        <v/>
      </c>
      <c r="B192" s="3" t="str">
        <f>IF(Equips_usuari!B192="","",Equips_usuari!B192)</f>
        <v/>
      </c>
      <c r="C192" s="3" t="str">
        <f>IF(Equips_usuari!C192="","",Equips_usuari!C192)</f>
        <v/>
      </c>
      <c r="D192" s="3" t="str">
        <f>IF(Equips_usuari!D192="","",Equips_usuari!D192)</f>
        <v/>
      </c>
      <c r="E192" s="3" t="str">
        <f>IF(Equips_usuari!F192="","",Equips_usuari!F192)</f>
        <v/>
      </c>
      <c r="F192" s="3" t="str">
        <f>IF($C192="","",SUMIFS(Resultats_jugadores!$C:$C,Resultats_jugadores!$A:$A,$A192,Resultats_jugadores!$B:$B,$C192))</f>
        <v/>
      </c>
      <c r="G192" s="3" t="str">
        <f>IF($C192="","",SUMIFS(Resultats_jugadores!$D:$D,Resultats_jugadores!$A:$A,$A192,Resultats_jugadores!$B:$B,$C192))</f>
        <v/>
      </c>
      <c r="H192" s="3" t="str">
        <f t="shared" si="3"/>
        <v/>
      </c>
      <c r="I192" s="3" t="str">
        <f t="array" ref="I192">IF($C192="","",IFERROR(INDEX(Partits!$C:$C,MATCH($A192&amp;"_"&amp;$D192,Partits!$D:$D,0)),""))</f>
        <v/>
      </c>
      <c r="J192" s="3" t="str">
        <f t="shared" si="4"/>
        <v/>
      </c>
      <c r="K192" s="3" t="str">
        <f t="shared" si="5"/>
        <v/>
      </c>
      <c r="L192" s="3" t="str">
        <f t="shared" si="6"/>
        <v/>
      </c>
      <c r="M192" s="3" t="str">
        <f t="shared" si="7"/>
        <v/>
      </c>
    </row>
    <row r="193" ht="15.0" customHeight="1">
      <c r="A193" s="3" t="str">
        <f>IF(Equips_usuari!A193="","",Equips_usuari!A193)</f>
        <v/>
      </c>
      <c r="B193" s="3" t="str">
        <f>IF(Equips_usuari!B193="","",Equips_usuari!B193)</f>
        <v/>
      </c>
      <c r="C193" s="3" t="str">
        <f>IF(Equips_usuari!C193="","",Equips_usuari!C193)</f>
        <v/>
      </c>
      <c r="D193" s="3" t="str">
        <f>IF(Equips_usuari!D193="","",Equips_usuari!D193)</f>
        <v/>
      </c>
      <c r="E193" s="3" t="str">
        <f>IF(Equips_usuari!F193="","",Equips_usuari!F193)</f>
        <v/>
      </c>
      <c r="F193" s="3" t="str">
        <f>IF($C193="","",SUMIFS(Resultats_jugadores!$C:$C,Resultats_jugadores!$A:$A,$A193,Resultats_jugadores!$B:$B,$C193))</f>
        <v/>
      </c>
      <c r="G193" s="3" t="str">
        <f>IF($C193="","",SUMIFS(Resultats_jugadores!$D:$D,Resultats_jugadores!$A:$A,$A193,Resultats_jugadores!$B:$B,$C193))</f>
        <v/>
      </c>
      <c r="H193" s="3" t="str">
        <f t="shared" si="3"/>
        <v/>
      </c>
      <c r="I193" s="3" t="str">
        <f t="array" ref="I193">IF($C193="","",IFERROR(INDEX(Partits!$C:$C,MATCH($A193&amp;"_"&amp;$D193,Partits!$D:$D,0)),""))</f>
        <v/>
      </c>
      <c r="J193" s="3" t="str">
        <f t="shared" si="4"/>
        <v/>
      </c>
      <c r="K193" s="3" t="str">
        <f t="shared" si="5"/>
        <v/>
      </c>
      <c r="L193" s="3" t="str">
        <f t="shared" si="6"/>
        <v/>
      </c>
      <c r="M193" s="3" t="str">
        <f t="shared" si="7"/>
        <v/>
      </c>
    </row>
    <row r="194" ht="15.0" customHeight="1">
      <c r="A194" s="3" t="str">
        <f>IF(Equips_usuari!A194="","",Equips_usuari!A194)</f>
        <v/>
      </c>
      <c r="B194" s="3" t="str">
        <f>IF(Equips_usuari!B194="","",Equips_usuari!B194)</f>
        <v/>
      </c>
      <c r="C194" s="3" t="str">
        <f>IF(Equips_usuari!C194="","",Equips_usuari!C194)</f>
        <v/>
      </c>
      <c r="D194" s="3" t="str">
        <f>IF(Equips_usuari!D194="","",Equips_usuari!D194)</f>
        <v/>
      </c>
      <c r="E194" s="3" t="str">
        <f>IF(Equips_usuari!F194="","",Equips_usuari!F194)</f>
        <v/>
      </c>
      <c r="F194" s="3" t="str">
        <f>IF($C194="","",SUMIFS(Resultats_jugadores!$C:$C,Resultats_jugadores!$A:$A,$A194,Resultats_jugadores!$B:$B,$C194))</f>
        <v/>
      </c>
      <c r="G194" s="3" t="str">
        <f>IF($C194="","",SUMIFS(Resultats_jugadores!$D:$D,Resultats_jugadores!$A:$A,$A194,Resultats_jugadores!$B:$B,$C194))</f>
        <v/>
      </c>
      <c r="H194" s="3" t="str">
        <f t="shared" si="3"/>
        <v/>
      </c>
      <c r="I194" s="3" t="str">
        <f t="array" ref="I194">IF($C194="","",IFERROR(INDEX(Partits!$C:$C,MATCH($A194&amp;"_"&amp;$D194,Partits!$D:$D,0)),""))</f>
        <v/>
      </c>
      <c r="J194" s="3" t="str">
        <f t="shared" si="4"/>
        <v/>
      </c>
      <c r="K194" s="3" t="str">
        <f t="shared" si="5"/>
        <v/>
      </c>
      <c r="L194" s="3" t="str">
        <f t="shared" si="6"/>
        <v/>
      </c>
      <c r="M194" s="3" t="str">
        <f t="shared" si="7"/>
        <v/>
      </c>
    </row>
    <row r="195" ht="15.0" customHeight="1">
      <c r="A195" s="3" t="str">
        <f>IF(Equips_usuari!A195="","",Equips_usuari!A195)</f>
        <v/>
      </c>
      <c r="B195" s="3" t="str">
        <f>IF(Equips_usuari!B195="","",Equips_usuari!B195)</f>
        <v/>
      </c>
      <c r="C195" s="3" t="str">
        <f>IF(Equips_usuari!C195="","",Equips_usuari!C195)</f>
        <v/>
      </c>
      <c r="D195" s="3" t="str">
        <f>IF(Equips_usuari!D195="","",Equips_usuari!D195)</f>
        <v/>
      </c>
      <c r="E195" s="3" t="str">
        <f>IF(Equips_usuari!F195="","",Equips_usuari!F195)</f>
        <v/>
      </c>
      <c r="F195" s="3" t="str">
        <f>IF($C195="","",SUMIFS(Resultats_jugadores!$C:$C,Resultats_jugadores!$A:$A,$A195,Resultats_jugadores!$B:$B,$C195))</f>
        <v/>
      </c>
      <c r="G195" s="3" t="str">
        <f>IF($C195="","",SUMIFS(Resultats_jugadores!$D:$D,Resultats_jugadores!$A:$A,$A195,Resultats_jugadores!$B:$B,$C195))</f>
        <v/>
      </c>
      <c r="H195" s="3" t="str">
        <f t="shared" si="3"/>
        <v/>
      </c>
      <c r="I195" s="3" t="str">
        <f t="array" ref="I195">IF($C195="","",IFERROR(INDEX(Partits!$C:$C,MATCH($A195&amp;"_"&amp;$D195,Partits!$D:$D,0)),""))</f>
        <v/>
      </c>
      <c r="J195" s="3" t="str">
        <f t="shared" si="4"/>
        <v/>
      </c>
      <c r="K195" s="3" t="str">
        <f t="shared" si="5"/>
        <v/>
      </c>
      <c r="L195" s="3" t="str">
        <f t="shared" si="6"/>
        <v/>
      </c>
      <c r="M195" s="3" t="str">
        <f t="shared" si="7"/>
        <v/>
      </c>
    </row>
    <row r="196" ht="15.0" customHeight="1">
      <c r="A196" s="3" t="str">
        <f>IF(Equips_usuari!A196="","",Equips_usuari!A196)</f>
        <v/>
      </c>
      <c r="B196" s="3" t="str">
        <f>IF(Equips_usuari!B196="","",Equips_usuari!B196)</f>
        <v/>
      </c>
      <c r="C196" s="3" t="str">
        <f>IF(Equips_usuari!C196="","",Equips_usuari!C196)</f>
        <v/>
      </c>
      <c r="D196" s="3" t="str">
        <f>IF(Equips_usuari!D196="","",Equips_usuari!D196)</f>
        <v/>
      </c>
      <c r="E196" s="3" t="str">
        <f>IF(Equips_usuari!F196="","",Equips_usuari!F196)</f>
        <v/>
      </c>
      <c r="F196" s="3" t="str">
        <f>IF($C196="","",SUMIFS(Resultats_jugadores!$C:$C,Resultats_jugadores!$A:$A,$A196,Resultats_jugadores!$B:$B,$C196))</f>
        <v/>
      </c>
      <c r="G196" s="3" t="str">
        <f>IF($C196="","",SUMIFS(Resultats_jugadores!$D:$D,Resultats_jugadores!$A:$A,$A196,Resultats_jugadores!$B:$B,$C196))</f>
        <v/>
      </c>
      <c r="H196" s="3" t="str">
        <f t="shared" si="3"/>
        <v/>
      </c>
      <c r="I196" s="3" t="str">
        <f t="array" ref="I196">IF($C196="","",IFERROR(INDEX(Partits!$C:$C,MATCH($A196&amp;"_"&amp;$D196,Partits!$D:$D,0)),""))</f>
        <v/>
      </c>
      <c r="J196" s="3" t="str">
        <f t="shared" si="4"/>
        <v/>
      </c>
      <c r="K196" s="3" t="str">
        <f t="shared" si="5"/>
        <v/>
      </c>
      <c r="L196" s="3" t="str">
        <f t="shared" si="6"/>
        <v/>
      </c>
      <c r="M196" s="3" t="str">
        <f t="shared" si="7"/>
        <v/>
      </c>
    </row>
    <row r="197" ht="15.0" customHeight="1">
      <c r="A197" s="3" t="str">
        <f>IF(Equips_usuari!A197="","",Equips_usuari!A197)</f>
        <v/>
      </c>
      <c r="B197" s="3" t="str">
        <f>IF(Equips_usuari!B197="","",Equips_usuari!B197)</f>
        <v/>
      </c>
      <c r="C197" s="3" t="str">
        <f>IF(Equips_usuari!C197="","",Equips_usuari!C197)</f>
        <v/>
      </c>
      <c r="D197" s="3" t="str">
        <f>IF(Equips_usuari!D197="","",Equips_usuari!D197)</f>
        <v/>
      </c>
      <c r="E197" s="3" t="str">
        <f>IF(Equips_usuari!F197="","",Equips_usuari!F197)</f>
        <v/>
      </c>
      <c r="F197" s="3" t="str">
        <f>IF($C197="","",SUMIFS(Resultats_jugadores!$C:$C,Resultats_jugadores!$A:$A,$A197,Resultats_jugadores!$B:$B,$C197))</f>
        <v/>
      </c>
      <c r="G197" s="3" t="str">
        <f>IF($C197="","",SUMIFS(Resultats_jugadores!$D:$D,Resultats_jugadores!$A:$A,$A197,Resultats_jugadores!$B:$B,$C197))</f>
        <v/>
      </c>
      <c r="H197" s="3" t="str">
        <f t="shared" si="3"/>
        <v/>
      </c>
      <c r="I197" s="3" t="str">
        <f t="array" ref="I197">IF($C197="","",IFERROR(INDEX(Partits!$C:$C,MATCH($A197&amp;"_"&amp;$D197,Partits!$D:$D,0)),""))</f>
        <v/>
      </c>
      <c r="J197" s="3" t="str">
        <f t="shared" si="4"/>
        <v/>
      </c>
      <c r="K197" s="3" t="str">
        <f t="shared" si="5"/>
        <v/>
      </c>
      <c r="L197" s="3" t="str">
        <f t="shared" si="6"/>
        <v/>
      </c>
      <c r="M197" s="3" t="str">
        <f t="shared" si="7"/>
        <v/>
      </c>
    </row>
    <row r="198" ht="15.0" customHeight="1">
      <c r="A198" s="3" t="str">
        <f>IF(Equips_usuari!A198="","",Equips_usuari!A198)</f>
        <v/>
      </c>
      <c r="B198" s="3" t="str">
        <f>IF(Equips_usuari!B198="","",Equips_usuari!B198)</f>
        <v/>
      </c>
      <c r="C198" s="3" t="str">
        <f>IF(Equips_usuari!C198="","",Equips_usuari!C198)</f>
        <v/>
      </c>
      <c r="D198" s="3" t="str">
        <f>IF(Equips_usuari!D198="","",Equips_usuari!D198)</f>
        <v/>
      </c>
      <c r="E198" s="3" t="str">
        <f>IF(Equips_usuari!F198="","",Equips_usuari!F198)</f>
        <v/>
      </c>
      <c r="F198" s="3" t="str">
        <f>IF($C198="","",SUMIFS(Resultats_jugadores!$C:$C,Resultats_jugadores!$A:$A,$A198,Resultats_jugadores!$B:$B,$C198))</f>
        <v/>
      </c>
      <c r="G198" s="3" t="str">
        <f>IF($C198="","",SUMIFS(Resultats_jugadores!$D:$D,Resultats_jugadores!$A:$A,$A198,Resultats_jugadores!$B:$B,$C198))</f>
        <v/>
      </c>
      <c r="H198" s="3" t="str">
        <f t="shared" si="3"/>
        <v/>
      </c>
      <c r="I198" s="3" t="str">
        <f t="array" ref="I198">IF($C198="","",IFERROR(INDEX(Partits!$C:$C,MATCH($A198&amp;"_"&amp;$D198,Partits!$D:$D,0)),""))</f>
        <v/>
      </c>
      <c r="J198" s="3" t="str">
        <f t="shared" si="4"/>
        <v/>
      </c>
      <c r="K198" s="3" t="str">
        <f t="shared" si="5"/>
        <v/>
      </c>
      <c r="L198" s="3" t="str">
        <f t="shared" si="6"/>
        <v/>
      </c>
      <c r="M198" s="3" t="str">
        <f t="shared" si="7"/>
        <v/>
      </c>
    </row>
    <row r="199" ht="15.0" customHeight="1">
      <c r="A199" s="3" t="str">
        <f>IF(Equips_usuari!A199="","",Equips_usuari!A199)</f>
        <v/>
      </c>
      <c r="B199" s="3" t="str">
        <f>IF(Equips_usuari!B199="","",Equips_usuari!B199)</f>
        <v/>
      </c>
      <c r="C199" s="3" t="str">
        <f>IF(Equips_usuari!C199="","",Equips_usuari!C199)</f>
        <v/>
      </c>
      <c r="D199" s="3" t="str">
        <f>IF(Equips_usuari!D199="","",Equips_usuari!D199)</f>
        <v/>
      </c>
      <c r="E199" s="3" t="str">
        <f>IF(Equips_usuari!F199="","",Equips_usuari!F199)</f>
        <v/>
      </c>
      <c r="F199" s="3" t="str">
        <f>IF($C199="","",SUMIFS(Resultats_jugadores!$C:$C,Resultats_jugadores!$A:$A,$A199,Resultats_jugadores!$B:$B,$C199))</f>
        <v/>
      </c>
      <c r="G199" s="3" t="str">
        <f>IF($C199="","",SUMIFS(Resultats_jugadores!$D:$D,Resultats_jugadores!$A:$A,$A199,Resultats_jugadores!$B:$B,$C199))</f>
        <v/>
      </c>
      <c r="H199" s="3" t="str">
        <f t="shared" si="3"/>
        <v/>
      </c>
      <c r="I199" s="3" t="str">
        <f t="array" ref="I199">IF($C199="","",IFERROR(INDEX(Partits!$C:$C,MATCH($A199&amp;"_"&amp;$D199,Partits!$D:$D,0)),""))</f>
        <v/>
      </c>
      <c r="J199" s="3" t="str">
        <f t="shared" si="4"/>
        <v/>
      </c>
      <c r="K199" s="3" t="str">
        <f t="shared" si="5"/>
        <v/>
      </c>
      <c r="L199" s="3" t="str">
        <f t="shared" si="6"/>
        <v/>
      </c>
      <c r="M199" s="3" t="str">
        <f t="shared" si="7"/>
        <v/>
      </c>
    </row>
    <row r="200" ht="15.0" customHeight="1">
      <c r="A200" s="3" t="str">
        <f>IF(Equips_usuari!A200="","",Equips_usuari!A200)</f>
        <v/>
      </c>
      <c r="B200" s="3" t="str">
        <f>IF(Equips_usuari!B200="","",Equips_usuari!B200)</f>
        <v/>
      </c>
      <c r="C200" s="3" t="str">
        <f>IF(Equips_usuari!C200="","",Equips_usuari!C200)</f>
        <v/>
      </c>
      <c r="D200" s="3" t="str">
        <f>IF(Equips_usuari!D200="","",Equips_usuari!D200)</f>
        <v/>
      </c>
      <c r="E200" s="3" t="str">
        <f>IF(Equips_usuari!F200="","",Equips_usuari!F200)</f>
        <v/>
      </c>
      <c r="F200" s="3" t="str">
        <f>IF($C200="","",SUMIFS(Resultats_jugadores!$C:$C,Resultats_jugadores!$A:$A,$A200,Resultats_jugadores!$B:$B,$C200))</f>
        <v/>
      </c>
      <c r="G200" s="3" t="str">
        <f>IF($C200="","",SUMIFS(Resultats_jugadores!$D:$D,Resultats_jugadores!$A:$A,$A200,Resultats_jugadores!$B:$B,$C200))</f>
        <v/>
      </c>
      <c r="H200" s="3" t="str">
        <f t="shared" si="3"/>
        <v/>
      </c>
      <c r="I200" s="3" t="str">
        <f t="array" ref="I200">IF($C200="","",IFERROR(INDEX(Partits!$C:$C,MATCH($A200&amp;"_"&amp;$D200,Partits!$D:$D,0)),""))</f>
        <v/>
      </c>
      <c r="J200" s="3" t="str">
        <f t="shared" si="4"/>
        <v/>
      </c>
      <c r="K200" s="3" t="str">
        <f t="shared" si="5"/>
        <v/>
      </c>
      <c r="L200" s="3" t="str">
        <f t="shared" si="6"/>
        <v/>
      </c>
      <c r="M200" s="3" t="str">
        <f t="shared" si="7"/>
        <v/>
      </c>
    </row>
    <row r="201" ht="15.0" customHeight="1">
      <c r="A201" s="3" t="str">
        <f>IF(Equips_usuari!A201="","",Equips_usuari!A201)</f>
        <v/>
      </c>
      <c r="B201" s="3" t="str">
        <f>IF(Equips_usuari!B201="","",Equips_usuari!B201)</f>
        <v/>
      </c>
      <c r="C201" s="3" t="str">
        <f>IF(Equips_usuari!C201="","",Equips_usuari!C201)</f>
        <v/>
      </c>
      <c r="D201" s="3" t="str">
        <f>IF(Equips_usuari!D201="","",Equips_usuari!D201)</f>
        <v/>
      </c>
      <c r="E201" s="3" t="str">
        <f>IF(Equips_usuari!F201="","",Equips_usuari!F201)</f>
        <v/>
      </c>
      <c r="F201" s="3" t="str">
        <f>IF($C201="","",SUMIFS(Resultats_jugadores!$C:$C,Resultats_jugadores!$A:$A,$A201,Resultats_jugadores!$B:$B,$C201))</f>
        <v/>
      </c>
      <c r="G201" s="3" t="str">
        <f>IF($C201="","",SUMIFS(Resultats_jugadores!$D:$D,Resultats_jugadores!$A:$A,$A201,Resultats_jugadores!$B:$B,$C201))</f>
        <v/>
      </c>
      <c r="H201" s="3" t="str">
        <f t="shared" si="3"/>
        <v/>
      </c>
      <c r="I201" s="3" t="str">
        <f t="array" ref="I201">IF($C201="","",IFERROR(INDEX(Partits!$C:$C,MATCH($A201&amp;"_"&amp;$D201,Partits!$D:$D,0)),""))</f>
        <v/>
      </c>
      <c r="J201" s="3" t="str">
        <f t="shared" si="4"/>
        <v/>
      </c>
      <c r="K201" s="3" t="str">
        <f t="shared" si="5"/>
        <v/>
      </c>
      <c r="L201" s="3" t="str">
        <f t="shared" si="6"/>
        <v/>
      </c>
      <c r="M201" s="3" t="str">
        <f t="shared" si="7"/>
        <v/>
      </c>
    </row>
    <row r="202" ht="15.0" customHeight="1">
      <c r="A202" s="3" t="str">
        <f>IF(Equips_usuari!A202="","",Equips_usuari!A202)</f>
        <v/>
      </c>
      <c r="B202" s="3" t="str">
        <f>IF(Equips_usuari!B202="","",Equips_usuari!B202)</f>
        <v/>
      </c>
      <c r="C202" s="3" t="str">
        <f>IF(Equips_usuari!C202="","",Equips_usuari!C202)</f>
        <v/>
      </c>
      <c r="D202" s="3" t="str">
        <f>IF(Equips_usuari!D202="","",Equips_usuari!D202)</f>
        <v/>
      </c>
      <c r="E202" s="3" t="str">
        <f>IF(Equips_usuari!F202="","",Equips_usuari!F202)</f>
        <v/>
      </c>
      <c r="F202" s="3" t="str">
        <f>IF($C202="","",SUMIFS(Resultats_jugadores!$C:$C,Resultats_jugadores!$A:$A,$A202,Resultats_jugadores!$B:$B,$C202))</f>
        <v/>
      </c>
      <c r="G202" s="3" t="str">
        <f>IF($C202="","",SUMIFS(Resultats_jugadores!$D:$D,Resultats_jugadores!$A:$A,$A202,Resultats_jugadores!$B:$B,$C202))</f>
        <v/>
      </c>
      <c r="H202" s="3" t="str">
        <f t="shared" si="3"/>
        <v/>
      </c>
      <c r="I202" s="3" t="str">
        <f t="array" ref="I202">IF($C202="","",IFERROR(INDEX(Partits!$C:$C,MATCH($A202&amp;"_"&amp;$D202,Partits!$D:$D,0)),""))</f>
        <v/>
      </c>
      <c r="J202" s="3" t="str">
        <f t="shared" si="4"/>
        <v/>
      </c>
      <c r="K202" s="3" t="str">
        <f t="shared" si="5"/>
        <v/>
      </c>
      <c r="L202" s="3" t="str">
        <f t="shared" si="6"/>
        <v/>
      </c>
      <c r="M202" s="3" t="str">
        <f t="shared" si="7"/>
        <v/>
      </c>
    </row>
    <row r="203" ht="15.0" customHeight="1">
      <c r="A203" s="3" t="str">
        <f>IF(Equips_usuari!A203="","",Equips_usuari!A203)</f>
        <v/>
      </c>
      <c r="B203" s="3" t="str">
        <f>IF(Equips_usuari!B203="","",Equips_usuari!B203)</f>
        <v/>
      </c>
      <c r="C203" s="3" t="str">
        <f>IF(Equips_usuari!C203="","",Equips_usuari!C203)</f>
        <v/>
      </c>
      <c r="D203" s="3" t="str">
        <f>IF(Equips_usuari!D203="","",Equips_usuari!D203)</f>
        <v/>
      </c>
      <c r="E203" s="3" t="str">
        <f>IF(Equips_usuari!F203="","",Equips_usuari!F203)</f>
        <v/>
      </c>
      <c r="F203" s="3" t="str">
        <f>IF($C203="","",SUMIFS(Resultats_jugadores!$C:$C,Resultats_jugadores!$A:$A,$A203,Resultats_jugadores!$B:$B,$C203))</f>
        <v/>
      </c>
      <c r="G203" s="3" t="str">
        <f>IF($C203="","",SUMIFS(Resultats_jugadores!$D:$D,Resultats_jugadores!$A:$A,$A203,Resultats_jugadores!$B:$B,$C203))</f>
        <v/>
      </c>
      <c r="H203" s="3" t="str">
        <f t="shared" si="3"/>
        <v/>
      </c>
      <c r="I203" s="3" t="str">
        <f t="array" ref="I203">IF($C203="","",IFERROR(INDEX(Partits!$C:$C,MATCH($A203&amp;"_"&amp;$D203,Partits!$D:$D,0)),""))</f>
        <v/>
      </c>
      <c r="J203" s="3" t="str">
        <f t="shared" si="4"/>
        <v/>
      </c>
      <c r="K203" s="3" t="str">
        <f t="shared" si="5"/>
        <v/>
      </c>
      <c r="L203" s="3" t="str">
        <f t="shared" si="6"/>
        <v/>
      </c>
      <c r="M203" s="3" t="str">
        <f t="shared" si="7"/>
        <v/>
      </c>
    </row>
    <row r="204" ht="15.0" customHeight="1">
      <c r="A204" s="3" t="str">
        <f>IF(Equips_usuari!A204="","",Equips_usuari!A204)</f>
        <v/>
      </c>
      <c r="B204" s="3" t="str">
        <f>IF(Equips_usuari!B204="","",Equips_usuari!B204)</f>
        <v/>
      </c>
      <c r="C204" s="3" t="str">
        <f>IF(Equips_usuari!C204="","",Equips_usuari!C204)</f>
        <v/>
      </c>
      <c r="D204" s="3" t="str">
        <f>IF(Equips_usuari!D204="","",Equips_usuari!D204)</f>
        <v/>
      </c>
      <c r="E204" s="3" t="str">
        <f>IF(Equips_usuari!F204="","",Equips_usuari!F204)</f>
        <v/>
      </c>
      <c r="F204" s="3" t="str">
        <f>IF($C204="","",SUMIFS(Resultats_jugadores!$C:$C,Resultats_jugadores!$A:$A,$A204,Resultats_jugadores!$B:$B,$C204))</f>
        <v/>
      </c>
      <c r="G204" s="3" t="str">
        <f>IF($C204="","",SUMIFS(Resultats_jugadores!$D:$D,Resultats_jugadores!$A:$A,$A204,Resultats_jugadores!$B:$B,$C204))</f>
        <v/>
      </c>
      <c r="H204" s="3" t="str">
        <f t="shared" si="3"/>
        <v/>
      </c>
      <c r="I204" s="3" t="str">
        <f t="array" ref="I204">IF($C204="","",IFERROR(INDEX(Partits!$C:$C,MATCH($A204&amp;"_"&amp;$D204,Partits!$D:$D,0)),""))</f>
        <v/>
      </c>
      <c r="J204" s="3" t="str">
        <f t="shared" si="4"/>
        <v/>
      </c>
      <c r="K204" s="3" t="str">
        <f t="shared" si="5"/>
        <v/>
      </c>
      <c r="L204" s="3" t="str">
        <f t="shared" si="6"/>
        <v/>
      </c>
      <c r="M204" s="3" t="str">
        <f t="shared" si="7"/>
        <v/>
      </c>
    </row>
    <row r="205" ht="15.0" customHeight="1">
      <c r="A205" s="3" t="str">
        <f>IF(Equips_usuari!A205="","",Equips_usuari!A205)</f>
        <v/>
      </c>
      <c r="B205" s="3" t="str">
        <f>IF(Equips_usuari!B205="","",Equips_usuari!B205)</f>
        <v/>
      </c>
      <c r="C205" s="3" t="str">
        <f>IF(Equips_usuari!C205="","",Equips_usuari!C205)</f>
        <v/>
      </c>
      <c r="D205" s="3" t="str">
        <f>IF(Equips_usuari!D205="","",Equips_usuari!D205)</f>
        <v/>
      </c>
      <c r="E205" s="3" t="str">
        <f>IF(Equips_usuari!F205="","",Equips_usuari!F205)</f>
        <v/>
      </c>
      <c r="F205" s="3" t="str">
        <f>IF($C205="","",SUMIFS(Resultats_jugadores!$C:$C,Resultats_jugadores!$A:$A,$A205,Resultats_jugadores!$B:$B,$C205))</f>
        <v/>
      </c>
      <c r="G205" s="3" t="str">
        <f>IF($C205="","",SUMIFS(Resultats_jugadores!$D:$D,Resultats_jugadores!$A:$A,$A205,Resultats_jugadores!$B:$B,$C205))</f>
        <v/>
      </c>
      <c r="H205" s="3" t="str">
        <f t="shared" si="3"/>
        <v/>
      </c>
      <c r="I205" s="3" t="str">
        <f t="array" ref="I205">IF($C205="","",IFERROR(INDEX(Partits!$C:$C,MATCH($A205&amp;"_"&amp;$D205,Partits!$D:$D,0)),""))</f>
        <v/>
      </c>
      <c r="J205" s="3" t="str">
        <f t="shared" si="4"/>
        <v/>
      </c>
      <c r="K205" s="3" t="str">
        <f t="shared" si="5"/>
        <v/>
      </c>
      <c r="L205" s="3" t="str">
        <f t="shared" si="6"/>
        <v/>
      </c>
      <c r="M205" s="3" t="str">
        <f t="shared" si="7"/>
        <v/>
      </c>
    </row>
    <row r="206" ht="15.0" customHeight="1">
      <c r="A206" s="3" t="str">
        <f>IF(Equips_usuari!A206="","",Equips_usuari!A206)</f>
        <v/>
      </c>
      <c r="B206" s="3" t="str">
        <f>IF(Equips_usuari!B206="","",Equips_usuari!B206)</f>
        <v/>
      </c>
      <c r="C206" s="3" t="str">
        <f>IF(Equips_usuari!C206="","",Equips_usuari!C206)</f>
        <v/>
      </c>
      <c r="D206" s="3" t="str">
        <f>IF(Equips_usuari!D206="","",Equips_usuari!D206)</f>
        <v/>
      </c>
      <c r="E206" s="3" t="str">
        <f>IF(Equips_usuari!F206="","",Equips_usuari!F206)</f>
        <v/>
      </c>
      <c r="F206" s="3" t="str">
        <f>IF($C206="","",SUMIFS(Resultats_jugadores!$C:$C,Resultats_jugadores!$A:$A,$A206,Resultats_jugadores!$B:$B,$C206))</f>
        <v/>
      </c>
      <c r="G206" s="3" t="str">
        <f>IF($C206="","",SUMIFS(Resultats_jugadores!$D:$D,Resultats_jugadores!$A:$A,$A206,Resultats_jugadores!$B:$B,$C206))</f>
        <v/>
      </c>
      <c r="H206" s="3" t="str">
        <f t="shared" si="3"/>
        <v/>
      </c>
      <c r="I206" s="3" t="str">
        <f t="array" ref="I206">IF($C206="","",IFERROR(INDEX(Partits!$C:$C,MATCH($A206&amp;"_"&amp;$D206,Partits!$D:$D,0)),""))</f>
        <v/>
      </c>
      <c r="J206" s="3" t="str">
        <f t="shared" si="4"/>
        <v/>
      </c>
      <c r="K206" s="3" t="str">
        <f t="shared" si="5"/>
        <v/>
      </c>
      <c r="L206" s="3" t="str">
        <f t="shared" si="6"/>
        <v/>
      </c>
      <c r="M206" s="3" t="str">
        <f t="shared" si="7"/>
        <v/>
      </c>
    </row>
    <row r="207" ht="15.0" customHeight="1">
      <c r="A207" s="3" t="str">
        <f>IF(Equips_usuari!A207="","",Equips_usuari!A207)</f>
        <v/>
      </c>
      <c r="B207" s="3" t="str">
        <f>IF(Equips_usuari!B207="","",Equips_usuari!B207)</f>
        <v/>
      </c>
      <c r="C207" s="3" t="str">
        <f>IF(Equips_usuari!C207="","",Equips_usuari!C207)</f>
        <v/>
      </c>
      <c r="D207" s="3" t="str">
        <f>IF(Equips_usuari!D207="","",Equips_usuari!D207)</f>
        <v/>
      </c>
      <c r="E207" s="3" t="str">
        <f>IF(Equips_usuari!F207="","",Equips_usuari!F207)</f>
        <v/>
      </c>
      <c r="F207" s="3" t="str">
        <f>IF($C207="","",SUMIFS(Resultats_jugadores!$C:$C,Resultats_jugadores!$A:$A,$A207,Resultats_jugadores!$B:$B,$C207))</f>
        <v/>
      </c>
      <c r="G207" s="3" t="str">
        <f>IF($C207="","",SUMIFS(Resultats_jugadores!$D:$D,Resultats_jugadores!$A:$A,$A207,Resultats_jugadores!$B:$B,$C207))</f>
        <v/>
      </c>
      <c r="H207" s="3" t="str">
        <f t="shared" si="3"/>
        <v/>
      </c>
      <c r="I207" s="3" t="str">
        <f t="array" ref="I207">IF($C207="","",IFERROR(INDEX(Partits!$C:$C,MATCH($A207&amp;"_"&amp;$D207,Partits!$D:$D,0)),""))</f>
        <v/>
      </c>
      <c r="J207" s="3" t="str">
        <f t="shared" si="4"/>
        <v/>
      </c>
      <c r="K207" s="3" t="str">
        <f t="shared" si="5"/>
        <v/>
      </c>
      <c r="L207" s="3" t="str">
        <f t="shared" si="6"/>
        <v/>
      </c>
      <c r="M207" s="3" t="str">
        <f t="shared" si="7"/>
        <v/>
      </c>
    </row>
    <row r="208" ht="15.0" customHeight="1">
      <c r="A208" s="3" t="str">
        <f>IF(Equips_usuari!A208="","",Equips_usuari!A208)</f>
        <v/>
      </c>
      <c r="B208" s="3" t="str">
        <f>IF(Equips_usuari!B208="","",Equips_usuari!B208)</f>
        <v/>
      </c>
      <c r="C208" s="3" t="str">
        <f>IF(Equips_usuari!C208="","",Equips_usuari!C208)</f>
        <v/>
      </c>
      <c r="D208" s="3" t="str">
        <f>IF(Equips_usuari!D208="","",Equips_usuari!D208)</f>
        <v/>
      </c>
      <c r="E208" s="3" t="str">
        <f>IF(Equips_usuari!F208="","",Equips_usuari!F208)</f>
        <v/>
      </c>
      <c r="F208" s="3" t="str">
        <f>IF($C208="","",SUMIFS(Resultats_jugadores!$C:$C,Resultats_jugadores!$A:$A,$A208,Resultats_jugadores!$B:$B,$C208))</f>
        <v/>
      </c>
      <c r="G208" s="3" t="str">
        <f>IF($C208="","",SUMIFS(Resultats_jugadores!$D:$D,Resultats_jugadores!$A:$A,$A208,Resultats_jugadores!$B:$B,$C208))</f>
        <v/>
      </c>
      <c r="H208" s="3" t="str">
        <f t="shared" si="3"/>
        <v/>
      </c>
      <c r="I208" s="3" t="str">
        <f t="array" ref="I208">IF($C208="","",IFERROR(INDEX(Partits!$C:$C,MATCH($A208&amp;"_"&amp;$D208,Partits!$D:$D,0)),""))</f>
        <v/>
      </c>
      <c r="J208" s="3" t="str">
        <f t="shared" si="4"/>
        <v/>
      </c>
      <c r="K208" s="3" t="str">
        <f t="shared" si="5"/>
        <v/>
      </c>
      <c r="L208" s="3" t="str">
        <f t="shared" si="6"/>
        <v/>
      </c>
      <c r="M208" s="3" t="str">
        <f t="shared" si="7"/>
        <v/>
      </c>
    </row>
    <row r="209" ht="15.0" customHeight="1">
      <c r="A209" s="3" t="str">
        <f>IF(Equips_usuari!A209="","",Equips_usuari!A209)</f>
        <v/>
      </c>
      <c r="B209" s="3" t="str">
        <f>IF(Equips_usuari!B209="","",Equips_usuari!B209)</f>
        <v/>
      </c>
      <c r="C209" s="3" t="str">
        <f>IF(Equips_usuari!C209="","",Equips_usuari!C209)</f>
        <v/>
      </c>
      <c r="D209" s="3" t="str">
        <f>IF(Equips_usuari!D209="","",Equips_usuari!D209)</f>
        <v/>
      </c>
      <c r="E209" s="3" t="str">
        <f>IF(Equips_usuari!F209="","",Equips_usuari!F209)</f>
        <v/>
      </c>
      <c r="F209" s="3" t="str">
        <f>IF($C209="","",SUMIFS(Resultats_jugadores!$C:$C,Resultats_jugadores!$A:$A,$A209,Resultats_jugadores!$B:$B,$C209))</f>
        <v/>
      </c>
      <c r="G209" s="3" t="str">
        <f>IF($C209="","",SUMIFS(Resultats_jugadores!$D:$D,Resultats_jugadores!$A:$A,$A209,Resultats_jugadores!$B:$B,$C209))</f>
        <v/>
      </c>
      <c r="H209" s="3" t="str">
        <f t="shared" si="3"/>
        <v/>
      </c>
      <c r="I209" s="3" t="str">
        <f t="array" ref="I209">IF($C209="","",IFERROR(INDEX(Partits!$C:$C,MATCH($A209&amp;"_"&amp;$D209,Partits!$D:$D,0)),""))</f>
        <v/>
      </c>
      <c r="J209" s="3" t="str">
        <f t="shared" si="4"/>
        <v/>
      </c>
      <c r="K209" s="3" t="str">
        <f t="shared" si="5"/>
        <v/>
      </c>
      <c r="L209" s="3" t="str">
        <f t="shared" si="6"/>
        <v/>
      </c>
      <c r="M209" s="3" t="str">
        <f t="shared" si="7"/>
        <v/>
      </c>
    </row>
    <row r="210" ht="15.0" customHeight="1">
      <c r="A210" s="3" t="str">
        <f>IF(Equips_usuari!A210="","",Equips_usuari!A210)</f>
        <v/>
      </c>
      <c r="B210" s="3" t="str">
        <f>IF(Equips_usuari!B210="","",Equips_usuari!B210)</f>
        <v/>
      </c>
      <c r="C210" s="3" t="str">
        <f>IF(Equips_usuari!C210="","",Equips_usuari!C210)</f>
        <v/>
      </c>
      <c r="D210" s="3" t="str">
        <f>IF(Equips_usuari!D210="","",Equips_usuari!D210)</f>
        <v/>
      </c>
      <c r="E210" s="3" t="str">
        <f>IF(Equips_usuari!F210="","",Equips_usuari!F210)</f>
        <v/>
      </c>
      <c r="F210" s="3" t="str">
        <f>IF($C210="","",SUMIFS(Resultats_jugadores!$C:$C,Resultats_jugadores!$A:$A,$A210,Resultats_jugadores!$B:$B,$C210))</f>
        <v/>
      </c>
      <c r="G210" s="3" t="str">
        <f>IF($C210="","",SUMIFS(Resultats_jugadores!$D:$D,Resultats_jugadores!$A:$A,$A210,Resultats_jugadores!$B:$B,$C210))</f>
        <v/>
      </c>
      <c r="H210" s="3" t="str">
        <f t="shared" si="3"/>
        <v/>
      </c>
      <c r="I210" s="3" t="str">
        <f t="array" ref="I210">IF($C210="","",IFERROR(INDEX(Partits!$C:$C,MATCH($A210&amp;"_"&amp;$D210,Partits!$D:$D,0)),""))</f>
        <v/>
      </c>
      <c r="J210" s="3" t="str">
        <f t="shared" si="4"/>
        <v/>
      </c>
      <c r="K210" s="3" t="str">
        <f t="shared" si="5"/>
        <v/>
      </c>
      <c r="L210" s="3" t="str">
        <f t="shared" si="6"/>
        <v/>
      </c>
      <c r="M210" s="3" t="str">
        <f t="shared" si="7"/>
        <v/>
      </c>
    </row>
    <row r="211" ht="15.0" customHeight="1">
      <c r="A211" s="3" t="str">
        <f>IF(Equips_usuari!A211="","",Equips_usuari!A211)</f>
        <v/>
      </c>
      <c r="B211" s="3" t="str">
        <f>IF(Equips_usuari!B211="","",Equips_usuari!B211)</f>
        <v/>
      </c>
      <c r="C211" s="3" t="str">
        <f>IF(Equips_usuari!C211="","",Equips_usuari!C211)</f>
        <v/>
      </c>
      <c r="D211" s="3" t="str">
        <f>IF(Equips_usuari!D211="","",Equips_usuari!D211)</f>
        <v/>
      </c>
      <c r="E211" s="3" t="str">
        <f>IF(Equips_usuari!F211="","",Equips_usuari!F211)</f>
        <v/>
      </c>
      <c r="F211" s="3" t="str">
        <f>IF($C211="","",SUMIFS(Resultats_jugadores!$C:$C,Resultats_jugadores!$A:$A,$A211,Resultats_jugadores!$B:$B,$C211))</f>
        <v/>
      </c>
      <c r="G211" s="3" t="str">
        <f>IF($C211="","",SUMIFS(Resultats_jugadores!$D:$D,Resultats_jugadores!$A:$A,$A211,Resultats_jugadores!$B:$B,$C211))</f>
        <v/>
      </c>
      <c r="H211" s="3" t="str">
        <f t="shared" si="3"/>
        <v/>
      </c>
      <c r="I211" s="3" t="str">
        <f t="array" ref="I211">IF($C211="","",IFERROR(INDEX(Partits!$C:$C,MATCH($A211&amp;"_"&amp;$D211,Partits!$D:$D,0)),""))</f>
        <v/>
      </c>
      <c r="J211" s="3" t="str">
        <f t="shared" si="4"/>
        <v/>
      </c>
      <c r="K211" s="3" t="str">
        <f t="shared" si="5"/>
        <v/>
      </c>
      <c r="L211" s="3" t="str">
        <f t="shared" si="6"/>
        <v/>
      </c>
      <c r="M211" s="3" t="str">
        <f t="shared" si="7"/>
        <v/>
      </c>
    </row>
    <row r="212" ht="15.0" customHeight="1">
      <c r="A212" s="3" t="str">
        <f>IF(Equips_usuari!A212="","",Equips_usuari!A212)</f>
        <v/>
      </c>
      <c r="B212" s="3" t="str">
        <f>IF(Equips_usuari!B212="","",Equips_usuari!B212)</f>
        <v/>
      </c>
      <c r="C212" s="3" t="str">
        <f>IF(Equips_usuari!C212="","",Equips_usuari!C212)</f>
        <v/>
      </c>
      <c r="D212" s="3" t="str">
        <f>IF(Equips_usuari!D212="","",Equips_usuari!D212)</f>
        <v/>
      </c>
      <c r="E212" s="3" t="str">
        <f>IF(Equips_usuari!F212="","",Equips_usuari!F212)</f>
        <v/>
      </c>
      <c r="F212" s="3" t="str">
        <f>IF($C212="","",SUMIFS(Resultats_jugadores!$C:$C,Resultats_jugadores!$A:$A,$A212,Resultats_jugadores!$B:$B,$C212))</f>
        <v/>
      </c>
      <c r="G212" s="3" t="str">
        <f>IF($C212="","",SUMIFS(Resultats_jugadores!$D:$D,Resultats_jugadores!$A:$A,$A212,Resultats_jugadores!$B:$B,$C212))</f>
        <v/>
      </c>
      <c r="H212" s="3" t="str">
        <f t="shared" si="3"/>
        <v/>
      </c>
      <c r="I212" s="3" t="str">
        <f t="array" ref="I212">IF($C212="","",IFERROR(INDEX(Partits!$C:$C,MATCH($A212&amp;"_"&amp;$D212,Partits!$D:$D,0)),""))</f>
        <v/>
      </c>
      <c r="J212" s="3" t="str">
        <f t="shared" si="4"/>
        <v/>
      </c>
      <c r="K212" s="3" t="str">
        <f t="shared" si="5"/>
        <v/>
      </c>
      <c r="L212" s="3" t="str">
        <f t="shared" si="6"/>
        <v/>
      </c>
      <c r="M212" s="3" t="str">
        <f t="shared" si="7"/>
        <v/>
      </c>
    </row>
    <row r="213" ht="15.0" customHeight="1">
      <c r="A213" s="3" t="str">
        <f>IF(Equips_usuari!A213="","",Equips_usuari!A213)</f>
        <v/>
      </c>
      <c r="B213" s="3" t="str">
        <f>IF(Equips_usuari!B213="","",Equips_usuari!B213)</f>
        <v/>
      </c>
      <c r="C213" s="3" t="str">
        <f>IF(Equips_usuari!C213="","",Equips_usuari!C213)</f>
        <v/>
      </c>
      <c r="D213" s="3" t="str">
        <f>IF(Equips_usuari!D213="","",Equips_usuari!D213)</f>
        <v/>
      </c>
      <c r="E213" s="3" t="str">
        <f>IF(Equips_usuari!F213="","",Equips_usuari!F213)</f>
        <v/>
      </c>
      <c r="F213" s="3" t="str">
        <f>IF($C213="","",SUMIFS(Resultats_jugadores!$C:$C,Resultats_jugadores!$A:$A,$A213,Resultats_jugadores!$B:$B,$C213))</f>
        <v/>
      </c>
      <c r="G213" s="3" t="str">
        <f>IF($C213="","",SUMIFS(Resultats_jugadores!$D:$D,Resultats_jugadores!$A:$A,$A213,Resultats_jugadores!$B:$B,$C213))</f>
        <v/>
      </c>
      <c r="H213" s="3" t="str">
        <f t="shared" si="3"/>
        <v/>
      </c>
      <c r="I213" s="3" t="str">
        <f t="array" ref="I213">IF($C213="","",IFERROR(INDEX(Partits!$C:$C,MATCH($A213&amp;"_"&amp;$D213,Partits!$D:$D,0)),""))</f>
        <v/>
      </c>
      <c r="J213" s="3" t="str">
        <f t="shared" si="4"/>
        <v/>
      </c>
      <c r="K213" s="3" t="str">
        <f t="shared" si="5"/>
        <v/>
      </c>
      <c r="L213" s="3" t="str">
        <f t="shared" si="6"/>
        <v/>
      </c>
      <c r="M213" s="3" t="str">
        <f t="shared" si="7"/>
        <v/>
      </c>
    </row>
    <row r="214" ht="15.0" customHeight="1">
      <c r="A214" s="3" t="str">
        <f>IF(Equips_usuari!A214="","",Equips_usuari!A214)</f>
        <v/>
      </c>
      <c r="B214" s="3" t="str">
        <f>IF(Equips_usuari!B214="","",Equips_usuari!B214)</f>
        <v/>
      </c>
      <c r="C214" s="3" t="str">
        <f>IF(Equips_usuari!C214="","",Equips_usuari!C214)</f>
        <v/>
      </c>
      <c r="D214" s="3" t="str">
        <f>IF(Equips_usuari!D214="","",Equips_usuari!D214)</f>
        <v/>
      </c>
      <c r="E214" s="3" t="str">
        <f>IF(Equips_usuari!F214="","",Equips_usuari!F214)</f>
        <v/>
      </c>
      <c r="F214" s="3" t="str">
        <f>IF($C214="","",SUMIFS(Resultats_jugadores!$C:$C,Resultats_jugadores!$A:$A,$A214,Resultats_jugadores!$B:$B,$C214))</f>
        <v/>
      </c>
      <c r="G214" s="3" t="str">
        <f>IF($C214="","",SUMIFS(Resultats_jugadores!$D:$D,Resultats_jugadores!$A:$A,$A214,Resultats_jugadores!$B:$B,$C214))</f>
        <v/>
      </c>
      <c r="H214" s="3" t="str">
        <f t="shared" si="3"/>
        <v/>
      </c>
      <c r="I214" s="3" t="str">
        <f t="array" ref="I214">IF($C214="","",IFERROR(INDEX(Partits!$C:$C,MATCH($A214&amp;"_"&amp;$D214,Partits!$D:$D,0)),""))</f>
        <v/>
      </c>
      <c r="J214" s="3" t="str">
        <f t="shared" si="4"/>
        <v/>
      </c>
      <c r="K214" s="3" t="str">
        <f t="shared" si="5"/>
        <v/>
      </c>
      <c r="L214" s="3" t="str">
        <f t="shared" si="6"/>
        <v/>
      </c>
      <c r="M214" s="3" t="str">
        <f t="shared" si="7"/>
        <v/>
      </c>
    </row>
    <row r="215" ht="15.0" customHeight="1">
      <c r="A215" s="3" t="str">
        <f>IF(Equips_usuari!A215="","",Equips_usuari!A215)</f>
        <v/>
      </c>
      <c r="B215" s="3" t="str">
        <f>IF(Equips_usuari!B215="","",Equips_usuari!B215)</f>
        <v/>
      </c>
      <c r="C215" s="3" t="str">
        <f>IF(Equips_usuari!C215="","",Equips_usuari!C215)</f>
        <v/>
      </c>
      <c r="D215" s="3" t="str">
        <f>IF(Equips_usuari!D215="","",Equips_usuari!D215)</f>
        <v/>
      </c>
      <c r="E215" s="3" t="str">
        <f>IF(Equips_usuari!F215="","",Equips_usuari!F215)</f>
        <v/>
      </c>
      <c r="F215" s="3" t="str">
        <f>IF($C215="","",SUMIFS(Resultats_jugadores!$C:$C,Resultats_jugadores!$A:$A,$A215,Resultats_jugadores!$B:$B,$C215))</f>
        <v/>
      </c>
      <c r="G215" s="3" t="str">
        <f>IF($C215="","",SUMIFS(Resultats_jugadores!$D:$D,Resultats_jugadores!$A:$A,$A215,Resultats_jugadores!$B:$B,$C215))</f>
        <v/>
      </c>
      <c r="H215" s="3" t="str">
        <f t="shared" si="3"/>
        <v/>
      </c>
      <c r="I215" s="3" t="str">
        <f t="array" ref="I215">IF($C215="","",IFERROR(INDEX(Partits!$C:$C,MATCH($A215&amp;"_"&amp;$D215,Partits!$D:$D,0)),""))</f>
        <v/>
      </c>
      <c r="J215" s="3" t="str">
        <f t="shared" si="4"/>
        <v/>
      </c>
      <c r="K215" s="3" t="str">
        <f t="shared" si="5"/>
        <v/>
      </c>
      <c r="L215" s="3" t="str">
        <f t="shared" si="6"/>
        <v/>
      </c>
      <c r="M215" s="3" t="str">
        <f t="shared" si="7"/>
        <v/>
      </c>
    </row>
    <row r="216" ht="15.0" customHeight="1">
      <c r="A216" s="3" t="str">
        <f>IF(Equips_usuari!A216="","",Equips_usuari!A216)</f>
        <v/>
      </c>
      <c r="B216" s="3" t="str">
        <f>IF(Equips_usuari!B216="","",Equips_usuari!B216)</f>
        <v/>
      </c>
      <c r="C216" s="3" t="str">
        <f>IF(Equips_usuari!C216="","",Equips_usuari!C216)</f>
        <v/>
      </c>
      <c r="D216" s="3" t="str">
        <f>IF(Equips_usuari!D216="","",Equips_usuari!D216)</f>
        <v/>
      </c>
      <c r="E216" s="3" t="str">
        <f>IF(Equips_usuari!F216="","",Equips_usuari!F216)</f>
        <v/>
      </c>
      <c r="F216" s="3" t="str">
        <f>IF($C216="","",SUMIFS(Resultats_jugadores!$C:$C,Resultats_jugadores!$A:$A,$A216,Resultats_jugadores!$B:$B,$C216))</f>
        <v/>
      </c>
      <c r="G216" s="3" t="str">
        <f>IF($C216="","",SUMIFS(Resultats_jugadores!$D:$D,Resultats_jugadores!$A:$A,$A216,Resultats_jugadores!$B:$B,$C216))</f>
        <v/>
      </c>
      <c r="H216" s="3" t="str">
        <f t="shared" si="3"/>
        <v/>
      </c>
      <c r="I216" s="3" t="str">
        <f t="array" ref="I216">IF($C216="","",IFERROR(INDEX(Partits!$C:$C,MATCH($A216&amp;"_"&amp;$D216,Partits!$D:$D,0)),""))</f>
        <v/>
      </c>
      <c r="J216" s="3" t="str">
        <f t="shared" si="4"/>
        <v/>
      </c>
      <c r="K216" s="3" t="str">
        <f t="shared" si="5"/>
        <v/>
      </c>
      <c r="L216" s="3" t="str">
        <f t="shared" si="6"/>
        <v/>
      </c>
      <c r="M216" s="3" t="str">
        <f t="shared" si="7"/>
        <v/>
      </c>
    </row>
    <row r="217" ht="15.0" customHeight="1">
      <c r="A217" s="3" t="str">
        <f>IF(Equips_usuari!A217="","",Equips_usuari!A217)</f>
        <v/>
      </c>
      <c r="B217" s="3" t="str">
        <f>IF(Equips_usuari!B217="","",Equips_usuari!B217)</f>
        <v/>
      </c>
      <c r="C217" s="3" t="str">
        <f>IF(Equips_usuari!C217="","",Equips_usuari!C217)</f>
        <v/>
      </c>
      <c r="D217" s="3" t="str">
        <f>IF(Equips_usuari!D217="","",Equips_usuari!D217)</f>
        <v/>
      </c>
      <c r="E217" s="3" t="str">
        <f>IF(Equips_usuari!F217="","",Equips_usuari!F217)</f>
        <v/>
      </c>
      <c r="F217" s="3" t="str">
        <f>IF($C217="","",SUMIFS(Resultats_jugadores!$C:$C,Resultats_jugadores!$A:$A,$A217,Resultats_jugadores!$B:$B,$C217))</f>
        <v/>
      </c>
      <c r="G217" s="3" t="str">
        <f>IF($C217="","",SUMIFS(Resultats_jugadores!$D:$D,Resultats_jugadores!$A:$A,$A217,Resultats_jugadores!$B:$B,$C217))</f>
        <v/>
      </c>
      <c r="H217" s="3" t="str">
        <f t="shared" si="3"/>
        <v/>
      </c>
      <c r="I217" s="3" t="str">
        <f t="array" ref="I217">IF($C217="","",IFERROR(INDEX(Partits!$C:$C,MATCH($A217&amp;"_"&amp;$D217,Partits!$D:$D,0)),""))</f>
        <v/>
      </c>
      <c r="J217" s="3" t="str">
        <f t="shared" si="4"/>
        <v/>
      </c>
      <c r="K217" s="3" t="str">
        <f t="shared" si="5"/>
        <v/>
      </c>
      <c r="L217" s="3" t="str">
        <f t="shared" si="6"/>
        <v/>
      </c>
      <c r="M217" s="3" t="str">
        <f t="shared" si="7"/>
        <v/>
      </c>
    </row>
    <row r="218" ht="15.0" customHeight="1">
      <c r="A218" s="3" t="str">
        <f>IF(Equips_usuari!A218="","",Equips_usuari!A218)</f>
        <v/>
      </c>
      <c r="B218" s="3" t="str">
        <f>IF(Equips_usuari!B218="","",Equips_usuari!B218)</f>
        <v/>
      </c>
      <c r="C218" s="3" t="str">
        <f>IF(Equips_usuari!C218="","",Equips_usuari!C218)</f>
        <v/>
      </c>
      <c r="D218" s="3" t="str">
        <f>IF(Equips_usuari!D218="","",Equips_usuari!D218)</f>
        <v/>
      </c>
      <c r="E218" s="3" t="str">
        <f>IF(Equips_usuari!F218="","",Equips_usuari!F218)</f>
        <v/>
      </c>
      <c r="F218" s="3" t="str">
        <f>IF($C218="","",SUMIFS(Resultats_jugadores!$C:$C,Resultats_jugadores!$A:$A,$A218,Resultats_jugadores!$B:$B,$C218))</f>
        <v/>
      </c>
      <c r="G218" s="3" t="str">
        <f>IF($C218="","",SUMIFS(Resultats_jugadores!$D:$D,Resultats_jugadores!$A:$A,$A218,Resultats_jugadores!$B:$B,$C218))</f>
        <v/>
      </c>
      <c r="H218" s="3" t="str">
        <f t="shared" si="3"/>
        <v/>
      </c>
      <c r="I218" s="3" t="str">
        <f t="array" ref="I218">IF($C218="","",IFERROR(INDEX(Partits!$C:$C,MATCH($A218&amp;"_"&amp;$D218,Partits!$D:$D,0)),""))</f>
        <v/>
      </c>
      <c r="J218" s="3" t="str">
        <f t="shared" si="4"/>
        <v/>
      </c>
      <c r="K218" s="3" t="str">
        <f t="shared" si="5"/>
        <v/>
      </c>
      <c r="L218" s="3" t="str">
        <f t="shared" si="6"/>
        <v/>
      </c>
      <c r="M218" s="3" t="str">
        <f t="shared" si="7"/>
        <v/>
      </c>
    </row>
    <row r="219" ht="15.0" customHeight="1">
      <c r="A219" s="3" t="str">
        <f>IF(Equips_usuari!A219="","",Equips_usuari!A219)</f>
        <v/>
      </c>
      <c r="B219" s="3" t="str">
        <f>IF(Equips_usuari!B219="","",Equips_usuari!B219)</f>
        <v/>
      </c>
      <c r="C219" s="3" t="str">
        <f>IF(Equips_usuari!C219="","",Equips_usuari!C219)</f>
        <v/>
      </c>
      <c r="D219" s="3" t="str">
        <f>IF(Equips_usuari!D219="","",Equips_usuari!D219)</f>
        <v/>
      </c>
      <c r="E219" s="3" t="str">
        <f>IF(Equips_usuari!F219="","",Equips_usuari!F219)</f>
        <v/>
      </c>
      <c r="F219" s="3" t="str">
        <f>IF($C219="","",SUMIFS(Resultats_jugadores!$C:$C,Resultats_jugadores!$A:$A,$A219,Resultats_jugadores!$B:$B,$C219))</f>
        <v/>
      </c>
      <c r="G219" s="3" t="str">
        <f>IF($C219="","",SUMIFS(Resultats_jugadores!$D:$D,Resultats_jugadores!$A:$A,$A219,Resultats_jugadores!$B:$B,$C219))</f>
        <v/>
      </c>
      <c r="H219" s="3" t="str">
        <f t="shared" si="3"/>
        <v/>
      </c>
      <c r="I219" s="3" t="str">
        <f t="array" ref="I219">IF($C219="","",IFERROR(INDEX(Partits!$C:$C,MATCH($A219&amp;"_"&amp;$D219,Partits!$D:$D,0)),""))</f>
        <v/>
      </c>
      <c r="J219" s="3" t="str">
        <f t="shared" si="4"/>
        <v/>
      </c>
      <c r="K219" s="3" t="str">
        <f t="shared" si="5"/>
        <v/>
      </c>
      <c r="L219" s="3" t="str">
        <f t="shared" si="6"/>
        <v/>
      </c>
      <c r="M219" s="3" t="str">
        <f t="shared" si="7"/>
        <v/>
      </c>
    </row>
    <row r="220" ht="15.0" customHeight="1">
      <c r="A220" s="3" t="str">
        <f>IF(Equips_usuari!A220="","",Equips_usuari!A220)</f>
        <v/>
      </c>
      <c r="B220" s="3" t="str">
        <f>IF(Equips_usuari!B220="","",Equips_usuari!B220)</f>
        <v/>
      </c>
      <c r="C220" s="3" t="str">
        <f>IF(Equips_usuari!C220="","",Equips_usuari!C220)</f>
        <v/>
      </c>
      <c r="D220" s="3" t="str">
        <f>IF(Equips_usuari!D220="","",Equips_usuari!D220)</f>
        <v/>
      </c>
      <c r="E220" s="3" t="str">
        <f>IF(Equips_usuari!F220="","",Equips_usuari!F220)</f>
        <v/>
      </c>
      <c r="F220" s="3" t="str">
        <f>IF($C220="","",SUMIFS(Resultats_jugadores!$C:$C,Resultats_jugadores!$A:$A,$A220,Resultats_jugadores!$B:$B,$C220))</f>
        <v/>
      </c>
      <c r="G220" s="3" t="str">
        <f>IF($C220="","",SUMIFS(Resultats_jugadores!$D:$D,Resultats_jugadores!$A:$A,$A220,Resultats_jugadores!$B:$B,$C220))</f>
        <v/>
      </c>
      <c r="H220" s="3" t="str">
        <f t="shared" si="3"/>
        <v/>
      </c>
      <c r="I220" s="3" t="str">
        <f t="array" ref="I220">IF($C220="","",IFERROR(INDEX(Partits!$C:$C,MATCH($A220&amp;"_"&amp;$D220,Partits!$D:$D,0)),""))</f>
        <v/>
      </c>
      <c r="J220" s="3" t="str">
        <f t="shared" si="4"/>
        <v/>
      </c>
      <c r="K220" s="3" t="str">
        <f t="shared" si="5"/>
        <v/>
      </c>
      <c r="L220" s="3" t="str">
        <f t="shared" si="6"/>
        <v/>
      </c>
      <c r="M220" s="3" t="str">
        <f t="shared" si="7"/>
        <v/>
      </c>
    </row>
    <row r="221" ht="15.0" customHeight="1">
      <c r="A221" s="3" t="str">
        <f>IF(Equips_usuari!A221="","",Equips_usuari!A221)</f>
        <v/>
      </c>
      <c r="B221" s="3" t="str">
        <f>IF(Equips_usuari!B221="","",Equips_usuari!B221)</f>
        <v/>
      </c>
      <c r="C221" s="3" t="str">
        <f>IF(Equips_usuari!C221="","",Equips_usuari!C221)</f>
        <v/>
      </c>
      <c r="D221" s="3" t="str">
        <f>IF(Equips_usuari!D221="","",Equips_usuari!D221)</f>
        <v/>
      </c>
      <c r="E221" s="3" t="str">
        <f>IF(Equips_usuari!F221="","",Equips_usuari!F221)</f>
        <v/>
      </c>
      <c r="F221" s="3" t="str">
        <f>IF($C221="","",SUMIFS(Resultats_jugadores!$C:$C,Resultats_jugadores!$A:$A,$A221,Resultats_jugadores!$B:$B,$C221))</f>
        <v/>
      </c>
      <c r="G221" s="3" t="str">
        <f>IF($C221="","",SUMIFS(Resultats_jugadores!$D:$D,Resultats_jugadores!$A:$A,$A221,Resultats_jugadores!$B:$B,$C221))</f>
        <v/>
      </c>
      <c r="H221" s="3" t="str">
        <f t="shared" si="3"/>
        <v/>
      </c>
      <c r="I221" s="3" t="str">
        <f t="array" ref="I221">IF($C221="","",IFERROR(INDEX(Partits!$C:$C,MATCH($A221&amp;"_"&amp;$D221,Partits!$D:$D,0)),""))</f>
        <v/>
      </c>
      <c r="J221" s="3" t="str">
        <f t="shared" si="4"/>
        <v/>
      </c>
      <c r="K221" s="3" t="str">
        <f t="shared" si="5"/>
        <v/>
      </c>
      <c r="L221" s="3" t="str">
        <f t="shared" si="6"/>
        <v/>
      </c>
      <c r="M221" s="3" t="str">
        <f t="shared" si="7"/>
        <v/>
      </c>
    </row>
    <row r="222" ht="15.0" customHeight="1">
      <c r="A222" s="3" t="str">
        <f>IF(Equips_usuari!A222="","",Equips_usuari!A222)</f>
        <v/>
      </c>
      <c r="B222" s="3" t="str">
        <f>IF(Equips_usuari!B222="","",Equips_usuari!B222)</f>
        <v/>
      </c>
      <c r="C222" s="3" t="str">
        <f>IF(Equips_usuari!C222="","",Equips_usuari!C222)</f>
        <v/>
      </c>
      <c r="D222" s="3" t="str">
        <f>IF(Equips_usuari!D222="","",Equips_usuari!D222)</f>
        <v/>
      </c>
      <c r="E222" s="3" t="str">
        <f>IF(Equips_usuari!F222="","",Equips_usuari!F222)</f>
        <v/>
      </c>
      <c r="F222" s="3" t="str">
        <f>IF($C222="","",SUMIFS(Resultats_jugadores!$C:$C,Resultats_jugadores!$A:$A,$A222,Resultats_jugadores!$B:$B,$C222))</f>
        <v/>
      </c>
      <c r="G222" s="3" t="str">
        <f>IF($C222="","",SUMIFS(Resultats_jugadores!$D:$D,Resultats_jugadores!$A:$A,$A222,Resultats_jugadores!$B:$B,$C222))</f>
        <v/>
      </c>
      <c r="H222" s="3" t="str">
        <f t="shared" si="3"/>
        <v/>
      </c>
      <c r="I222" s="3" t="str">
        <f t="array" ref="I222">IF($C222="","",IFERROR(INDEX(Partits!$C:$C,MATCH($A222&amp;"_"&amp;$D222,Partits!$D:$D,0)),""))</f>
        <v/>
      </c>
      <c r="J222" s="3" t="str">
        <f t="shared" si="4"/>
        <v/>
      </c>
      <c r="K222" s="3" t="str">
        <f t="shared" si="5"/>
        <v/>
      </c>
      <c r="L222" s="3" t="str">
        <f t="shared" si="6"/>
        <v/>
      </c>
      <c r="M222" s="3" t="str">
        <f t="shared" si="7"/>
        <v/>
      </c>
    </row>
    <row r="223" ht="15.0" customHeight="1">
      <c r="A223" s="3" t="str">
        <f>IF(Equips_usuari!A223="","",Equips_usuari!A223)</f>
        <v/>
      </c>
      <c r="B223" s="3" t="str">
        <f>IF(Equips_usuari!B223="","",Equips_usuari!B223)</f>
        <v/>
      </c>
      <c r="C223" s="3" t="str">
        <f>IF(Equips_usuari!C223="","",Equips_usuari!C223)</f>
        <v/>
      </c>
      <c r="D223" s="3" t="str">
        <f>IF(Equips_usuari!D223="","",Equips_usuari!D223)</f>
        <v/>
      </c>
      <c r="E223" s="3" t="str">
        <f>IF(Equips_usuari!F223="","",Equips_usuari!F223)</f>
        <v/>
      </c>
      <c r="F223" s="3" t="str">
        <f>IF($C223="","",SUMIFS(Resultats_jugadores!$C:$C,Resultats_jugadores!$A:$A,$A223,Resultats_jugadores!$B:$B,$C223))</f>
        <v/>
      </c>
      <c r="G223" s="3" t="str">
        <f>IF($C223="","",SUMIFS(Resultats_jugadores!$D:$D,Resultats_jugadores!$A:$A,$A223,Resultats_jugadores!$B:$B,$C223))</f>
        <v/>
      </c>
      <c r="H223" s="3" t="str">
        <f t="shared" si="3"/>
        <v/>
      </c>
      <c r="I223" s="3" t="str">
        <f t="array" ref="I223">IF($C223="","",IFERROR(INDEX(Partits!$C:$C,MATCH($A223&amp;"_"&amp;$D223,Partits!$D:$D,0)),""))</f>
        <v/>
      </c>
      <c r="J223" s="3" t="str">
        <f t="shared" si="4"/>
        <v/>
      </c>
      <c r="K223" s="3" t="str">
        <f t="shared" si="5"/>
        <v/>
      </c>
      <c r="L223" s="3" t="str">
        <f t="shared" si="6"/>
        <v/>
      </c>
      <c r="M223" s="3" t="str">
        <f t="shared" si="7"/>
        <v/>
      </c>
    </row>
    <row r="224" ht="15.0" customHeight="1">
      <c r="A224" s="3" t="str">
        <f>IF(Equips_usuari!A224="","",Equips_usuari!A224)</f>
        <v/>
      </c>
      <c r="B224" s="3" t="str">
        <f>IF(Equips_usuari!B224="","",Equips_usuari!B224)</f>
        <v/>
      </c>
      <c r="C224" s="3" t="str">
        <f>IF(Equips_usuari!C224="","",Equips_usuari!C224)</f>
        <v/>
      </c>
      <c r="D224" s="3" t="str">
        <f>IF(Equips_usuari!D224="","",Equips_usuari!D224)</f>
        <v/>
      </c>
      <c r="E224" s="3" t="str">
        <f>IF(Equips_usuari!F224="","",Equips_usuari!F224)</f>
        <v/>
      </c>
      <c r="F224" s="3" t="str">
        <f>IF($C224="","",SUMIFS(Resultats_jugadores!$C:$C,Resultats_jugadores!$A:$A,$A224,Resultats_jugadores!$B:$B,$C224))</f>
        <v/>
      </c>
      <c r="G224" s="3" t="str">
        <f>IF($C224="","",SUMIFS(Resultats_jugadores!$D:$D,Resultats_jugadores!$A:$A,$A224,Resultats_jugadores!$B:$B,$C224))</f>
        <v/>
      </c>
      <c r="H224" s="3" t="str">
        <f t="shared" si="3"/>
        <v/>
      </c>
      <c r="I224" s="3" t="str">
        <f t="array" ref="I224">IF($C224="","",IFERROR(INDEX(Partits!$C:$C,MATCH($A224&amp;"_"&amp;$D224,Partits!$D:$D,0)),""))</f>
        <v/>
      </c>
      <c r="J224" s="3" t="str">
        <f t="shared" si="4"/>
        <v/>
      </c>
      <c r="K224" s="3" t="str">
        <f t="shared" si="5"/>
        <v/>
      </c>
      <c r="L224" s="3" t="str">
        <f t="shared" si="6"/>
        <v/>
      </c>
      <c r="M224" s="3" t="str">
        <f t="shared" si="7"/>
        <v/>
      </c>
    </row>
    <row r="225" ht="15.0" customHeight="1">
      <c r="A225" s="3" t="str">
        <f>IF(Equips_usuari!A225="","",Equips_usuari!A225)</f>
        <v/>
      </c>
      <c r="B225" s="3" t="str">
        <f>IF(Equips_usuari!B225="","",Equips_usuari!B225)</f>
        <v/>
      </c>
      <c r="C225" s="3" t="str">
        <f>IF(Equips_usuari!C225="","",Equips_usuari!C225)</f>
        <v/>
      </c>
      <c r="D225" s="3" t="str">
        <f>IF(Equips_usuari!D225="","",Equips_usuari!D225)</f>
        <v/>
      </c>
      <c r="E225" s="3" t="str">
        <f>IF(Equips_usuari!F225="","",Equips_usuari!F225)</f>
        <v/>
      </c>
      <c r="F225" s="3" t="str">
        <f>IF($C225="","",SUMIFS(Resultats_jugadores!$C:$C,Resultats_jugadores!$A:$A,$A225,Resultats_jugadores!$B:$B,$C225))</f>
        <v/>
      </c>
      <c r="G225" s="3" t="str">
        <f>IF($C225="","",SUMIFS(Resultats_jugadores!$D:$D,Resultats_jugadores!$A:$A,$A225,Resultats_jugadores!$B:$B,$C225))</f>
        <v/>
      </c>
      <c r="H225" s="3" t="str">
        <f t="shared" si="3"/>
        <v/>
      </c>
      <c r="I225" s="3" t="str">
        <f t="array" ref="I225">IF($C225="","",IFERROR(INDEX(Partits!$C:$C,MATCH($A225&amp;"_"&amp;$D225,Partits!$D:$D,0)),""))</f>
        <v/>
      </c>
      <c r="J225" s="3" t="str">
        <f t="shared" si="4"/>
        <v/>
      </c>
      <c r="K225" s="3" t="str">
        <f t="shared" si="5"/>
        <v/>
      </c>
      <c r="L225" s="3" t="str">
        <f t="shared" si="6"/>
        <v/>
      </c>
      <c r="M225" s="3" t="str">
        <f t="shared" si="7"/>
        <v/>
      </c>
    </row>
    <row r="226" ht="15.0" customHeight="1">
      <c r="A226" s="3" t="str">
        <f>IF(Equips_usuari!A226="","",Equips_usuari!A226)</f>
        <v/>
      </c>
      <c r="B226" s="3" t="str">
        <f>IF(Equips_usuari!B226="","",Equips_usuari!B226)</f>
        <v/>
      </c>
      <c r="C226" s="3" t="str">
        <f>IF(Equips_usuari!C226="","",Equips_usuari!C226)</f>
        <v/>
      </c>
      <c r="D226" s="3" t="str">
        <f>IF(Equips_usuari!D226="","",Equips_usuari!D226)</f>
        <v/>
      </c>
      <c r="E226" s="3" t="str">
        <f>IF(Equips_usuari!F226="","",Equips_usuari!F226)</f>
        <v/>
      </c>
      <c r="F226" s="3" t="str">
        <f>IF($C226="","",SUMIFS(Resultats_jugadores!$C:$C,Resultats_jugadores!$A:$A,$A226,Resultats_jugadores!$B:$B,$C226))</f>
        <v/>
      </c>
      <c r="G226" s="3" t="str">
        <f>IF($C226="","",SUMIFS(Resultats_jugadores!$D:$D,Resultats_jugadores!$A:$A,$A226,Resultats_jugadores!$B:$B,$C226))</f>
        <v/>
      </c>
      <c r="H226" s="3" t="str">
        <f t="shared" si="3"/>
        <v/>
      </c>
      <c r="I226" s="3" t="str">
        <f t="array" ref="I226">IF($C226="","",IFERROR(INDEX(Partits!$C:$C,MATCH($A226&amp;"_"&amp;$D226,Partits!$D:$D,0)),""))</f>
        <v/>
      </c>
      <c r="J226" s="3" t="str">
        <f t="shared" si="4"/>
        <v/>
      </c>
      <c r="K226" s="3" t="str">
        <f t="shared" si="5"/>
        <v/>
      </c>
      <c r="L226" s="3" t="str">
        <f t="shared" si="6"/>
        <v/>
      </c>
      <c r="M226" s="3" t="str">
        <f t="shared" si="7"/>
        <v/>
      </c>
    </row>
    <row r="227" ht="15.0" customHeight="1">
      <c r="A227" s="3" t="str">
        <f>IF(Equips_usuari!A227="","",Equips_usuari!A227)</f>
        <v/>
      </c>
      <c r="B227" s="3" t="str">
        <f>IF(Equips_usuari!B227="","",Equips_usuari!B227)</f>
        <v/>
      </c>
      <c r="C227" s="3" t="str">
        <f>IF(Equips_usuari!C227="","",Equips_usuari!C227)</f>
        <v/>
      </c>
      <c r="D227" s="3" t="str">
        <f>IF(Equips_usuari!D227="","",Equips_usuari!D227)</f>
        <v/>
      </c>
      <c r="E227" s="3" t="str">
        <f>IF(Equips_usuari!F227="","",Equips_usuari!F227)</f>
        <v/>
      </c>
      <c r="F227" s="3" t="str">
        <f>IF($C227="","",SUMIFS(Resultats_jugadores!$C:$C,Resultats_jugadores!$A:$A,$A227,Resultats_jugadores!$B:$B,$C227))</f>
        <v/>
      </c>
      <c r="G227" s="3" t="str">
        <f>IF($C227="","",SUMIFS(Resultats_jugadores!$D:$D,Resultats_jugadores!$A:$A,$A227,Resultats_jugadores!$B:$B,$C227))</f>
        <v/>
      </c>
      <c r="H227" s="3" t="str">
        <f t="shared" si="3"/>
        <v/>
      </c>
      <c r="I227" s="3" t="str">
        <f t="array" ref="I227">IF($C227="","",IFERROR(INDEX(Partits!$C:$C,MATCH($A227&amp;"_"&amp;$D227,Partits!$D:$D,0)),""))</f>
        <v/>
      </c>
      <c r="J227" s="3" t="str">
        <f t="shared" si="4"/>
        <v/>
      </c>
      <c r="K227" s="3" t="str">
        <f t="shared" si="5"/>
        <v/>
      </c>
      <c r="L227" s="3" t="str">
        <f t="shared" si="6"/>
        <v/>
      </c>
      <c r="M227" s="3" t="str">
        <f t="shared" si="7"/>
        <v/>
      </c>
    </row>
    <row r="228" ht="15.0" customHeight="1">
      <c r="A228" s="3" t="str">
        <f>IF(Equips_usuari!A228="","",Equips_usuari!A228)</f>
        <v/>
      </c>
      <c r="B228" s="3" t="str">
        <f>IF(Equips_usuari!B228="","",Equips_usuari!B228)</f>
        <v/>
      </c>
      <c r="C228" s="3" t="str">
        <f>IF(Equips_usuari!C228="","",Equips_usuari!C228)</f>
        <v/>
      </c>
      <c r="D228" s="3" t="str">
        <f>IF(Equips_usuari!D228="","",Equips_usuari!D228)</f>
        <v/>
      </c>
      <c r="E228" s="3" t="str">
        <f>IF(Equips_usuari!F228="","",Equips_usuari!F228)</f>
        <v/>
      </c>
      <c r="F228" s="3" t="str">
        <f>IF($C228="","",SUMIFS(Resultats_jugadores!$C:$C,Resultats_jugadores!$A:$A,$A228,Resultats_jugadores!$B:$B,$C228))</f>
        <v/>
      </c>
      <c r="G228" s="3" t="str">
        <f>IF($C228="","",SUMIFS(Resultats_jugadores!$D:$D,Resultats_jugadores!$A:$A,$A228,Resultats_jugadores!$B:$B,$C228))</f>
        <v/>
      </c>
      <c r="H228" s="3" t="str">
        <f t="shared" si="3"/>
        <v/>
      </c>
      <c r="I228" s="3" t="str">
        <f t="array" ref="I228">IF($C228="","",IFERROR(INDEX(Partits!$C:$C,MATCH($A228&amp;"_"&amp;$D228,Partits!$D:$D,0)),""))</f>
        <v/>
      </c>
      <c r="J228" s="3" t="str">
        <f t="shared" si="4"/>
        <v/>
      </c>
      <c r="K228" s="3" t="str">
        <f t="shared" si="5"/>
        <v/>
      </c>
      <c r="L228" s="3" t="str">
        <f t="shared" si="6"/>
        <v/>
      </c>
      <c r="M228" s="3" t="str">
        <f t="shared" si="7"/>
        <v/>
      </c>
    </row>
    <row r="229" ht="15.0" customHeight="1">
      <c r="A229" s="3" t="str">
        <f>IF(Equips_usuari!A229="","",Equips_usuari!A229)</f>
        <v/>
      </c>
      <c r="B229" s="3" t="str">
        <f>IF(Equips_usuari!B229="","",Equips_usuari!B229)</f>
        <v/>
      </c>
      <c r="C229" s="3" t="str">
        <f>IF(Equips_usuari!C229="","",Equips_usuari!C229)</f>
        <v/>
      </c>
      <c r="D229" s="3" t="str">
        <f>IF(Equips_usuari!D229="","",Equips_usuari!D229)</f>
        <v/>
      </c>
      <c r="E229" s="3" t="str">
        <f>IF(Equips_usuari!F229="","",Equips_usuari!F229)</f>
        <v/>
      </c>
      <c r="F229" s="3" t="str">
        <f>IF($C229="","",SUMIFS(Resultats_jugadores!$C:$C,Resultats_jugadores!$A:$A,$A229,Resultats_jugadores!$B:$B,$C229))</f>
        <v/>
      </c>
      <c r="G229" s="3" t="str">
        <f>IF($C229="","",SUMIFS(Resultats_jugadores!$D:$D,Resultats_jugadores!$A:$A,$A229,Resultats_jugadores!$B:$B,$C229))</f>
        <v/>
      </c>
      <c r="H229" s="3" t="str">
        <f t="shared" si="3"/>
        <v/>
      </c>
      <c r="I229" s="3" t="str">
        <f t="array" ref="I229">IF($C229="","",IFERROR(INDEX(Partits!$C:$C,MATCH($A229&amp;"_"&amp;$D229,Partits!$D:$D,0)),""))</f>
        <v/>
      </c>
      <c r="J229" s="3" t="str">
        <f t="shared" si="4"/>
        <v/>
      </c>
      <c r="K229" s="3" t="str">
        <f t="shared" si="5"/>
        <v/>
      </c>
      <c r="L229" s="3" t="str">
        <f t="shared" si="6"/>
        <v/>
      </c>
      <c r="M229" s="3" t="str">
        <f t="shared" si="7"/>
        <v/>
      </c>
    </row>
    <row r="230" ht="15.0" customHeight="1">
      <c r="A230" s="3" t="str">
        <f>IF(Equips_usuari!A230="","",Equips_usuari!A230)</f>
        <v/>
      </c>
      <c r="B230" s="3" t="str">
        <f>IF(Equips_usuari!B230="","",Equips_usuari!B230)</f>
        <v/>
      </c>
      <c r="C230" s="3" t="str">
        <f>IF(Equips_usuari!C230="","",Equips_usuari!C230)</f>
        <v/>
      </c>
      <c r="D230" s="3" t="str">
        <f>IF(Equips_usuari!D230="","",Equips_usuari!D230)</f>
        <v/>
      </c>
      <c r="E230" s="3" t="str">
        <f>IF(Equips_usuari!F230="","",Equips_usuari!F230)</f>
        <v/>
      </c>
      <c r="F230" s="3" t="str">
        <f>IF($C230="","",SUMIFS(Resultats_jugadores!$C:$C,Resultats_jugadores!$A:$A,$A230,Resultats_jugadores!$B:$B,$C230))</f>
        <v/>
      </c>
      <c r="G230" s="3" t="str">
        <f>IF($C230="","",SUMIFS(Resultats_jugadores!$D:$D,Resultats_jugadores!$A:$A,$A230,Resultats_jugadores!$B:$B,$C230))</f>
        <v/>
      </c>
      <c r="H230" s="3" t="str">
        <f t="shared" si="3"/>
        <v/>
      </c>
      <c r="I230" s="3" t="str">
        <f t="array" ref="I230">IF($C230="","",IFERROR(INDEX(Partits!$C:$C,MATCH($A230&amp;"_"&amp;$D230,Partits!$D:$D,0)),""))</f>
        <v/>
      </c>
      <c r="J230" s="3" t="str">
        <f t="shared" si="4"/>
        <v/>
      </c>
      <c r="K230" s="3" t="str">
        <f t="shared" si="5"/>
        <v/>
      </c>
      <c r="L230" s="3" t="str">
        <f t="shared" si="6"/>
        <v/>
      </c>
      <c r="M230" s="3" t="str">
        <f t="shared" si="7"/>
        <v/>
      </c>
    </row>
    <row r="231" ht="15.0" customHeight="1">
      <c r="A231" s="3" t="str">
        <f>IF(Equips_usuari!A231="","",Equips_usuari!A231)</f>
        <v/>
      </c>
      <c r="B231" s="3" t="str">
        <f>IF(Equips_usuari!B231="","",Equips_usuari!B231)</f>
        <v/>
      </c>
      <c r="C231" s="3" t="str">
        <f>IF(Equips_usuari!C231="","",Equips_usuari!C231)</f>
        <v/>
      </c>
      <c r="D231" s="3" t="str">
        <f>IF(Equips_usuari!D231="","",Equips_usuari!D231)</f>
        <v/>
      </c>
      <c r="E231" s="3" t="str">
        <f>IF(Equips_usuari!F231="","",Equips_usuari!F231)</f>
        <v/>
      </c>
      <c r="F231" s="3" t="str">
        <f>IF($C231="","",SUMIFS(Resultats_jugadores!$C:$C,Resultats_jugadores!$A:$A,$A231,Resultats_jugadores!$B:$B,$C231))</f>
        <v/>
      </c>
      <c r="G231" s="3" t="str">
        <f>IF($C231="","",SUMIFS(Resultats_jugadores!$D:$D,Resultats_jugadores!$A:$A,$A231,Resultats_jugadores!$B:$B,$C231))</f>
        <v/>
      </c>
      <c r="H231" s="3" t="str">
        <f t="shared" si="3"/>
        <v/>
      </c>
      <c r="I231" s="3" t="str">
        <f t="array" ref="I231">IF($C231="","",IFERROR(INDEX(Partits!$C:$C,MATCH($A231&amp;"_"&amp;$D231,Partits!$D:$D,0)),""))</f>
        <v/>
      </c>
      <c r="J231" s="3" t="str">
        <f t="shared" si="4"/>
        <v/>
      </c>
      <c r="K231" s="3" t="str">
        <f t="shared" si="5"/>
        <v/>
      </c>
      <c r="L231" s="3" t="str">
        <f t="shared" si="6"/>
        <v/>
      </c>
      <c r="M231" s="3" t="str">
        <f t="shared" si="7"/>
        <v/>
      </c>
    </row>
    <row r="232" ht="15.0" customHeight="1">
      <c r="A232" s="3" t="str">
        <f>IF(Equips_usuari!A232="","",Equips_usuari!A232)</f>
        <v/>
      </c>
      <c r="B232" s="3" t="str">
        <f>IF(Equips_usuari!B232="","",Equips_usuari!B232)</f>
        <v/>
      </c>
      <c r="C232" s="3" t="str">
        <f>IF(Equips_usuari!C232="","",Equips_usuari!C232)</f>
        <v/>
      </c>
      <c r="D232" s="3" t="str">
        <f>IF(Equips_usuari!D232="","",Equips_usuari!D232)</f>
        <v/>
      </c>
      <c r="E232" s="3" t="str">
        <f>IF(Equips_usuari!F232="","",Equips_usuari!F232)</f>
        <v/>
      </c>
      <c r="F232" s="3" t="str">
        <f>IF($C232="","",SUMIFS(Resultats_jugadores!$C:$C,Resultats_jugadores!$A:$A,$A232,Resultats_jugadores!$B:$B,$C232))</f>
        <v/>
      </c>
      <c r="G232" s="3" t="str">
        <f>IF($C232="","",SUMIFS(Resultats_jugadores!$D:$D,Resultats_jugadores!$A:$A,$A232,Resultats_jugadores!$B:$B,$C232))</f>
        <v/>
      </c>
      <c r="H232" s="3" t="str">
        <f t="shared" si="3"/>
        <v/>
      </c>
      <c r="I232" s="3" t="str">
        <f t="array" ref="I232">IF($C232="","",IFERROR(INDEX(Partits!$C:$C,MATCH($A232&amp;"_"&amp;$D232,Partits!$D:$D,0)),""))</f>
        <v/>
      </c>
      <c r="J232" s="3" t="str">
        <f t="shared" si="4"/>
        <v/>
      </c>
      <c r="K232" s="3" t="str">
        <f t="shared" si="5"/>
        <v/>
      </c>
      <c r="L232" s="3" t="str">
        <f t="shared" si="6"/>
        <v/>
      </c>
      <c r="M232" s="3" t="str">
        <f t="shared" si="7"/>
        <v/>
      </c>
    </row>
    <row r="233" ht="15.0" customHeight="1">
      <c r="A233" s="3" t="str">
        <f>IF(Equips_usuari!A233="","",Equips_usuari!A233)</f>
        <v/>
      </c>
      <c r="B233" s="3" t="str">
        <f>IF(Equips_usuari!B233="","",Equips_usuari!B233)</f>
        <v/>
      </c>
      <c r="C233" s="3" t="str">
        <f>IF(Equips_usuari!C233="","",Equips_usuari!C233)</f>
        <v/>
      </c>
      <c r="D233" s="3" t="str">
        <f>IF(Equips_usuari!D233="","",Equips_usuari!D233)</f>
        <v/>
      </c>
      <c r="E233" s="3" t="str">
        <f>IF(Equips_usuari!F233="","",Equips_usuari!F233)</f>
        <v/>
      </c>
      <c r="F233" s="3" t="str">
        <f>IF($C233="","",SUMIFS(Resultats_jugadores!$C:$C,Resultats_jugadores!$A:$A,$A233,Resultats_jugadores!$B:$B,$C233))</f>
        <v/>
      </c>
      <c r="G233" s="3" t="str">
        <f>IF($C233="","",SUMIFS(Resultats_jugadores!$D:$D,Resultats_jugadores!$A:$A,$A233,Resultats_jugadores!$B:$B,$C233))</f>
        <v/>
      </c>
      <c r="H233" s="3" t="str">
        <f t="shared" si="3"/>
        <v/>
      </c>
      <c r="I233" s="3" t="str">
        <f t="array" ref="I233">IF($C233="","",IFERROR(INDEX(Partits!$C:$C,MATCH($A233&amp;"_"&amp;$D233,Partits!$D:$D,0)),""))</f>
        <v/>
      </c>
      <c r="J233" s="3" t="str">
        <f t="shared" si="4"/>
        <v/>
      </c>
      <c r="K233" s="3" t="str">
        <f t="shared" si="5"/>
        <v/>
      </c>
      <c r="L233" s="3" t="str">
        <f t="shared" si="6"/>
        <v/>
      </c>
      <c r="M233" s="3" t="str">
        <f t="shared" si="7"/>
        <v/>
      </c>
    </row>
    <row r="234" ht="15.0" customHeight="1">
      <c r="A234" s="3" t="str">
        <f>IF(Equips_usuari!A234="","",Equips_usuari!A234)</f>
        <v/>
      </c>
      <c r="B234" s="3" t="str">
        <f>IF(Equips_usuari!B234="","",Equips_usuari!B234)</f>
        <v/>
      </c>
      <c r="C234" s="3" t="str">
        <f>IF(Equips_usuari!C234="","",Equips_usuari!C234)</f>
        <v/>
      </c>
      <c r="D234" s="3" t="str">
        <f>IF(Equips_usuari!D234="","",Equips_usuari!D234)</f>
        <v/>
      </c>
      <c r="E234" s="3" t="str">
        <f>IF(Equips_usuari!F234="","",Equips_usuari!F234)</f>
        <v/>
      </c>
      <c r="F234" s="3" t="str">
        <f>IF($C234="","",SUMIFS(Resultats_jugadores!$C:$C,Resultats_jugadores!$A:$A,$A234,Resultats_jugadores!$B:$B,$C234))</f>
        <v/>
      </c>
      <c r="G234" s="3" t="str">
        <f>IF($C234="","",SUMIFS(Resultats_jugadores!$D:$D,Resultats_jugadores!$A:$A,$A234,Resultats_jugadores!$B:$B,$C234))</f>
        <v/>
      </c>
      <c r="H234" s="3" t="str">
        <f t="shared" si="3"/>
        <v/>
      </c>
      <c r="I234" s="3" t="str">
        <f t="array" ref="I234">IF($C234="","",IFERROR(INDEX(Partits!$C:$C,MATCH($A234&amp;"_"&amp;$D234,Partits!$D:$D,0)),""))</f>
        <v/>
      </c>
      <c r="J234" s="3" t="str">
        <f t="shared" si="4"/>
        <v/>
      </c>
      <c r="K234" s="3" t="str">
        <f t="shared" si="5"/>
        <v/>
      </c>
      <c r="L234" s="3" t="str">
        <f t="shared" si="6"/>
        <v/>
      </c>
      <c r="M234" s="3" t="str">
        <f t="shared" si="7"/>
        <v/>
      </c>
    </row>
    <row r="235" ht="15.0" customHeight="1">
      <c r="A235" s="3" t="str">
        <f>IF(Equips_usuari!A235="","",Equips_usuari!A235)</f>
        <v/>
      </c>
      <c r="B235" s="3" t="str">
        <f>IF(Equips_usuari!B235="","",Equips_usuari!B235)</f>
        <v/>
      </c>
      <c r="C235" s="3" t="str">
        <f>IF(Equips_usuari!C235="","",Equips_usuari!C235)</f>
        <v/>
      </c>
      <c r="D235" s="3" t="str">
        <f>IF(Equips_usuari!D235="","",Equips_usuari!D235)</f>
        <v/>
      </c>
      <c r="E235" s="3" t="str">
        <f>IF(Equips_usuari!F235="","",Equips_usuari!F235)</f>
        <v/>
      </c>
      <c r="F235" s="3" t="str">
        <f>IF($C235="","",SUMIFS(Resultats_jugadores!$C:$C,Resultats_jugadores!$A:$A,$A235,Resultats_jugadores!$B:$B,$C235))</f>
        <v/>
      </c>
      <c r="G235" s="3" t="str">
        <f>IF($C235="","",SUMIFS(Resultats_jugadores!$D:$D,Resultats_jugadores!$A:$A,$A235,Resultats_jugadores!$B:$B,$C235))</f>
        <v/>
      </c>
      <c r="H235" s="3" t="str">
        <f t="shared" si="3"/>
        <v/>
      </c>
      <c r="I235" s="3" t="str">
        <f t="array" ref="I235">IF($C235="","",IFERROR(INDEX(Partits!$C:$C,MATCH($A235&amp;"_"&amp;$D235,Partits!$D:$D,0)),""))</f>
        <v/>
      </c>
      <c r="J235" s="3" t="str">
        <f t="shared" si="4"/>
        <v/>
      </c>
      <c r="K235" s="3" t="str">
        <f t="shared" si="5"/>
        <v/>
      </c>
      <c r="L235" s="3" t="str">
        <f t="shared" si="6"/>
        <v/>
      </c>
      <c r="M235" s="3" t="str">
        <f t="shared" si="7"/>
        <v/>
      </c>
    </row>
    <row r="236" ht="15.0" customHeight="1">
      <c r="A236" s="3" t="str">
        <f>IF(Equips_usuari!A236="","",Equips_usuari!A236)</f>
        <v/>
      </c>
      <c r="B236" s="3" t="str">
        <f>IF(Equips_usuari!B236="","",Equips_usuari!B236)</f>
        <v/>
      </c>
      <c r="C236" s="3" t="str">
        <f>IF(Equips_usuari!C236="","",Equips_usuari!C236)</f>
        <v/>
      </c>
      <c r="D236" s="3" t="str">
        <f>IF(Equips_usuari!D236="","",Equips_usuari!D236)</f>
        <v/>
      </c>
      <c r="E236" s="3" t="str">
        <f>IF(Equips_usuari!F236="","",Equips_usuari!F236)</f>
        <v/>
      </c>
      <c r="F236" s="3" t="str">
        <f>IF($C236="","",SUMIFS(Resultats_jugadores!$C:$C,Resultats_jugadores!$A:$A,$A236,Resultats_jugadores!$B:$B,$C236))</f>
        <v/>
      </c>
      <c r="G236" s="3" t="str">
        <f>IF($C236="","",SUMIFS(Resultats_jugadores!$D:$D,Resultats_jugadores!$A:$A,$A236,Resultats_jugadores!$B:$B,$C236))</f>
        <v/>
      </c>
      <c r="H236" s="3" t="str">
        <f t="shared" si="3"/>
        <v/>
      </c>
      <c r="I236" s="3" t="str">
        <f t="array" ref="I236">IF($C236="","",IFERROR(INDEX(Partits!$C:$C,MATCH($A236&amp;"_"&amp;$D236,Partits!$D:$D,0)),""))</f>
        <v/>
      </c>
      <c r="J236" s="3" t="str">
        <f t="shared" si="4"/>
        <v/>
      </c>
      <c r="K236" s="3" t="str">
        <f t="shared" si="5"/>
        <v/>
      </c>
      <c r="L236" s="3" t="str">
        <f t="shared" si="6"/>
        <v/>
      </c>
      <c r="M236" s="3" t="str">
        <f t="shared" si="7"/>
        <v/>
      </c>
    </row>
    <row r="237" ht="15.0" customHeight="1">
      <c r="A237" s="3" t="str">
        <f>IF(Equips_usuari!A237="","",Equips_usuari!A237)</f>
        <v/>
      </c>
      <c r="B237" s="3" t="str">
        <f>IF(Equips_usuari!B237="","",Equips_usuari!B237)</f>
        <v/>
      </c>
      <c r="C237" s="3" t="str">
        <f>IF(Equips_usuari!C237="","",Equips_usuari!C237)</f>
        <v/>
      </c>
      <c r="D237" s="3" t="str">
        <f>IF(Equips_usuari!D237="","",Equips_usuari!D237)</f>
        <v/>
      </c>
      <c r="E237" s="3" t="str">
        <f>IF(Equips_usuari!F237="","",Equips_usuari!F237)</f>
        <v/>
      </c>
      <c r="F237" s="3" t="str">
        <f>IF($C237="","",SUMIFS(Resultats_jugadores!$C:$C,Resultats_jugadores!$A:$A,$A237,Resultats_jugadores!$B:$B,$C237))</f>
        <v/>
      </c>
      <c r="G237" s="3" t="str">
        <f>IF($C237="","",SUMIFS(Resultats_jugadores!$D:$D,Resultats_jugadores!$A:$A,$A237,Resultats_jugadores!$B:$B,$C237))</f>
        <v/>
      </c>
      <c r="H237" s="3" t="str">
        <f t="shared" si="3"/>
        <v/>
      </c>
      <c r="I237" s="3" t="str">
        <f t="array" ref="I237">IF($C237="","",IFERROR(INDEX(Partits!$C:$C,MATCH($A237&amp;"_"&amp;$D237,Partits!$D:$D,0)),""))</f>
        <v/>
      </c>
      <c r="J237" s="3" t="str">
        <f t="shared" si="4"/>
        <v/>
      </c>
      <c r="K237" s="3" t="str">
        <f t="shared" si="5"/>
        <v/>
      </c>
      <c r="L237" s="3" t="str">
        <f t="shared" si="6"/>
        <v/>
      </c>
      <c r="M237" s="3" t="str">
        <f t="shared" si="7"/>
        <v/>
      </c>
    </row>
    <row r="238" ht="15.0" customHeight="1">
      <c r="A238" s="3" t="str">
        <f>IF(Equips_usuari!A238="","",Equips_usuari!A238)</f>
        <v/>
      </c>
      <c r="B238" s="3" t="str">
        <f>IF(Equips_usuari!B238="","",Equips_usuari!B238)</f>
        <v/>
      </c>
      <c r="C238" s="3" t="str">
        <f>IF(Equips_usuari!C238="","",Equips_usuari!C238)</f>
        <v/>
      </c>
      <c r="D238" s="3" t="str">
        <f>IF(Equips_usuari!D238="","",Equips_usuari!D238)</f>
        <v/>
      </c>
      <c r="E238" s="3" t="str">
        <f>IF(Equips_usuari!F238="","",Equips_usuari!F238)</f>
        <v/>
      </c>
      <c r="F238" s="3" t="str">
        <f>IF($C238="","",SUMIFS(Resultats_jugadores!$C:$C,Resultats_jugadores!$A:$A,$A238,Resultats_jugadores!$B:$B,$C238))</f>
        <v/>
      </c>
      <c r="G238" s="3" t="str">
        <f>IF($C238="","",SUMIFS(Resultats_jugadores!$D:$D,Resultats_jugadores!$A:$A,$A238,Resultats_jugadores!$B:$B,$C238))</f>
        <v/>
      </c>
      <c r="H238" s="3" t="str">
        <f t="shared" si="3"/>
        <v/>
      </c>
      <c r="I238" s="3" t="str">
        <f t="array" ref="I238">IF($C238="","",IFERROR(INDEX(Partits!$C:$C,MATCH($A238&amp;"_"&amp;$D238,Partits!$D:$D,0)),""))</f>
        <v/>
      </c>
      <c r="J238" s="3" t="str">
        <f t="shared" si="4"/>
        <v/>
      </c>
      <c r="K238" s="3" t="str">
        <f t="shared" si="5"/>
        <v/>
      </c>
      <c r="L238" s="3" t="str">
        <f t="shared" si="6"/>
        <v/>
      </c>
      <c r="M238" s="3" t="str">
        <f t="shared" si="7"/>
        <v/>
      </c>
    </row>
    <row r="239" ht="15.0" customHeight="1">
      <c r="A239" s="3" t="str">
        <f>IF(Equips_usuari!A239="","",Equips_usuari!A239)</f>
        <v/>
      </c>
      <c r="B239" s="3" t="str">
        <f>IF(Equips_usuari!B239="","",Equips_usuari!B239)</f>
        <v/>
      </c>
      <c r="C239" s="3" t="str">
        <f>IF(Equips_usuari!C239="","",Equips_usuari!C239)</f>
        <v/>
      </c>
      <c r="D239" s="3" t="str">
        <f>IF(Equips_usuari!D239="","",Equips_usuari!D239)</f>
        <v/>
      </c>
      <c r="E239" s="3" t="str">
        <f>IF(Equips_usuari!F239="","",Equips_usuari!F239)</f>
        <v/>
      </c>
      <c r="F239" s="3" t="str">
        <f>IF($C239="","",SUMIFS(Resultats_jugadores!$C:$C,Resultats_jugadores!$A:$A,$A239,Resultats_jugadores!$B:$B,$C239))</f>
        <v/>
      </c>
      <c r="G239" s="3" t="str">
        <f>IF($C239="","",SUMIFS(Resultats_jugadores!$D:$D,Resultats_jugadores!$A:$A,$A239,Resultats_jugadores!$B:$B,$C239))</f>
        <v/>
      </c>
      <c r="H239" s="3" t="str">
        <f t="shared" si="3"/>
        <v/>
      </c>
      <c r="I239" s="3" t="str">
        <f t="array" ref="I239">IF($C239="","",IFERROR(INDEX(Partits!$C:$C,MATCH($A239&amp;"_"&amp;$D239,Partits!$D:$D,0)),""))</f>
        <v/>
      </c>
      <c r="J239" s="3" t="str">
        <f t="shared" si="4"/>
        <v/>
      </c>
      <c r="K239" s="3" t="str">
        <f t="shared" si="5"/>
        <v/>
      </c>
      <c r="L239" s="3" t="str">
        <f t="shared" si="6"/>
        <v/>
      </c>
      <c r="M239" s="3" t="str">
        <f t="shared" si="7"/>
        <v/>
      </c>
    </row>
    <row r="240" ht="15.0" customHeight="1">
      <c r="A240" s="3" t="str">
        <f>IF(Equips_usuari!A240="","",Equips_usuari!A240)</f>
        <v/>
      </c>
      <c r="B240" s="3" t="str">
        <f>IF(Equips_usuari!B240="","",Equips_usuari!B240)</f>
        <v/>
      </c>
      <c r="C240" s="3" t="str">
        <f>IF(Equips_usuari!C240="","",Equips_usuari!C240)</f>
        <v/>
      </c>
      <c r="D240" s="3" t="str">
        <f>IF(Equips_usuari!D240="","",Equips_usuari!D240)</f>
        <v/>
      </c>
      <c r="E240" s="3" t="str">
        <f>IF(Equips_usuari!F240="","",Equips_usuari!F240)</f>
        <v/>
      </c>
      <c r="F240" s="3" t="str">
        <f>IF($C240="","",SUMIFS(Resultats_jugadores!$C:$C,Resultats_jugadores!$A:$A,$A240,Resultats_jugadores!$B:$B,$C240))</f>
        <v/>
      </c>
      <c r="G240" s="3" t="str">
        <f>IF($C240="","",SUMIFS(Resultats_jugadores!$D:$D,Resultats_jugadores!$A:$A,$A240,Resultats_jugadores!$B:$B,$C240))</f>
        <v/>
      </c>
      <c r="H240" s="3" t="str">
        <f t="shared" si="3"/>
        <v/>
      </c>
      <c r="I240" s="3" t="str">
        <f t="array" ref="I240">IF($C240="","",IFERROR(INDEX(Partits!$C:$C,MATCH($A240&amp;"_"&amp;$D240,Partits!$D:$D,0)),""))</f>
        <v/>
      </c>
      <c r="J240" s="3" t="str">
        <f t="shared" si="4"/>
        <v/>
      </c>
      <c r="K240" s="3" t="str">
        <f t="shared" si="5"/>
        <v/>
      </c>
      <c r="L240" s="3" t="str">
        <f t="shared" si="6"/>
        <v/>
      </c>
      <c r="M240" s="3" t="str">
        <f t="shared" si="7"/>
        <v/>
      </c>
    </row>
    <row r="241" ht="15.0" customHeight="1">
      <c r="A241" s="3" t="str">
        <f>IF(Equips_usuari!A241="","",Equips_usuari!A241)</f>
        <v/>
      </c>
      <c r="B241" s="3" t="str">
        <f>IF(Equips_usuari!B241="","",Equips_usuari!B241)</f>
        <v/>
      </c>
      <c r="C241" s="3" t="str">
        <f>IF(Equips_usuari!C241="","",Equips_usuari!C241)</f>
        <v/>
      </c>
      <c r="D241" s="3" t="str">
        <f>IF(Equips_usuari!D241="","",Equips_usuari!D241)</f>
        <v/>
      </c>
      <c r="E241" s="3" t="str">
        <f>IF(Equips_usuari!F241="","",Equips_usuari!F241)</f>
        <v/>
      </c>
      <c r="F241" s="3" t="str">
        <f>IF($C241="","",SUMIFS(Resultats_jugadores!$C:$C,Resultats_jugadores!$A:$A,$A241,Resultats_jugadores!$B:$B,$C241))</f>
        <v/>
      </c>
      <c r="G241" s="3" t="str">
        <f>IF($C241="","",SUMIFS(Resultats_jugadores!$D:$D,Resultats_jugadores!$A:$A,$A241,Resultats_jugadores!$B:$B,$C241))</f>
        <v/>
      </c>
      <c r="H241" s="3" t="str">
        <f t="shared" si="3"/>
        <v/>
      </c>
      <c r="I241" s="3" t="str">
        <f t="array" ref="I241">IF($C241="","",IFERROR(INDEX(Partits!$C:$C,MATCH($A241&amp;"_"&amp;$D241,Partits!$D:$D,0)),""))</f>
        <v/>
      </c>
      <c r="J241" s="3" t="str">
        <f t="shared" si="4"/>
        <v/>
      </c>
      <c r="K241" s="3" t="str">
        <f t="shared" si="5"/>
        <v/>
      </c>
      <c r="L241" s="3" t="str">
        <f t="shared" si="6"/>
        <v/>
      </c>
      <c r="M241" s="3" t="str">
        <f t="shared" si="7"/>
        <v/>
      </c>
    </row>
    <row r="242" ht="15.0" customHeight="1">
      <c r="A242" s="3" t="str">
        <f>IF(Equips_usuari!A242="","",Equips_usuari!A242)</f>
        <v/>
      </c>
      <c r="B242" s="3" t="str">
        <f>IF(Equips_usuari!B242="","",Equips_usuari!B242)</f>
        <v/>
      </c>
      <c r="C242" s="3" t="str">
        <f>IF(Equips_usuari!C242="","",Equips_usuari!C242)</f>
        <v/>
      </c>
      <c r="D242" s="3" t="str">
        <f>IF(Equips_usuari!D242="","",Equips_usuari!D242)</f>
        <v/>
      </c>
      <c r="E242" s="3" t="str">
        <f>IF(Equips_usuari!F242="","",Equips_usuari!F242)</f>
        <v/>
      </c>
      <c r="F242" s="3" t="str">
        <f>IF($C242="","",SUMIFS(Resultats_jugadores!$C:$C,Resultats_jugadores!$A:$A,$A242,Resultats_jugadores!$B:$B,$C242))</f>
        <v/>
      </c>
      <c r="G242" s="3" t="str">
        <f>IF($C242="","",SUMIFS(Resultats_jugadores!$D:$D,Resultats_jugadores!$A:$A,$A242,Resultats_jugadores!$B:$B,$C242))</f>
        <v/>
      </c>
      <c r="H242" s="3" t="str">
        <f t="shared" si="3"/>
        <v/>
      </c>
      <c r="I242" s="3" t="str">
        <f t="array" ref="I242">IF($C242="","",IFERROR(INDEX(Partits!$C:$C,MATCH($A242&amp;"_"&amp;$D242,Partits!$D:$D,0)),""))</f>
        <v/>
      </c>
      <c r="J242" s="3" t="str">
        <f t="shared" si="4"/>
        <v/>
      </c>
      <c r="K242" s="3" t="str">
        <f t="shared" si="5"/>
        <v/>
      </c>
      <c r="L242" s="3" t="str">
        <f t="shared" si="6"/>
        <v/>
      </c>
      <c r="M242" s="3" t="str">
        <f t="shared" si="7"/>
        <v/>
      </c>
    </row>
    <row r="243" ht="15.0" customHeight="1">
      <c r="A243" s="3" t="str">
        <f>IF(Equips_usuari!A243="","",Equips_usuari!A243)</f>
        <v/>
      </c>
      <c r="B243" s="3" t="str">
        <f>IF(Equips_usuari!B243="","",Equips_usuari!B243)</f>
        <v/>
      </c>
      <c r="C243" s="3" t="str">
        <f>IF(Equips_usuari!C243="","",Equips_usuari!C243)</f>
        <v/>
      </c>
      <c r="D243" s="3" t="str">
        <f>IF(Equips_usuari!D243="","",Equips_usuari!D243)</f>
        <v/>
      </c>
      <c r="E243" s="3" t="str">
        <f>IF(Equips_usuari!F243="","",Equips_usuari!F243)</f>
        <v/>
      </c>
      <c r="F243" s="3" t="str">
        <f>IF($C243="","",SUMIFS(Resultats_jugadores!$C:$C,Resultats_jugadores!$A:$A,$A243,Resultats_jugadores!$B:$B,$C243))</f>
        <v/>
      </c>
      <c r="G243" s="3" t="str">
        <f>IF($C243="","",SUMIFS(Resultats_jugadores!$D:$D,Resultats_jugadores!$A:$A,$A243,Resultats_jugadores!$B:$B,$C243))</f>
        <v/>
      </c>
      <c r="H243" s="3" t="str">
        <f t="shared" si="3"/>
        <v/>
      </c>
      <c r="I243" s="3" t="str">
        <f t="array" ref="I243">IF($C243="","",IFERROR(INDEX(Partits!$C:$C,MATCH($A243&amp;"_"&amp;$D243,Partits!$D:$D,0)),""))</f>
        <v/>
      </c>
      <c r="J243" s="3" t="str">
        <f t="shared" si="4"/>
        <v/>
      </c>
      <c r="K243" s="3" t="str">
        <f t="shared" si="5"/>
        <v/>
      </c>
      <c r="L243" s="3" t="str">
        <f t="shared" si="6"/>
        <v/>
      </c>
      <c r="M243" s="3" t="str">
        <f t="shared" si="7"/>
        <v/>
      </c>
    </row>
    <row r="244" ht="15.0" customHeight="1">
      <c r="A244" s="3" t="str">
        <f>IF(Equips_usuari!A244="","",Equips_usuari!A244)</f>
        <v/>
      </c>
      <c r="B244" s="3" t="str">
        <f>IF(Equips_usuari!B244="","",Equips_usuari!B244)</f>
        <v/>
      </c>
      <c r="C244" s="3" t="str">
        <f>IF(Equips_usuari!C244="","",Equips_usuari!C244)</f>
        <v/>
      </c>
      <c r="D244" s="3" t="str">
        <f>IF(Equips_usuari!D244="","",Equips_usuari!D244)</f>
        <v/>
      </c>
      <c r="E244" s="3" t="str">
        <f>IF(Equips_usuari!F244="","",Equips_usuari!F244)</f>
        <v/>
      </c>
      <c r="F244" s="3" t="str">
        <f>IF($C244="","",SUMIFS(Resultats_jugadores!$C:$C,Resultats_jugadores!$A:$A,$A244,Resultats_jugadores!$B:$B,$C244))</f>
        <v/>
      </c>
      <c r="G244" s="3" t="str">
        <f>IF($C244="","",SUMIFS(Resultats_jugadores!$D:$D,Resultats_jugadores!$A:$A,$A244,Resultats_jugadores!$B:$B,$C244))</f>
        <v/>
      </c>
      <c r="H244" s="3" t="str">
        <f t="shared" si="3"/>
        <v/>
      </c>
      <c r="I244" s="3" t="str">
        <f t="array" ref="I244">IF($C244="","",IFERROR(INDEX(Partits!$C:$C,MATCH($A244&amp;"_"&amp;$D244,Partits!$D:$D,0)),""))</f>
        <v/>
      </c>
      <c r="J244" s="3" t="str">
        <f t="shared" si="4"/>
        <v/>
      </c>
      <c r="K244" s="3" t="str">
        <f t="shared" si="5"/>
        <v/>
      </c>
      <c r="L244" s="3" t="str">
        <f t="shared" si="6"/>
        <v/>
      </c>
      <c r="M244" s="3" t="str">
        <f t="shared" si="7"/>
        <v/>
      </c>
    </row>
    <row r="245" ht="15.0" customHeight="1">
      <c r="A245" s="3" t="str">
        <f>IF(Equips_usuari!A245="","",Equips_usuari!A245)</f>
        <v/>
      </c>
      <c r="B245" s="3" t="str">
        <f>IF(Equips_usuari!B245="","",Equips_usuari!B245)</f>
        <v/>
      </c>
      <c r="C245" s="3" t="str">
        <f>IF(Equips_usuari!C245="","",Equips_usuari!C245)</f>
        <v/>
      </c>
      <c r="D245" s="3" t="str">
        <f>IF(Equips_usuari!D245="","",Equips_usuari!D245)</f>
        <v/>
      </c>
      <c r="E245" s="3" t="str">
        <f>IF(Equips_usuari!F245="","",Equips_usuari!F245)</f>
        <v/>
      </c>
      <c r="F245" s="3" t="str">
        <f>IF($C245="","",SUMIFS(Resultats_jugadores!$C:$C,Resultats_jugadores!$A:$A,$A245,Resultats_jugadores!$B:$B,$C245))</f>
        <v/>
      </c>
      <c r="G245" s="3" t="str">
        <f>IF($C245="","",SUMIFS(Resultats_jugadores!$D:$D,Resultats_jugadores!$A:$A,$A245,Resultats_jugadores!$B:$B,$C245))</f>
        <v/>
      </c>
      <c r="H245" s="3" t="str">
        <f t="shared" si="3"/>
        <v/>
      </c>
      <c r="I245" s="3" t="str">
        <f t="array" ref="I245">IF($C245="","",IFERROR(INDEX(Partits!$C:$C,MATCH($A245&amp;"_"&amp;$D245,Partits!$D:$D,0)),""))</f>
        <v/>
      </c>
      <c r="J245" s="3" t="str">
        <f t="shared" si="4"/>
        <v/>
      </c>
      <c r="K245" s="3" t="str">
        <f t="shared" si="5"/>
        <v/>
      </c>
      <c r="L245" s="3" t="str">
        <f t="shared" si="6"/>
        <v/>
      </c>
      <c r="M245" s="3" t="str">
        <f t="shared" si="7"/>
        <v/>
      </c>
    </row>
    <row r="246" ht="15.0" customHeight="1">
      <c r="A246" s="3" t="str">
        <f>IF(Equips_usuari!A246="","",Equips_usuari!A246)</f>
        <v/>
      </c>
      <c r="B246" s="3" t="str">
        <f>IF(Equips_usuari!B246="","",Equips_usuari!B246)</f>
        <v/>
      </c>
      <c r="C246" s="3" t="str">
        <f>IF(Equips_usuari!C246="","",Equips_usuari!C246)</f>
        <v/>
      </c>
      <c r="D246" s="3" t="str">
        <f>IF(Equips_usuari!D246="","",Equips_usuari!D246)</f>
        <v/>
      </c>
      <c r="E246" s="3" t="str">
        <f>IF(Equips_usuari!F246="","",Equips_usuari!F246)</f>
        <v/>
      </c>
      <c r="F246" s="3" t="str">
        <f>IF($C246="","",SUMIFS(Resultats_jugadores!$C:$C,Resultats_jugadores!$A:$A,$A246,Resultats_jugadores!$B:$B,$C246))</f>
        <v/>
      </c>
      <c r="G246" s="3" t="str">
        <f>IF($C246="","",SUMIFS(Resultats_jugadores!$D:$D,Resultats_jugadores!$A:$A,$A246,Resultats_jugadores!$B:$B,$C246))</f>
        <v/>
      </c>
      <c r="H246" s="3" t="str">
        <f t="shared" si="3"/>
        <v/>
      </c>
      <c r="I246" s="3" t="str">
        <f t="array" ref="I246">IF($C246="","",IFERROR(INDEX(Partits!$C:$C,MATCH($A246&amp;"_"&amp;$D246,Partits!$D:$D,0)),""))</f>
        <v/>
      </c>
      <c r="J246" s="3" t="str">
        <f t="shared" si="4"/>
        <v/>
      </c>
      <c r="K246" s="3" t="str">
        <f t="shared" si="5"/>
        <v/>
      </c>
      <c r="L246" s="3" t="str">
        <f t="shared" si="6"/>
        <v/>
      </c>
      <c r="M246" s="3" t="str">
        <f t="shared" si="7"/>
        <v/>
      </c>
    </row>
    <row r="247" ht="15.0" customHeight="1">
      <c r="A247" s="3" t="str">
        <f>IF(Equips_usuari!A247="","",Equips_usuari!A247)</f>
        <v/>
      </c>
      <c r="B247" s="3" t="str">
        <f>IF(Equips_usuari!B247="","",Equips_usuari!B247)</f>
        <v/>
      </c>
      <c r="C247" s="3" t="str">
        <f>IF(Equips_usuari!C247="","",Equips_usuari!C247)</f>
        <v/>
      </c>
      <c r="D247" s="3" t="str">
        <f>IF(Equips_usuari!D247="","",Equips_usuari!D247)</f>
        <v/>
      </c>
      <c r="E247" s="3" t="str">
        <f>IF(Equips_usuari!F247="","",Equips_usuari!F247)</f>
        <v/>
      </c>
      <c r="F247" s="3" t="str">
        <f>IF($C247="","",SUMIFS(Resultats_jugadores!$C:$C,Resultats_jugadores!$A:$A,$A247,Resultats_jugadores!$B:$B,$C247))</f>
        <v/>
      </c>
      <c r="G247" s="3" t="str">
        <f>IF($C247="","",SUMIFS(Resultats_jugadores!$D:$D,Resultats_jugadores!$A:$A,$A247,Resultats_jugadores!$B:$B,$C247))</f>
        <v/>
      </c>
      <c r="H247" s="3" t="str">
        <f t="shared" si="3"/>
        <v/>
      </c>
      <c r="I247" s="3" t="str">
        <f t="array" ref="I247">IF($C247="","",IFERROR(INDEX(Partits!$C:$C,MATCH($A247&amp;"_"&amp;$D247,Partits!$D:$D,0)),""))</f>
        <v/>
      </c>
      <c r="J247" s="3" t="str">
        <f t="shared" si="4"/>
        <v/>
      </c>
      <c r="K247" s="3" t="str">
        <f t="shared" si="5"/>
        <v/>
      </c>
      <c r="L247" s="3" t="str">
        <f t="shared" si="6"/>
        <v/>
      </c>
      <c r="M247" s="3" t="str">
        <f t="shared" si="7"/>
        <v/>
      </c>
    </row>
    <row r="248" ht="15.0" customHeight="1">
      <c r="A248" s="3" t="str">
        <f>IF(Equips_usuari!A248="","",Equips_usuari!A248)</f>
        <v/>
      </c>
      <c r="B248" s="3" t="str">
        <f>IF(Equips_usuari!B248="","",Equips_usuari!B248)</f>
        <v/>
      </c>
      <c r="C248" s="3" t="str">
        <f>IF(Equips_usuari!C248="","",Equips_usuari!C248)</f>
        <v/>
      </c>
      <c r="D248" s="3" t="str">
        <f>IF(Equips_usuari!D248="","",Equips_usuari!D248)</f>
        <v/>
      </c>
      <c r="E248" s="3" t="str">
        <f>IF(Equips_usuari!F248="","",Equips_usuari!F248)</f>
        <v/>
      </c>
      <c r="F248" s="3" t="str">
        <f>IF($C248="","",SUMIFS(Resultats_jugadores!$C:$C,Resultats_jugadores!$A:$A,$A248,Resultats_jugadores!$B:$B,$C248))</f>
        <v/>
      </c>
      <c r="G248" s="3" t="str">
        <f>IF($C248="","",SUMIFS(Resultats_jugadores!$D:$D,Resultats_jugadores!$A:$A,$A248,Resultats_jugadores!$B:$B,$C248))</f>
        <v/>
      </c>
      <c r="H248" s="3" t="str">
        <f t="shared" si="3"/>
        <v/>
      </c>
      <c r="I248" s="3" t="str">
        <f t="array" ref="I248">IF($C248="","",IFERROR(INDEX(Partits!$C:$C,MATCH($A248&amp;"_"&amp;$D248,Partits!$D:$D,0)),""))</f>
        <v/>
      </c>
      <c r="J248" s="3" t="str">
        <f t="shared" si="4"/>
        <v/>
      </c>
      <c r="K248" s="3" t="str">
        <f t="shared" si="5"/>
        <v/>
      </c>
      <c r="L248" s="3" t="str">
        <f t="shared" si="6"/>
        <v/>
      </c>
      <c r="M248" s="3" t="str">
        <f t="shared" si="7"/>
        <v/>
      </c>
    </row>
    <row r="249" ht="15.0" customHeight="1">
      <c r="A249" s="3" t="str">
        <f>IF(Equips_usuari!A249="","",Equips_usuari!A249)</f>
        <v/>
      </c>
      <c r="B249" s="3" t="str">
        <f>IF(Equips_usuari!B249="","",Equips_usuari!B249)</f>
        <v/>
      </c>
      <c r="C249" s="3" t="str">
        <f>IF(Equips_usuari!C249="","",Equips_usuari!C249)</f>
        <v/>
      </c>
      <c r="D249" s="3" t="str">
        <f>IF(Equips_usuari!D249="","",Equips_usuari!D249)</f>
        <v/>
      </c>
      <c r="E249" s="3" t="str">
        <f>IF(Equips_usuari!F249="","",Equips_usuari!F249)</f>
        <v/>
      </c>
      <c r="F249" s="3" t="str">
        <f>IF($C249="","",SUMIFS(Resultats_jugadores!$C:$C,Resultats_jugadores!$A:$A,$A249,Resultats_jugadores!$B:$B,$C249))</f>
        <v/>
      </c>
      <c r="G249" s="3" t="str">
        <f>IF($C249="","",SUMIFS(Resultats_jugadores!$D:$D,Resultats_jugadores!$A:$A,$A249,Resultats_jugadores!$B:$B,$C249))</f>
        <v/>
      </c>
      <c r="H249" s="3" t="str">
        <f t="shared" si="3"/>
        <v/>
      </c>
      <c r="I249" s="3" t="str">
        <f t="array" ref="I249">IF($C249="","",IFERROR(INDEX(Partits!$C:$C,MATCH($A249&amp;"_"&amp;$D249,Partits!$D:$D,0)),""))</f>
        <v/>
      </c>
      <c r="J249" s="3" t="str">
        <f t="shared" si="4"/>
        <v/>
      </c>
      <c r="K249" s="3" t="str">
        <f t="shared" si="5"/>
        <v/>
      </c>
      <c r="L249" s="3" t="str">
        <f t="shared" si="6"/>
        <v/>
      </c>
      <c r="M249" s="3" t="str">
        <f t="shared" si="7"/>
        <v/>
      </c>
    </row>
    <row r="250" ht="15.0" customHeight="1">
      <c r="A250" s="3" t="str">
        <f>IF(Equips_usuari!A250="","",Equips_usuari!A250)</f>
        <v/>
      </c>
      <c r="B250" s="3" t="str">
        <f>IF(Equips_usuari!B250="","",Equips_usuari!B250)</f>
        <v/>
      </c>
      <c r="C250" s="3" t="str">
        <f>IF(Equips_usuari!C250="","",Equips_usuari!C250)</f>
        <v/>
      </c>
      <c r="D250" s="3" t="str">
        <f>IF(Equips_usuari!D250="","",Equips_usuari!D250)</f>
        <v/>
      </c>
      <c r="E250" s="3" t="str">
        <f>IF(Equips_usuari!F250="","",Equips_usuari!F250)</f>
        <v/>
      </c>
      <c r="F250" s="3" t="str">
        <f>IF($C250="","",SUMIFS(Resultats_jugadores!$C:$C,Resultats_jugadores!$A:$A,$A250,Resultats_jugadores!$B:$B,$C250))</f>
        <v/>
      </c>
      <c r="G250" s="3" t="str">
        <f>IF($C250="","",SUMIFS(Resultats_jugadores!$D:$D,Resultats_jugadores!$A:$A,$A250,Resultats_jugadores!$B:$B,$C250))</f>
        <v/>
      </c>
      <c r="H250" s="3" t="str">
        <f t="shared" si="3"/>
        <v/>
      </c>
      <c r="I250" s="3" t="str">
        <f t="array" ref="I250">IF($C250="","",IFERROR(INDEX(Partits!$C:$C,MATCH($A250&amp;"_"&amp;$D250,Partits!$D:$D,0)),""))</f>
        <v/>
      </c>
      <c r="J250" s="3" t="str">
        <f t="shared" si="4"/>
        <v/>
      </c>
      <c r="K250" s="3" t="str">
        <f t="shared" si="5"/>
        <v/>
      </c>
      <c r="L250" s="3" t="str">
        <f t="shared" si="6"/>
        <v/>
      </c>
      <c r="M250" s="3" t="str">
        <f t="shared" si="7"/>
        <v/>
      </c>
    </row>
    <row r="251" ht="15.0" customHeight="1">
      <c r="A251" s="3" t="str">
        <f>IF(Equips_usuari!A251="","",Equips_usuari!A251)</f>
        <v/>
      </c>
      <c r="B251" s="3" t="str">
        <f>IF(Equips_usuari!B251="","",Equips_usuari!B251)</f>
        <v/>
      </c>
      <c r="C251" s="3" t="str">
        <f>IF(Equips_usuari!C251="","",Equips_usuari!C251)</f>
        <v/>
      </c>
      <c r="D251" s="3" t="str">
        <f>IF(Equips_usuari!D251="","",Equips_usuari!D251)</f>
        <v/>
      </c>
      <c r="E251" s="3" t="str">
        <f>IF(Equips_usuari!F251="","",Equips_usuari!F251)</f>
        <v/>
      </c>
      <c r="F251" s="3" t="str">
        <f>IF($C251="","",SUMIFS(Resultats_jugadores!$C:$C,Resultats_jugadores!$A:$A,$A251,Resultats_jugadores!$B:$B,$C251))</f>
        <v/>
      </c>
      <c r="G251" s="3" t="str">
        <f>IF($C251="","",SUMIFS(Resultats_jugadores!$D:$D,Resultats_jugadores!$A:$A,$A251,Resultats_jugadores!$B:$B,$C251))</f>
        <v/>
      </c>
      <c r="H251" s="3" t="str">
        <f t="shared" si="3"/>
        <v/>
      </c>
      <c r="I251" s="3" t="str">
        <f t="array" ref="I251">IF($C251="","",IFERROR(INDEX(Partits!$C:$C,MATCH($A251&amp;"_"&amp;$D251,Partits!$D:$D,0)),""))</f>
        <v/>
      </c>
      <c r="J251" s="3" t="str">
        <f t="shared" si="4"/>
        <v/>
      </c>
      <c r="K251" s="3" t="str">
        <f t="shared" si="5"/>
        <v/>
      </c>
      <c r="L251" s="3" t="str">
        <f t="shared" si="6"/>
        <v/>
      </c>
      <c r="M251" s="3" t="str">
        <f t="shared" si="7"/>
        <v/>
      </c>
    </row>
    <row r="252" ht="15.0" customHeight="1">
      <c r="A252" s="3" t="str">
        <f>IF(Equips_usuari!A252="","",Equips_usuari!A252)</f>
        <v/>
      </c>
      <c r="B252" s="3" t="str">
        <f>IF(Equips_usuari!B252="","",Equips_usuari!B252)</f>
        <v/>
      </c>
      <c r="C252" s="3" t="str">
        <f>IF(Equips_usuari!C252="","",Equips_usuari!C252)</f>
        <v/>
      </c>
      <c r="D252" s="3" t="str">
        <f>IF(Equips_usuari!D252="","",Equips_usuari!D252)</f>
        <v/>
      </c>
      <c r="E252" s="3" t="str">
        <f>IF(Equips_usuari!F252="","",Equips_usuari!F252)</f>
        <v/>
      </c>
      <c r="F252" s="3" t="str">
        <f>IF($C252="","",SUMIFS(Resultats_jugadores!$C:$C,Resultats_jugadores!$A:$A,$A252,Resultats_jugadores!$B:$B,$C252))</f>
        <v/>
      </c>
      <c r="G252" s="3" t="str">
        <f>IF($C252="","",SUMIFS(Resultats_jugadores!$D:$D,Resultats_jugadores!$A:$A,$A252,Resultats_jugadores!$B:$B,$C252))</f>
        <v/>
      </c>
      <c r="H252" s="3" t="str">
        <f t="shared" si="3"/>
        <v/>
      </c>
      <c r="I252" s="3" t="str">
        <f t="array" ref="I252">IF($C252="","",IFERROR(INDEX(Partits!$C:$C,MATCH($A252&amp;"_"&amp;$D252,Partits!$D:$D,0)),""))</f>
        <v/>
      </c>
      <c r="J252" s="3" t="str">
        <f t="shared" si="4"/>
        <v/>
      </c>
      <c r="K252" s="3" t="str">
        <f t="shared" si="5"/>
        <v/>
      </c>
      <c r="L252" s="3" t="str">
        <f t="shared" si="6"/>
        <v/>
      </c>
      <c r="M252" s="3" t="str">
        <f t="shared" si="7"/>
        <v/>
      </c>
    </row>
    <row r="253" ht="15.0" customHeight="1">
      <c r="A253" s="3" t="str">
        <f>IF(Equips_usuari!A253="","",Equips_usuari!A253)</f>
        <v/>
      </c>
      <c r="B253" s="3" t="str">
        <f>IF(Equips_usuari!B253="","",Equips_usuari!B253)</f>
        <v/>
      </c>
      <c r="C253" s="3" t="str">
        <f>IF(Equips_usuari!C253="","",Equips_usuari!C253)</f>
        <v/>
      </c>
      <c r="D253" s="3" t="str">
        <f>IF(Equips_usuari!D253="","",Equips_usuari!D253)</f>
        <v/>
      </c>
      <c r="E253" s="3" t="str">
        <f>IF(Equips_usuari!F253="","",Equips_usuari!F253)</f>
        <v/>
      </c>
      <c r="F253" s="3" t="str">
        <f>IF($C253="","",SUMIFS(Resultats_jugadores!$C:$C,Resultats_jugadores!$A:$A,$A253,Resultats_jugadores!$B:$B,$C253))</f>
        <v/>
      </c>
      <c r="G253" s="3" t="str">
        <f>IF($C253="","",SUMIFS(Resultats_jugadores!$D:$D,Resultats_jugadores!$A:$A,$A253,Resultats_jugadores!$B:$B,$C253))</f>
        <v/>
      </c>
      <c r="H253" s="3" t="str">
        <f t="shared" si="3"/>
        <v/>
      </c>
      <c r="I253" s="3" t="str">
        <f t="array" ref="I253">IF($C253="","",IFERROR(INDEX(Partits!$C:$C,MATCH($A253&amp;"_"&amp;$D253,Partits!$D:$D,0)),""))</f>
        <v/>
      </c>
      <c r="J253" s="3" t="str">
        <f t="shared" si="4"/>
        <v/>
      </c>
      <c r="K253" s="3" t="str">
        <f t="shared" si="5"/>
        <v/>
      </c>
      <c r="L253" s="3" t="str">
        <f t="shared" si="6"/>
        <v/>
      </c>
      <c r="M253" s="3" t="str">
        <f t="shared" si="7"/>
        <v/>
      </c>
    </row>
    <row r="254" ht="15.0" customHeight="1">
      <c r="A254" s="3" t="str">
        <f>IF(Equips_usuari!A254="","",Equips_usuari!A254)</f>
        <v/>
      </c>
      <c r="B254" s="3" t="str">
        <f>IF(Equips_usuari!B254="","",Equips_usuari!B254)</f>
        <v/>
      </c>
      <c r="C254" s="3" t="str">
        <f>IF(Equips_usuari!C254="","",Equips_usuari!C254)</f>
        <v/>
      </c>
      <c r="D254" s="3" t="str">
        <f>IF(Equips_usuari!D254="","",Equips_usuari!D254)</f>
        <v/>
      </c>
      <c r="E254" s="3" t="str">
        <f>IF(Equips_usuari!F254="","",Equips_usuari!F254)</f>
        <v/>
      </c>
      <c r="F254" s="3" t="str">
        <f>IF($C254="","",SUMIFS(Resultats_jugadores!$C:$C,Resultats_jugadores!$A:$A,$A254,Resultats_jugadores!$B:$B,$C254))</f>
        <v/>
      </c>
      <c r="G254" s="3" t="str">
        <f>IF($C254="","",SUMIFS(Resultats_jugadores!$D:$D,Resultats_jugadores!$A:$A,$A254,Resultats_jugadores!$B:$B,$C254))</f>
        <v/>
      </c>
      <c r="H254" s="3" t="str">
        <f t="shared" si="3"/>
        <v/>
      </c>
      <c r="I254" s="3" t="str">
        <f t="array" ref="I254">IF($C254="","",IFERROR(INDEX(Partits!$C:$C,MATCH($A254&amp;"_"&amp;$D254,Partits!$D:$D,0)),""))</f>
        <v/>
      </c>
      <c r="J254" s="3" t="str">
        <f t="shared" si="4"/>
        <v/>
      </c>
      <c r="K254" s="3" t="str">
        <f t="shared" si="5"/>
        <v/>
      </c>
      <c r="L254" s="3" t="str">
        <f t="shared" si="6"/>
        <v/>
      </c>
      <c r="M254" s="3" t="str">
        <f t="shared" si="7"/>
        <v/>
      </c>
    </row>
    <row r="255" ht="15.0" customHeight="1">
      <c r="A255" s="3" t="str">
        <f>IF(Equips_usuari!A255="","",Equips_usuari!A255)</f>
        <v/>
      </c>
      <c r="B255" s="3" t="str">
        <f>IF(Equips_usuari!B255="","",Equips_usuari!B255)</f>
        <v/>
      </c>
      <c r="C255" s="3" t="str">
        <f>IF(Equips_usuari!C255="","",Equips_usuari!C255)</f>
        <v/>
      </c>
      <c r="D255" s="3" t="str">
        <f>IF(Equips_usuari!D255="","",Equips_usuari!D255)</f>
        <v/>
      </c>
      <c r="E255" s="3" t="str">
        <f>IF(Equips_usuari!F255="","",Equips_usuari!F255)</f>
        <v/>
      </c>
      <c r="F255" s="3" t="str">
        <f>IF($C255="","",SUMIFS(Resultats_jugadores!$C:$C,Resultats_jugadores!$A:$A,$A255,Resultats_jugadores!$B:$B,$C255))</f>
        <v/>
      </c>
      <c r="G255" s="3" t="str">
        <f>IF($C255="","",SUMIFS(Resultats_jugadores!$D:$D,Resultats_jugadores!$A:$A,$A255,Resultats_jugadores!$B:$B,$C255))</f>
        <v/>
      </c>
      <c r="H255" s="3" t="str">
        <f t="shared" si="3"/>
        <v/>
      </c>
      <c r="I255" s="3" t="str">
        <f t="array" ref="I255">IF($C255="","",IFERROR(INDEX(Partits!$C:$C,MATCH($A255&amp;"_"&amp;$D255,Partits!$D:$D,0)),""))</f>
        <v/>
      </c>
      <c r="J255" s="3" t="str">
        <f t="shared" si="4"/>
        <v/>
      </c>
      <c r="K255" s="3" t="str">
        <f t="shared" si="5"/>
        <v/>
      </c>
      <c r="L255" s="3" t="str">
        <f t="shared" si="6"/>
        <v/>
      </c>
      <c r="M255" s="3" t="str">
        <f t="shared" si="7"/>
        <v/>
      </c>
    </row>
    <row r="256" ht="15.0" customHeight="1">
      <c r="A256" s="3" t="str">
        <f>IF(Equips_usuari!A256="","",Equips_usuari!A256)</f>
        <v/>
      </c>
      <c r="B256" s="3" t="str">
        <f>IF(Equips_usuari!B256="","",Equips_usuari!B256)</f>
        <v/>
      </c>
      <c r="C256" s="3" t="str">
        <f>IF(Equips_usuari!C256="","",Equips_usuari!C256)</f>
        <v/>
      </c>
      <c r="D256" s="3" t="str">
        <f>IF(Equips_usuari!D256="","",Equips_usuari!D256)</f>
        <v/>
      </c>
      <c r="E256" s="3" t="str">
        <f>IF(Equips_usuari!F256="","",Equips_usuari!F256)</f>
        <v/>
      </c>
      <c r="F256" s="3" t="str">
        <f>IF($C256="","",SUMIFS(Resultats_jugadores!$C:$C,Resultats_jugadores!$A:$A,$A256,Resultats_jugadores!$B:$B,$C256))</f>
        <v/>
      </c>
      <c r="G256" s="3" t="str">
        <f>IF($C256="","",SUMIFS(Resultats_jugadores!$D:$D,Resultats_jugadores!$A:$A,$A256,Resultats_jugadores!$B:$B,$C256))</f>
        <v/>
      </c>
      <c r="H256" s="3" t="str">
        <f t="shared" si="3"/>
        <v/>
      </c>
      <c r="I256" s="3" t="str">
        <f t="array" ref="I256">IF($C256="","",IFERROR(INDEX(Partits!$C:$C,MATCH($A256&amp;"_"&amp;$D256,Partits!$D:$D,0)),""))</f>
        <v/>
      </c>
      <c r="J256" s="3" t="str">
        <f t="shared" si="4"/>
        <v/>
      </c>
      <c r="K256" s="3" t="str">
        <f t="shared" si="5"/>
        <v/>
      </c>
      <c r="L256" s="3" t="str">
        <f t="shared" si="6"/>
        <v/>
      </c>
      <c r="M256" s="3" t="str">
        <f t="shared" si="7"/>
        <v/>
      </c>
    </row>
    <row r="257" ht="15.0" customHeight="1">
      <c r="A257" s="3" t="str">
        <f>IF(Equips_usuari!A257="","",Equips_usuari!A257)</f>
        <v/>
      </c>
      <c r="B257" s="3" t="str">
        <f>IF(Equips_usuari!B257="","",Equips_usuari!B257)</f>
        <v/>
      </c>
      <c r="C257" s="3" t="str">
        <f>IF(Equips_usuari!C257="","",Equips_usuari!C257)</f>
        <v/>
      </c>
      <c r="D257" s="3" t="str">
        <f>IF(Equips_usuari!D257="","",Equips_usuari!D257)</f>
        <v/>
      </c>
      <c r="E257" s="3" t="str">
        <f>IF(Equips_usuari!F257="","",Equips_usuari!F257)</f>
        <v/>
      </c>
      <c r="F257" s="3" t="str">
        <f>IF($C257="","",SUMIFS(Resultats_jugadores!$C:$C,Resultats_jugadores!$A:$A,$A257,Resultats_jugadores!$B:$B,$C257))</f>
        <v/>
      </c>
      <c r="G257" s="3" t="str">
        <f>IF($C257="","",SUMIFS(Resultats_jugadores!$D:$D,Resultats_jugadores!$A:$A,$A257,Resultats_jugadores!$B:$B,$C257))</f>
        <v/>
      </c>
      <c r="H257" s="3" t="str">
        <f t="shared" si="3"/>
        <v/>
      </c>
      <c r="I257" s="3" t="str">
        <f t="array" ref="I257">IF($C257="","",IFERROR(INDEX(Partits!$C:$C,MATCH($A257&amp;"_"&amp;$D257,Partits!$D:$D,0)),""))</f>
        <v/>
      </c>
      <c r="J257" s="3" t="str">
        <f t="shared" si="4"/>
        <v/>
      </c>
      <c r="K257" s="3" t="str">
        <f t="shared" si="5"/>
        <v/>
      </c>
      <c r="L257" s="3" t="str">
        <f t="shared" si="6"/>
        <v/>
      </c>
      <c r="M257" s="3" t="str">
        <f t="shared" si="7"/>
        <v/>
      </c>
    </row>
    <row r="258" ht="15.0" customHeight="1">
      <c r="A258" s="3" t="str">
        <f>IF(Equips_usuari!A258="","",Equips_usuari!A258)</f>
        <v/>
      </c>
      <c r="B258" s="3" t="str">
        <f>IF(Equips_usuari!B258="","",Equips_usuari!B258)</f>
        <v/>
      </c>
      <c r="C258" s="3" t="str">
        <f>IF(Equips_usuari!C258="","",Equips_usuari!C258)</f>
        <v/>
      </c>
      <c r="D258" s="3" t="str">
        <f>IF(Equips_usuari!D258="","",Equips_usuari!D258)</f>
        <v/>
      </c>
      <c r="E258" s="3" t="str">
        <f>IF(Equips_usuari!F258="","",Equips_usuari!F258)</f>
        <v/>
      </c>
      <c r="F258" s="3" t="str">
        <f>IF($C258="","",SUMIFS(Resultats_jugadores!$C:$C,Resultats_jugadores!$A:$A,$A258,Resultats_jugadores!$B:$B,$C258))</f>
        <v/>
      </c>
      <c r="G258" s="3" t="str">
        <f>IF($C258="","",SUMIFS(Resultats_jugadores!$D:$D,Resultats_jugadores!$A:$A,$A258,Resultats_jugadores!$B:$B,$C258))</f>
        <v/>
      </c>
      <c r="H258" s="3" t="str">
        <f t="shared" si="3"/>
        <v/>
      </c>
      <c r="I258" s="3" t="str">
        <f t="array" ref="I258">IF($C258="","",IFERROR(INDEX(Partits!$C:$C,MATCH($A258&amp;"_"&amp;$D258,Partits!$D:$D,0)),""))</f>
        <v/>
      </c>
      <c r="J258" s="3" t="str">
        <f t="shared" si="4"/>
        <v/>
      </c>
      <c r="K258" s="3" t="str">
        <f t="shared" si="5"/>
        <v/>
      </c>
      <c r="L258" s="3" t="str">
        <f t="shared" si="6"/>
        <v/>
      </c>
      <c r="M258" s="3" t="str">
        <f t="shared" si="7"/>
        <v/>
      </c>
    </row>
    <row r="259" ht="15.0" customHeight="1">
      <c r="A259" s="3" t="str">
        <f>IF(Equips_usuari!A259="","",Equips_usuari!A259)</f>
        <v/>
      </c>
      <c r="B259" s="3" t="str">
        <f>IF(Equips_usuari!B259="","",Equips_usuari!B259)</f>
        <v/>
      </c>
      <c r="C259" s="3" t="str">
        <f>IF(Equips_usuari!C259="","",Equips_usuari!C259)</f>
        <v/>
      </c>
      <c r="D259" s="3" t="str">
        <f>IF(Equips_usuari!D259="","",Equips_usuari!D259)</f>
        <v/>
      </c>
      <c r="E259" s="3" t="str">
        <f>IF(Equips_usuari!F259="","",Equips_usuari!F259)</f>
        <v/>
      </c>
      <c r="F259" s="3" t="str">
        <f>IF($C259="","",SUMIFS(Resultats_jugadores!$C:$C,Resultats_jugadores!$A:$A,$A259,Resultats_jugadores!$B:$B,$C259))</f>
        <v/>
      </c>
      <c r="G259" s="3" t="str">
        <f>IF($C259="","",SUMIFS(Resultats_jugadores!$D:$D,Resultats_jugadores!$A:$A,$A259,Resultats_jugadores!$B:$B,$C259))</f>
        <v/>
      </c>
      <c r="H259" s="3" t="str">
        <f t="shared" si="3"/>
        <v/>
      </c>
      <c r="I259" s="3" t="str">
        <f t="array" ref="I259">IF($C259="","",IFERROR(INDEX(Partits!$C:$C,MATCH($A259&amp;"_"&amp;$D259,Partits!$D:$D,0)),""))</f>
        <v/>
      </c>
      <c r="J259" s="3" t="str">
        <f t="shared" si="4"/>
        <v/>
      </c>
      <c r="K259" s="3" t="str">
        <f t="shared" si="5"/>
        <v/>
      </c>
      <c r="L259" s="3" t="str">
        <f t="shared" si="6"/>
        <v/>
      </c>
      <c r="M259" s="3" t="str">
        <f t="shared" si="7"/>
        <v/>
      </c>
    </row>
    <row r="260" ht="15.0" customHeight="1">
      <c r="A260" s="3" t="str">
        <f>IF(Equips_usuari!A260="","",Equips_usuari!A260)</f>
        <v/>
      </c>
      <c r="B260" s="3" t="str">
        <f>IF(Equips_usuari!B260="","",Equips_usuari!B260)</f>
        <v/>
      </c>
      <c r="C260" s="3" t="str">
        <f>IF(Equips_usuari!C260="","",Equips_usuari!C260)</f>
        <v/>
      </c>
      <c r="D260" s="3" t="str">
        <f>IF(Equips_usuari!D260="","",Equips_usuari!D260)</f>
        <v/>
      </c>
      <c r="E260" s="3" t="str">
        <f>IF(Equips_usuari!F260="","",Equips_usuari!F260)</f>
        <v/>
      </c>
      <c r="F260" s="3" t="str">
        <f>IF($C260="","",SUMIFS(Resultats_jugadores!$C:$C,Resultats_jugadores!$A:$A,$A260,Resultats_jugadores!$B:$B,$C260))</f>
        <v/>
      </c>
      <c r="G260" s="3" t="str">
        <f>IF($C260="","",SUMIFS(Resultats_jugadores!$D:$D,Resultats_jugadores!$A:$A,$A260,Resultats_jugadores!$B:$B,$C260))</f>
        <v/>
      </c>
      <c r="H260" s="3" t="str">
        <f t="shared" si="3"/>
        <v/>
      </c>
      <c r="I260" s="3" t="str">
        <f t="array" ref="I260">IF($C260="","",IFERROR(INDEX(Partits!$C:$C,MATCH($A260&amp;"_"&amp;$D260,Partits!$D:$D,0)),""))</f>
        <v/>
      </c>
      <c r="J260" s="3" t="str">
        <f t="shared" si="4"/>
        <v/>
      </c>
      <c r="K260" s="3" t="str">
        <f t="shared" si="5"/>
        <v/>
      </c>
      <c r="L260" s="3" t="str">
        <f t="shared" si="6"/>
        <v/>
      </c>
      <c r="M260" s="3" t="str">
        <f t="shared" si="7"/>
        <v/>
      </c>
    </row>
    <row r="261" ht="15.0" customHeight="1">
      <c r="A261" s="3" t="str">
        <f>IF(Equips_usuari!A261="","",Equips_usuari!A261)</f>
        <v/>
      </c>
      <c r="B261" s="3" t="str">
        <f>IF(Equips_usuari!B261="","",Equips_usuari!B261)</f>
        <v/>
      </c>
      <c r="C261" s="3" t="str">
        <f>IF(Equips_usuari!C261="","",Equips_usuari!C261)</f>
        <v/>
      </c>
      <c r="D261" s="3" t="str">
        <f>IF(Equips_usuari!D261="","",Equips_usuari!D261)</f>
        <v/>
      </c>
      <c r="E261" s="3" t="str">
        <f>IF(Equips_usuari!F261="","",Equips_usuari!F261)</f>
        <v/>
      </c>
      <c r="F261" s="3" t="str">
        <f>IF($C261="","",SUMIFS(Resultats_jugadores!$C:$C,Resultats_jugadores!$A:$A,$A261,Resultats_jugadores!$B:$B,$C261))</f>
        <v/>
      </c>
      <c r="G261" s="3" t="str">
        <f>IF($C261="","",SUMIFS(Resultats_jugadores!$D:$D,Resultats_jugadores!$A:$A,$A261,Resultats_jugadores!$B:$B,$C261))</f>
        <v/>
      </c>
      <c r="H261" s="3" t="str">
        <f t="shared" si="3"/>
        <v/>
      </c>
      <c r="I261" s="3" t="str">
        <f t="array" ref="I261">IF($C261="","",IFERROR(INDEX(Partits!$C:$C,MATCH($A261&amp;"_"&amp;$D261,Partits!$D:$D,0)),""))</f>
        <v/>
      </c>
      <c r="J261" s="3" t="str">
        <f t="shared" si="4"/>
        <v/>
      </c>
      <c r="K261" s="3" t="str">
        <f t="shared" si="5"/>
        <v/>
      </c>
      <c r="L261" s="3" t="str">
        <f t="shared" si="6"/>
        <v/>
      </c>
      <c r="M261" s="3" t="str">
        <f t="shared" si="7"/>
        <v/>
      </c>
    </row>
    <row r="262" ht="15.0" customHeight="1">
      <c r="A262" s="3" t="str">
        <f>IF(Equips_usuari!A262="","",Equips_usuari!A262)</f>
        <v/>
      </c>
      <c r="B262" s="3" t="str">
        <f>IF(Equips_usuari!B262="","",Equips_usuari!B262)</f>
        <v/>
      </c>
      <c r="C262" s="3" t="str">
        <f>IF(Equips_usuari!C262="","",Equips_usuari!C262)</f>
        <v/>
      </c>
      <c r="D262" s="3" t="str">
        <f>IF(Equips_usuari!D262="","",Equips_usuari!D262)</f>
        <v/>
      </c>
      <c r="E262" s="3" t="str">
        <f>IF(Equips_usuari!F262="","",Equips_usuari!F262)</f>
        <v/>
      </c>
      <c r="F262" s="3" t="str">
        <f>IF($C262="","",SUMIFS(Resultats_jugadores!$C:$C,Resultats_jugadores!$A:$A,$A262,Resultats_jugadores!$B:$B,$C262))</f>
        <v/>
      </c>
      <c r="G262" s="3" t="str">
        <f>IF($C262="","",SUMIFS(Resultats_jugadores!$D:$D,Resultats_jugadores!$A:$A,$A262,Resultats_jugadores!$B:$B,$C262))</f>
        <v/>
      </c>
      <c r="H262" s="3" t="str">
        <f t="shared" si="3"/>
        <v/>
      </c>
      <c r="I262" s="3" t="str">
        <f t="array" ref="I262">IF($C262="","",IFERROR(INDEX(Partits!$C:$C,MATCH($A262&amp;"_"&amp;$D262,Partits!$D:$D,0)),""))</f>
        <v/>
      </c>
      <c r="J262" s="3" t="str">
        <f t="shared" si="4"/>
        <v/>
      </c>
      <c r="K262" s="3" t="str">
        <f t="shared" si="5"/>
        <v/>
      </c>
      <c r="L262" s="3" t="str">
        <f t="shared" si="6"/>
        <v/>
      </c>
      <c r="M262" s="3" t="str">
        <f t="shared" si="7"/>
        <v/>
      </c>
    </row>
    <row r="263" ht="15.0" customHeight="1">
      <c r="A263" s="3" t="str">
        <f>IF(Equips_usuari!A263="","",Equips_usuari!A263)</f>
        <v/>
      </c>
      <c r="B263" s="3" t="str">
        <f>IF(Equips_usuari!B263="","",Equips_usuari!B263)</f>
        <v/>
      </c>
      <c r="C263" s="3" t="str">
        <f>IF(Equips_usuari!C263="","",Equips_usuari!C263)</f>
        <v/>
      </c>
      <c r="D263" s="3" t="str">
        <f>IF(Equips_usuari!D263="","",Equips_usuari!D263)</f>
        <v/>
      </c>
      <c r="E263" s="3" t="str">
        <f>IF(Equips_usuari!F263="","",Equips_usuari!F263)</f>
        <v/>
      </c>
      <c r="F263" s="3" t="str">
        <f>IF($C263="","",SUMIFS(Resultats_jugadores!$C:$C,Resultats_jugadores!$A:$A,$A263,Resultats_jugadores!$B:$B,$C263))</f>
        <v/>
      </c>
      <c r="G263" s="3" t="str">
        <f>IF($C263="","",SUMIFS(Resultats_jugadores!$D:$D,Resultats_jugadores!$A:$A,$A263,Resultats_jugadores!$B:$B,$C263))</f>
        <v/>
      </c>
      <c r="H263" s="3" t="str">
        <f t="shared" si="3"/>
        <v/>
      </c>
      <c r="I263" s="3" t="str">
        <f t="array" ref="I263">IF($C263="","",IFERROR(INDEX(Partits!$C:$C,MATCH($A263&amp;"_"&amp;$D263,Partits!$D:$D,0)),""))</f>
        <v/>
      </c>
      <c r="J263" s="3" t="str">
        <f t="shared" si="4"/>
        <v/>
      </c>
      <c r="K263" s="3" t="str">
        <f t="shared" si="5"/>
        <v/>
      </c>
      <c r="L263" s="3" t="str">
        <f t="shared" si="6"/>
        <v/>
      </c>
      <c r="M263" s="3" t="str">
        <f t="shared" si="7"/>
        <v/>
      </c>
    </row>
    <row r="264" ht="15.0" customHeight="1">
      <c r="A264" s="3" t="str">
        <f>IF(Equips_usuari!A264="","",Equips_usuari!A264)</f>
        <v/>
      </c>
      <c r="B264" s="3" t="str">
        <f>IF(Equips_usuari!B264="","",Equips_usuari!B264)</f>
        <v/>
      </c>
      <c r="C264" s="3" t="str">
        <f>IF(Equips_usuari!C264="","",Equips_usuari!C264)</f>
        <v/>
      </c>
      <c r="D264" s="3" t="str">
        <f>IF(Equips_usuari!D264="","",Equips_usuari!D264)</f>
        <v/>
      </c>
      <c r="E264" s="3" t="str">
        <f>IF(Equips_usuari!F264="","",Equips_usuari!F264)</f>
        <v/>
      </c>
      <c r="F264" s="3" t="str">
        <f>IF($C264="","",SUMIFS(Resultats_jugadores!$C:$C,Resultats_jugadores!$A:$A,$A264,Resultats_jugadores!$B:$B,$C264))</f>
        <v/>
      </c>
      <c r="G264" s="3" t="str">
        <f>IF($C264="","",SUMIFS(Resultats_jugadores!$D:$D,Resultats_jugadores!$A:$A,$A264,Resultats_jugadores!$B:$B,$C264))</f>
        <v/>
      </c>
      <c r="H264" s="3" t="str">
        <f t="shared" si="3"/>
        <v/>
      </c>
      <c r="I264" s="3" t="str">
        <f t="array" ref="I264">IF($C264="","",IFERROR(INDEX(Partits!$C:$C,MATCH($A264&amp;"_"&amp;$D264,Partits!$D:$D,0)),""))</f>
        <v/>
      </c>
      <c r="J264" s="3" t="str">
        <f t="shared" si="4"/>
        <v/>
      </c>
      <c r="K264" s="3" t="str">
        <f t="shared" si="5"/>
        <v/>
      </c>
      <c r="L264" s="3" t="str">
        <f t="shared" si="6"/>
        <v/>
      </c>
      <c r="M264" s="3" t="str">
        <f t="shared" si="7"/>
        <v/>
      </c>
    </row>
    <row r="265" ht="15.0" customHeight="1">
      <c r="A265" s="3" t="str">
        <f>IF(Equips_usuari!A265="","",Equips_usuari!A265)</f>
        <v/>
      </c>
      <c r="B265" s="3" t="str">
        <f>IF(Equips_usuari!B265="","",Equips_usuari!B265)</f>
        <v/>
      </c>
      <c r="C265" s="3" t="str">
        <f>IF(Equips_usuari!C265="","",Equips_usuari!C265)</f>
        <v/>
      </c>
      <c r="D265" s="3" t="str">
        <f>IF(Equips_usuari!D265="","",Equips_usuari!D265)</f>
        <v/>
      </c>
      <c r="E265" s="3" t="str">
        <f>IF(Equips_usuari!F265="","",Equips_usuari!F265)</f>
        <v/>
      </c>
      <c r="F265" s="3" t="str">
        <f>IF($C265="","",SUMIFS(Resultats_jugadores!$C:$C,Resultats_jugadores!$A:$A,$A265,Resultats_jugadores!$B:$B,$C265))</f>
        <v/>
      </c>
      <c r="G265" s="3" t="str">
        <f>IF($C265="","",SUMIFS(Resultats_jugadores!$D:$D,Resultats_jugadores!$A:$A,$A265,Resultats_jugadores!$B:$B,$C265))</f>
        <v/>
      </c>
      <c r="H265" s="3" t="str">
        <f t="shared" si="3"/>
        <v/>
      </c>
      <c r="I265" s="3" t="str">
        <f t="array" ref="I265">IF($C265="","",IFERROR(INDEX(Partits!$C:$C,MATCH($A265&amp;"_"&amp;$D265,Partits!$D:$D,0)),""))</f>
        <v/>
      </c>
      <c r="J265" s="3" t="str">
        <f t="shared" si="4"/>
        <v/>
      </c>
      <c r="K265" s="3" t="str">
        <f t="shared" si="5"/>
        <v/>
      </c>
      <c r="L265" s="3" t="str">
        <f t="shared" si="6"/>
        <v/>
      </c>
      <c r="M265" s="3" t="str">
        <f t="shared" si="7"/>
        <v/>
      </c>
    </row>
    <row r="266" ht="15.0" customHeight="1">
      <c r="A266" s="3" t="str">
        <f>IF(Equips_usuari!A266="","",Equips_usuari!A266)</f>
        <v/>
      </c>
      <c r="B266" s="3" t="str">
        <f>IF(Equips_usuari!B266="","",Equips_usuari!B266)</f>
        <v/>
      </c>
      <c r="C266" s="3" t="str">
        <f>IF(Equips_usuari!C266="","",Equips_usuari!C266)</f>
        <v/>
      </c>
      <c r="D266" s="3" t="str">
        <f>IF(Equips_usuari!D266="","",Equips_usuari!D266)</f>
        <v/>
      </c>
      <c r="E266" s="3" t="str">
        <f>IF(Equips_usuari!F266="","",Equips_usuari!F266)</f>
        <v/>
      </c>
      <c r="F266" s="3" t="str">
        <f>IF($C266="","",SUMIFS(Resultats_jugadores!$C:$C,Resultats_jugadores!$A:$A,$A266,Resultats_jugadores!$B:$B,$C266))</f>
        <v/>
      </c>
      <c r="G266" s="3" t="str">
        <f>IF($C266="","",SUMIFS(Resultats_jugadores!$D:$D,Resultats_jugadores!$A:$A,$A266,Resultats_jugadores!$B:$B,$C266))</f>
        <v/>
      </c>
      <c r="H266" s="3" t="str">
        <f t="shared" si="3"/>
        <v/>
      </c>
      <c r="I266" s="3" t="str">
        <f t="array" ref="I266">IF($C266="","",IFERROR(INDEX(Partits!$C:$C,MATCH($A266&amp;"_"&amp;$D266,Partits!$D:$D,0)),""))</f>
        <v/>
      </c>
      <c r="J266" s="3" t="str">
        <f t="shared" si="4"/>
        <v/>
      </c>
      <c r="K266" s="3" t="str">
        <f t="shared" si="5"/>
        <v/>
      </c>
      <c r="L266" s="3" t="str">
        <f t="shared" si="6"/>
        <v/>
      </c>
      <c r="M266" s="3" t="str">
        <f t="shared" si="7"/>
        <v/>
      </c>
    </row>
    <row r="267" ht="15.0" customHeight="1">
      <c r="A267" s="3" t="str">
        <f>IF(Equips_usuari!A267="","",Equips_usuari!A267)</f>
        <v/>
      </c>
      <c r="B267" s="3" t="str">
        <f>IF(Equips_usuari!B267="","",Equips_usuari!B267)</f>
        <v/>
      </c>
      <c r="C267" s="3" t="str">
        <f>IF(Equips_usuari!C267="","",Equips_usuari!C267)</f>
        <v/>
      </c>
      <c r="D267" s="3" t="str">
        <f>IF(Equips_usuari!D267="","",Equips_usuari!D267)</f>
        <v/>
      </c>
      <c r="E267" s="3" t="str">
        <f>IF(Equips_usuari!F267="","",Equips_usuari!F267)</f>
        <v/>
      </c>
      <c r="F267" s="3" t="str">
        <f>IF($C267="","",SUMIFS(Resultats_jugadores!$C:$C,Resultats_jugadores!$A:$A,$A267,Resultats_jugadores!$B:$B,$C267))</f>
        <v/>
      </c>
      <c r="G267" s="3" t="str">
        <f>IF($C267="","",SUMIFS(Resultats_jugadores!$D:$D,Resultats_jugadores!$A:$A,$A267,Resultats_jugadores!$B:$B,$C267))</f>
        <v/>
      </c>
      <c r="H267" s="3" t="str">
        <f t="shared" si="3"/>
        <v/>
      </c>
      <c r="I267" s="3" t="str">
        <f t="array" ref="I267">IF($C267="","",IFERROR(INDEX(Partits!$C:$C,MATCH($A267&amp;"_"&amp;$D267,Partits!$D:$D,0)),""))</f>
        <v/>
      </c>
      <c r="J267" s="3" t="str">
        <f t="shared" si="4"/>
        <v/>
      </c>
      <c r="K267" s="3" t="str">
        <f t="shared" si="5"/>
        <v/>
      </c>
      <c r="L267" s="3" t="str">
        <f t="shared" si="6"/>
        <v/>
      </c>
      <c r="M267" s="3" t="str">
        <f t="shared" si="7"/>
        <v/>
      </c>
    </row>
    <row r="268" ht="15.0" customHeight="1">
      <c r="A268" s="3" t="str">
        <f>IF(Equips_usuari!A268="","",Equips_usuari!A268)</f>
        <v/>
      </c>
      <c r="B268" s="3" t="str">
        <f>IF(Equips_usuari!B268="","",Equips_usuari!B268)</f>
        <v/>
      </c>
      <c r="C268" s="3" t="str">
        <f>IF(Equips_usuari!C268="","",Equips_usuari!C268)</f>
        <v/>
      </c>
      <c r="D268" s="3" t="str">
        <f>IF(Equips_usuari!D268="","",Equips_usuari!D268)</f>
        <v/>
      </c>
      <c r="E268" s="3" t="str">
        <f>IF(Equips_usuari!F268="","",Equips_usuari!F268)</f>
        <v/>
      </c>
      <c r="F268" s="3" t="str">
        <f>IF($C268="","",SUMIFS(Resultats_jugadores!$C:$C,Resultats_jugadores!$A:$A,$A268,Resultats_jugadores!$B:$B,$C268))</f>
        <v/>
      </c>
      <c r="G268" s="3" t="str">
        <f>IF($C268="","",SUMIFS(Resultats_jugadores!$D:$D,Resultats_jugadores!$A:$A,$A268,Resultats_jugadores!$B:$B,$C268))</f>
        <v/>
      </c>
      <c r="H268" s="3" t="str">
        <f t="shared" si="3"/>
        <v/>
      </c>
      <c r="I268" s="3" t="str">
        <f t="array" ref="I268">IF($C268="","",IFERROR(INDEX(Partits!$C:$C,MATCH($A268&amp;"_"&amp;$D268,Partits!$D:$D,0)),""))</f>
        <v/>
      </c>
      <c r="J268" s="3" t="str">
        <f t="shared" si="4"/>
        <v/>
      </c>
      <c r="K268" s="3" t="str">
        <f t="shared" si="5"/>
        <v/>
      </c>
      <c r="L268" s="3" t="str">
        <f t="shared" si="6"/>
        <v/>
      </c>
      <c r="M268" s="3" t="str">
        <f t="shared" si="7"/>
        <v/>
      </c>
    </row>
    <row r="269" ht="15.0" customHeight="1">
      <c r="A269" s="3" t="str">
        <f>IF(Equips_usuari!A269="","",Equips_usuari!A269)</f>
        <v/>
      </c>
      <c r="B269" s="3" t="str">
        <f>IF(Equips_usuari!B269="","",Equips_usuari!B269)</f>
        <v/>
      </c>
      <c r="C269" s="3" t="str">
        <f>IF(Equips_usuari!C269="","",Equips_usuari!C269)</f>
        <v/>
      </c>
      <c r="D269" s="3" t="str">
        <f>IF(Equips_usuari!D269="","",Equips_usuari!D269)</f>
        <v/>
      </c>
      <c r="E269" s="3" t="str">
        <f>IF(Equips_usuari!F269="","",Equips_usuari!F269)</f>
        <v/>
      </c>
      <c r="F269" s="3" t="str">
        <f>IF($C269="","",SUMIFS(Resultats_jugadores!$C:$C,Resultats_jugadores!$A:$A,$A269,Resultats_jugadores!$B:$B,$C269))</f>
        <v/>
      </c>
      <c r="G269" s="3" t="str">
        <f>IF($C269="","",SUMIFS(Resultats_jugadores!$D:$D,Resultats_jugadores!$A:$A,$A269,Resultats_jugadores!$B:$B,$C269))</f>
        <v/>
      </c>
      <c r="H269" s="3" t="str">
        <f t="shared" si="3"/>
        <v/>
      </c>
      <c r="I269" s="3" t="str">
        <f t="array" ref="I269">IF($C269="","",IFERROR(INDEX(Partits!$C:$C,MATCH($A269&amp;"_"&amp;$D269,Partits!$D:$D,0)),""))</f>
        <v/>
      </c>
      <c r="J269" s="3" t="str">
        <f t="shared" si="4"/>
        <v/>
      </c>
      <c r="K269" s="3" t="str">
        <f t="shared" si="5"/>
        <v/>
      </c>
      <c r="L269" s="3" t="str">
        <f t="shared" si="6"/>
        <v/>
      </c>
      <c r="M269" s="3" t="str">
        <f t="shared" si="7"/>
        <v/>
      </c>
    </row>
    <row r="270" ht="15.0" customHeight="1">
      <c r="A270" s="3" t="str">
        <f>IF(Equips_usuari!A270="","",Equips_usuari!A270)</f>
        <v/>
      </c>
      <c r="B270" s="3" t="str">
        <f>IF(Equips_usuari!B270="","",Equips_usuari!B270)</f>
        <v/>
      </c>
      <c r="C270" s="3" t="str">
        <f>IF(Equips_usuari!C270="","",Equips_usuari!C270)</f>
        <v/>
      </c>
      <c r="D270" s="3" t="str">
        <f>IF(Equips_usuari!D270="","",Equips_usuari!D270)</f>
        <v/>
      </c>
      <c r="E270" s="3" t="str">
        <f>IF(Equips_usuari!F270="","",Equips_usuari!F270)</f>
        <v/>
      </c>
      <c r="F270" s="3" t="str">
        <f>IF($C270="","",SUMIFS(Resultats_jugadores!$C:$C,Resultats_jugadores!$A:$A,$A270,Resultats_jugadores!$B:$B,$C270))</f>
        <v/>
      </c>
      <c r="G270" s="3" t="str">
        <f>IF($C270="","",SUMIFS(Resultats_jugadores!$D:$D,Resultats_jugadores!$A:$A,$A270,Resultats_jugadores!$B:$B,$C270))</f>
        <v/>
      </c>
      <c r="H270" s="3" t="str">
        <f t="shared" si="3"/>
        <v/>
      </c>
      <c r="I270" s="3" t="str">
        <f t="array" ref="I270">IF($C270="","",IFERROR(INDEX(Partits!$C:$C,MATCH($A270&amp;"_"&amp;$D270,Partits!$D:$D,0)),""))</f>
        <v/>
      </c>
      <c r="J270" s="3" t="str">
        <f t="shared" si="4"/>
        <v/>
      </c>
      <c r="K270" s="3" t="str">
        <f t="shared" si="5"/>
        <v/>
      </c>
      <c r="L270" s="3" t="str">
        <f t="shared" si="6"/>
        <v/>
      </c>
      <c r="M270" s="3" t="str">
        <f t="shared" si="7"/>
        <v/>
      </c>
    </row>
    <row r="271" ht="15.0" customHeight="1">
      <c r="A271" s="3" t="str">
        <f>IF(Equips_usuari!A271="","",Equips_usuari!A271)</f>
        <v/>
      </c>
      <c r="B271" s="3" t="str">
        <f>IF(Equips_usuari!B271="","",Equips_usuari!B271)</f>
        <v/>
      </c>
      <c r="C271" s="3" t="str">
        <f>IF(Equips_usuari!C271="","",Equips_usuari!C271)</f>
        <v/>
      </c>
      <c r="D271" s="3" t="str">
        <f>IF(Equips_usuari!D271="","",Equips_usuari!D271)</f>
        <v/>
      </c>
      <c r="E271" s="3" t="str">
        <f>IF(Equips_usuari!F271="","",Equips_usuari!F271)</f>
        <v/>
      </c>
      <c r="F271" s="3" t="str">
        <f>IF($C271="","",SUMIFS(Resultats_jugadores!$C:$C,Resultats_jugadores!$A:$A,$A271,Resultats_jugadores!$B:$B,$C271))</f>
        <v/>
      </c>
      <c r="G271" s="3" t="str">
        <f>IF($C271="","",SUMIFS(Resultats_jugadores!$D:$D,Resultats_jugadores!$A:$A,$A271,Resultats_jugadores!$B:$B,$C271))</f>
        <v/>
      </c>
      <c r="H271" s="3" t="str">
        <f t="shared" si="3"/>
        <v/>
      </c>
      <c r="I271" s="3" t="str">
        <f t="array" ref="I271">IF($C271="","",IFERROR(INDEX(Partits!$C:$C,MATCH($A271&amp;"_"&amp;$D271,Partits!$D:$D,0)),""))</f>
        <v/>
      </c>
      <c r="J271" s="3" t="str">
        <f t="shared" si="4"/>
        <v/>
      </c>
      <c r="K271" s="3" t="str">
        <f t="shared" si="5"/>
        <v/>
      </c>
      <c r="L271" s="3" t="str">
        <f t="shared" si="6"/>
        <v/>
      </c>
      <c r="M271" s="3" t="str">
        <f t="shared" si="7"/>
        <v/>
      </c>
    </row>
    <row r="272" ht="15.0" customHeight="1">
      <c r="A272" s="3" t="str">
        <f>IF(Equips_usuari!A272="","",Equips_usuari!A272)</f>
        <v/>
      </c>
      <c r="B272" s="3" t="str">
        <f>IF(Equips_usuari!B272="","",Equips_usuari!B272)</f>
        <v/>
      </c>
      <c r="C272" s="3" t="str">
        <f>IF(Equips_usuari!C272="","",Equips_usuari!C272)</f>
        <v/>
      </c>
      <c r="D272" s="3" t="str">
        <f>IF(Equips_usuari!D272="","",Equips_usuari!D272)</f>
        <v/>
      </c>
      <c r="E272" s="3" t="str">
        <f>IF(Equips_usuari!F272="","",Equips_usuari!F272)</f>
        <v/>
      </c>
      <c r="F272" s="3" t="str">
        <f>IF($C272="","",SUMIFS(Resultats_jugadores!$C:$C,Resultats_jugadores!$A:$A,$A272,Resultats_jugadores!$B:$B,$C272))</f>
        <v/>
      </c>
      <c r="G272" s="3" t="str">
        <f>IF($C272="","",SUMIFS(Resultats_jugadores!$D:$D,Resultats_jugadores!$A:$A,$A272,Resultats_jugadores!$B:$B,$C272))</f>
        <v/>
      </c>
      <c r="H272" s="3" t="str">
        <f t="shared" si="3"/>
        <v/>
      </c>
      <c r="I272" s="3" t="str">
        <f t="array" ref="I272">IF($C272="","",IFERROR(INDEX(Partits!$C:$C,MATCH($A272&amp;"_"&amp;$D272,Partits!$D:$D,0)),""))</f>
        <v/>
      </c>
      <c r="J272" s="3" t="str">
        <f t="shared" si="4"/>
        <v/>
      </c>
      <c r="K272" s="3" t="str">
        <f t="shared" si="5"/>
        <v/>
      </c>
      <c r="L272" s="3" t="str">
        <f t="shared" si="6"/>
        <v/>
      </c>
      <c r="M272" s="3" t="str">
        <f t="shared" si="7"/>
        <v/>
      </c>
    </row>
    <row r="273" ht="15.0" customHeight="1">
      <c r="A273" s="3" t="str">
        <f>IF(Equips_usuari!A273="","",Equips_usuari!A273)</f>
        <v/>
      </c>
      <c r="B273" s="3" t="str">
        <f>IF(Equips_usuari!B273="","",Equips_usuari!B273)</f>
        <v/>
      </c>
      <c r="C273" s="3" t="str">
        <f>IF(Equips_usuari!C273="","",Equips_usuari!C273)</f>
        <v/>
      </c>
      <c r="D273" s="3" t="str">
        <f>IF(Equips_usuari!D273="","",Equips_usuari!D273)</f>
        <v/>
      </c>
      <c r="E273" s="3" t="str">
        <f>IF(Equips_usuari!F273="","",Equips_usuari!F273)</f>
        <v/>
      </c>
      <c r="F273" s="3" t="str">
        <f>IF($C273="","",SUMIFS(Resultats_jugadores!$C:$C,Resultats_jugadores!$A:$A,$A273,Resultats_jugadores!$B:$B,$C273))</f>
        <v/>
      </c>
      <c r="G273" s="3" t="str">
        <f>IF($C273="","",SUMIFS(Resultats_jugadores!$D:$D,Resultats_jugadores!$A:$A,$A273,Resultats_jugadores!$B:$B,$C273))</f>
        <v/>
      </c>
      <c r="H273" s="3" t="str">
        <f t="shared" si="3"/>
        <v/>
      </c>
      <c r="I273" s="3" t="str">
        <f t="array" ref="I273">IF($C273="","",IFERROR(INDEX(Partits!$C:$C,MATCH($A273&amp;"_"&amp;$D273,Partits!$D:$D,0)),""))</f>
        <v/>
      </c>
      <c r="J273" s="3" t="str">
        <f t="shared" si="4"/>
        <v/>
      </c>
      <c r="K273" s="3" t="str">
        <f t="shared" si="5"/>
        <v/>
      </c>
      <c r="L273" s="3" t="str">
        <f t="shared" si="6"/>
        <v/>
      </c>
      <c r="M273" s="3" t="str">
        <f t="shared" si="7"/>
        <v/>
      </c>
    </row>
    <row r="274" ht="15.0" customHeight="1">
      <c r="A274" s="3" t="str">
        <f>IF(Equips_usuari!A274="","",Equips_usuari!A274)</f>
        <v/>
      </c>
      <c r="B274" s="3" t="str">
        <f>IF(Equips_usuari!B274="","",Equips_usuari!B274)</f>
        <v/>
      </c>
      <c r="C274" s="3" t="str">
        <f>IF(Equips_usuari!C274="","",Equips_usuari!C274)</f>
        <v/>
      </c>
      <c r="D274" s="3" t="str">
        <f>IF(Equips_usuari!D274="","",Equips_usuari!D274)</f>
        <v/>
      </c>
      <c r="E274" s="3" t="str">
        <f>IF(Equips_usuari!F274="","",Equips_usuari!F274)</f>
        <v/>
      </c>
      <c r="F274" s="3" t="str">
        <f>IF($C274="","",SUMIFS(Resultats_jugadores!$C:$C,Resultats_jugadores!$A:$A,$A274,Resultats_jugadores!$B:$B,$C274))</f>
        <v/>
      </c>
      <c r="G274" s="3" t="str">
        <f>IF($C274="","",SUMIFS(Resultats_jugadores!$D:$D,Resultats_jugadores!$A:$A,$A274,Resultats_jugadores!$B:$B,$C274))</f>
        <v/>
      </c>
      <c r="H274" s="3" t="str">
        <f t="shared" si="3"/>
        <v/>
      </c>
      <c r="I274" s="3" t="str">
        <f t="array" ref="I274">IF($C274="","",IFERROR(INDEX(Partits!$C:$C,MATCH($A274&amp;"_"&amp;$D274,Partits!$D:$D,0)),""))</f>
        <v/>
      </c>
      <c r="J274" s="3" t="str">
        <f t="shared" si="4"/>
        <v/>
      </c>
      <c r="K274" s="3" t="str">
        <f t="shared" si="5"/>
        <v/>
      </c>
      <c r="L274" s="3" t="str">
        <f t="shared" si="6"/>
        <v/>
      </c>
      <c r="M274" s="3" t="str">
        <f t="shared" si="7"/>
        <v/>
      </c>
    </row>
    <row r="275" ht="15.0" customHeight="1">
      <c r="A275" s="3" t="str">
        <f>IF(Equips_usuari!A275="","",Equips_usuari!A275)</f>
        <v/>
      </c>
      <c r="B275" s="3" t="str">
        <f>IF(Equips_usuari!B275="","",Equips_usuari!B275)</f>
        <v/>
      </c>
      <c r="C275" s="3" t="str">
        <f>IF(Equips_usuari!C275="","",Equips_usuari!C275)</f>
        <v/>
      </c>
      <c r="D275" s="3" t="str">
        <f>IF(Equips_usuari!D275="","",Equips_usuari!D275)</f>
        <v/>
      </c>
      <c r="E275" s="3" t="str">
        <f>IF(Equips_usuari!F275="","",Equips_usuari!F275)</f>
        <v/>
      </c>
      <c r="F275" s="3" t="str">
        <f>IF($C275="","",SUMIFS(Resultats_jugadores!$C:$C,Resultats_jugadores!$A:$A,$A275,Resultats_jugadores!$B:$B,$C275))</f>
        <v/>
      </c>
      <c r="G275" s="3" t="str">
        <f>IF($C275="","",SUMIFS(Resultats_jugadores!$D:$D,Resultats_jugadores!$A:$A,$A275,Resultats_jugadores!$B:$B,$C275))</f>
        <v/>
      </c>
      <c r="H275" s="3" t="str">
        <f t="shared" si="3"/>
        <v/>
      </c>
      <c r="I275" s="3" t="str">
        <f t="array" ref="I275">IF($C275="","",IFERROR(INDEX(Partits!$C:$C,MATCH($A275&amp;"_"&amp;$D275,Partits!$D:$D,0)),""))</f>
        <v/>
      </c>
      <c r="J275" s="3" t="str">
        <f t="shared" si="4"/>
        <v/>
      </c>
      <c r="K275" s="3" t="str">
        <f t="shared" si="5"/>
        <v/>
      </c>
      <c r="L275" s="3" t="str">
        <f t="shared" si="6"/>
        <v/>
      </c>
      <c r="M275" s="3" t="str">
        <f t="shared" si="7"/>
        <v/>
      </c>
    </row>
    <row r="276" ht="15.0" customHeight="1">
      <c r="A276" s="3" t="str">
        <f>IF(Equips_usuari!A276="","",Equips_usuari!A276)</f>
        <v/>
      </c>
      <c r="B276" s="3" t="str">
        <f>IF(Equips_usuari!B276="","",Equips_usuari!B276)</f>
        <v/>
      </c>
      <c r="C276" s="3" t="str">
        <f>IF(Equips_usuari!C276="","",Equips_usuari!C276)</f>
        <v/>
      </c>
      <c r="D276" s="3" t="str">
        <f>IF(Equips_usuari!D276="","",Equips_usuari!D276)</f>
        <v/>
      </c>
      <c r="E276" s="3" t="str">
        <f>IF(Equips_usuari!F276="","",Equips_usuari!F276)</f>
        <v/>
      </c>
      <c r="F276" s="3" t="str">
        <f>IF($C276="","",SUMIFS(Resultats_jugadores!$C:$C,Resultats_jugadores!$A:$A,$A276,Resultats_jugadores!$B:$B,$C276))</f>
        <v/>
      </c>
      <c r="G276" s="3" t="str">
        <f>IF($C276="","",SUMIFS(Resultats_jugadores!$D:$D,Resultats_jugadores!$A:$A,$A276,Resultats_jugadores!$B:$B,$C276))</f>
        <v/>
      </c>
      <c r="H276" s="3" t="str">
        <f t="shared" si="3"/>
        <v/>
      </c>
      <c r="I276" s="3" t="str">
        <f t="array" ref="I276">IF($C276="","",IFERROR(INDEX(Partits!$C:$C,MATCH($A276&amp;"_"&amp;$D276,Partits!$D:$D,0)),""))</f>
        <v/>
      </c>
      <c r="J276" s="3" t="str">
        <f t="shared" si="4"/>
        <v/>
      </c>
      <c r="K276" s="3" t="str">
        <f t="shared" si="5"/>
        <v/>
      </c>
      <c r="L276" s="3" t="str">
        <f t="shared" si="6"/>
        <v/>
      </c>
      <c r="M276" s="3" t="str">
        <f t="shared" si="7"/>
        <v/>
      </c>
    </row>
    <row r="277" ht="15.0" customHeight="1">
      <c r="A277" s="3" t="str">
        <f>IF(Equips_usuari!A277="","",Equips_usuari!A277)</f>
        <v/>
      </c>
      <c r="B277" s="3" t="str">
        <f>IF(Equips_usuari!B277="","",Equips_usuari!B277)</f>
        <v/>
      </c>
      <c r="C277" s="3" t="str">
        <f>IF(Equips_usuari!C277="","",Equips_usuari!C277)</f>
        <v/>
      </c>
      <c r="D277" s="3" t="str">
        <f>IF(Equips_usuari!D277="","",Equips_usuari!D277)</f>
        <v/>
      </c>
      <c r="E277" s="3" t="str">
        <f>IF(Equips_usuari!F277="","",Equips_usuari!F277)</f>
        <v/>
      </c>
      <c r="F277" s="3" t="str">
        <f>IF($C277="","",SUMIFS(Resultats_jugadores!$C:$C,Resultats_jugadores!$A:$A,$A277,Resultats_jugadores!$B:$B,$C277))</f>
        <v/>
      </c>
      <c r="G277" s="3" t="str">
        <f>IF($C277="","",SUMIFS(Resultats_jugadores!$D:$D,Resultats_jugadores!$A:$A,$A277,Resultats_jugadores!$B:$B,$C277))</f>
        <v/>
      </c>
      <c r="H277" s="3" t="str">
        <f t="shared" si="3"/>
        <v/>
      </c>
      <c r="I277" s="3" t="str">
        <f t="array" ref="I277">IF($C277="","",IFERROR(INDEX(Partits!$C:$C,MATCH($A277&amp;"_"&amp;$D277,Partits!$D:$D,0)),""))</f>
        <v/>
      </c>
      <c r="J277" s="3" t="str">
        <f t="shared" si="4"/>
        <v/>
      </c>
      <c r="K277" s="3" t="str">
        <f t="shared" si="5"/>
        <v/>
      </c>
      <c r="L277" s="3" t="str">
        <f t="shared" si="6"/>
        <v/>
      </c>
      <c r="M277" s="3" t="str">
        <f t="shared" si="7"/>
        <v/>
      </c>
    </row>
    <row r="278" ht="15.0" customHeight="1">
      <c r="A278" s="3" t="str">
        <f>IF(Equips_usuari!A278="","",Equips_usuari!A278)</f>
        <v/>
      </c>
      <c r="B278" s="3" t="str">
        <f>IF(Equips_usuari!B278="","",Equips_usuari!B278)</f>
        <v/>
      </c>
      <c r="C278" s="3" t="str">
        <f>IF(Equips_usuari!C278="","",Equips_usuari!C278)</f>
        <v/>
      </c>
      <c r="D278" s="3" t="str">
        <f>IF(Equips_usuari!D278="","",Equips_usuari!D278)</f>
        <v/>
      </c>
      <c r="E278" s="3" t="str">
        <f>IF(Equips_usuari!F278="","",Equips_usuari!F278)</f>
        <v/>
      </c>
      <c r="F278" s="3" t="str">
        <f>IF($C278="","",SUMIFS(Resultats_jugadores!$C:$C,Resultats_jugadores!$A:$A,$A278,Resultats_jugadores!$B:$B,$C278))</f>
        <v/>
      </c>
      <c r="G278" s="3" t="str">
        <f>IF($C278="","",SUMIFS(Resultats_jugadores!$D:$D,Resultats_jugadores!$A:$A,$A278,Resultats_jugadores!$B:$B,$C278))</f>
        <v/>
      </c>
      <c r="H278" s="3" t="str">
        <f t="shared" si="3"/>
        <v/>
      </c>
      <c r="I278" s="3" t="str">
        <f t="array" ref="I278">IF($C278="","",IFERROR(INDEX(Partits!$C:$C,MATCH($A278&amp;"_"&amp;$D278,Partits!$D:$D,0)),""))</f>
        <v/>
      </c>
      <c r="J278" s="3" t="str">
        <f t="shared" si="4"/>
        <v/>
      </c>
      <c r="K278" s="3" t="str">
        <f t="shared" si="5"/>
        <v/>
      </c>
      <c r="L278" s="3" t="str">
        <f t="shared" si="6"/>
        <v/>
      </c>
      <c r="M278" s="3" t="str">
        <f t="shared" si="7"/>
        <v/>
      </c>
    </row>
    <row r="279" ht="15.0" customHeight="1">
      <c r="A279" s="3" t="str">
        <f>IF(Equips_usuari!A279="","",Equips_usuari!A279)</f>
        <v/>
      </c>
      <c r="B279" s="3" t="str">
        <f>IF(Equips_usuari!B279="","",Equips_usuari!B279)</f>
        <v/>
      </c>
      <c r="C279" s="3" t="str">
        <f>IF(Equips_usuari!C279="","",Equips_usuari!C279)</f>
        <v/>
      </c>
      <c r="D279" s="3" t="str">
        <f>IF(Equips_usuari!D279="","",Equips_usuari!D279)</f>
        <v/>
      </c>
      <c r="E279" s="3" t="str">
        <f>IF(Equips_usuari!F279="","",Equips_usuari!F279)</f>
        <v/>
      </c>
      <c r="F279" s="3" t="str">
        <f>IF($C279="","",SUMIFS(Resultats_jugadores!$C:$C,Resultats_jugadores!$A:$A,$A279,Resultats_jugadores!$B:$B,$C279))</f>
        <v/>
      </c>
      <c r="G279" s="3" t="str">
        <f>IF($C279="","",SUMIFS(Resultats_jugadores!$D:$D,Resultats_jugadores!$A:$A,$A279,Resultats_jugadores!$B:$B,$C279))</f>
        <v/>
      </c>
      <c r="H279" s="3" t="str">
        <f t="shared" si="3"/>
        <v/>
      </c>
      <c r="I279" s="3" t="str">
        <f t="array" ref="I279">IF($C279="","",IFERROR(INDEX(Partits!$C:$C,MATCH($A279&amp;"_"&amp;$D279,Partits!$D:$D,0)),""))</f>
        <v/>
      </c>
      <c r="J279" s="3" t="str">
        <f t="shared" si="4"/>
        <v/>
      </c>
      <c r="K279" s="3" t="str">
        <f t="shared" si="5"/>
        <v/>
      </c>
      <c r="L279" s="3" t="str">
        <f t="shared" si="6"/>
        <v/>
      </c>
      <c r="M279" s="3" t="str">
        <f t="shared" si="7"/>
        <v/>
      </c>
    </row>
    <row r="280" ht="15.0" customHeight="1">
      <c r="A280" s="3" t="str">
        <f>IF(Equips_usuari!A280="","",Equips_usuari!A280)</f>
        <v/>
      </c>
      <c r="B280" s="3" t="str">
        <f>IF(Equips_usuari!B280="","",Equips_usuari!B280)</f>
        <v/>
      </c>
      <c r="C280" s="3" t="str">
        <f>IF(Equips_usuari!C280="","",Equips_usuari!C280)</f>
        <v/>
      </c>
      <c r="D280" s="3" t="str">
        <f>IF(Equips_usuari!D280="","",Equips_usuari!D280)</f>
        <v/>
      </c>
      <c r="E280" s="3" t="str">
        <f>IF(Equips_usuari!F280="","",Equips_usuari!F280)</f>
        <v/>
      </c>
      <c r="F280" s="3" t="str">
        <f>IF($C280="","",SUMIFS(Resultats_jugadores!$C:$C,Resultats_jugadores!$A:$A,$A280,Resultats_jugadores!$B:$B,$C280))</f>
        <v/>
      </c>
      <c r="G280" s="3" t="str">
        <f>IF($C280="","",SUMIFS(Resultats_jugadores!$D:$D,Resultats_jugadores!$A:$A,$A280,Resultats_jugadores!$B:$B,$C280))</f>
        <v/>
      </c>
      <c r="H280" s="3" t="str">
        <f t="shared" si="3"/>
        <v/>
      </c>
      <c r="I280" s="3" t="str">
        <f t="array" ref="I280">IF($C280="","",IFERROR(INDEX(Partits!$C:$C,MATCH($A280&amp;"_"&amp;$D280,Partits!$D:$D,0)),""))</f>
        <v/>
      </c>
      <c r="J280" s="3" t="str">
        <f t="shared" si="4"/>
        <v/>
      </c>
      <c r="K280" s="3" t="str">
        <f t="shared" si="5"/>
        <v/>
      </c>
      <c r="L280" s="3" t="str">
        <f t="shared" si="6"/>
        <v/>
      </c>
      <c r="M280" s="3" t="str">
        <f t="shared" si="7"/>
        <v/>
      </c>
    </row>
    <row r="281" ht="15.0" customHeight="1">
      <c r="A281" s="3" t="str">
        <f>IF(Equips_usuari!A281="","",Equips_usuari!A281)</f>
        <v/>
      </c>
      <c r="B281" s="3" t="str">
        <f>IF(Equips_usuari!B281="","",Equips_usuari!B281)</f>
        <v/>
      </c>
      <c r="C281" s="3" t="str">
        <f>IF(Equips_usuari!C281="","",Equips_usuari!C281)</f>
        <v/>
      </c>
      <c r="D281" s="3" t="str">
        <f>IF(Equips_usuari!D281="","",Equips_usuari!D281)</f>
        <v/>
      </c>
      <c r="E281" s="3" t="str">
        <f>IF(Equips_usuari!F281="","",Equips_usuari!F281)</f>
        <v/>
      </c>
      <c r="F281" s="3" t="str">
        <f>IF($C281="","",SUMIFS(Resultats_jugadores!$C:$C,Resultats_jugadores!$A:$A,$A281,Resultats_jugadores!$B:$B,$C281))</f>
        <v/>
      </c>
      <c r="G281" s="3" t="str">
        <f>IF($C281="","",SUMIFS(Resultats_jugadores!$D:$D,Resultats_jugadores!$A:$A,$A281,Resultats_jugadores!$B:$B,$C281))</f>
        <v/>
      </c>
      <c r="H281" s="3" t="str">
        <f t="shared" si="3"/>
        <v/>
      </c>
      <c r="I281" s="3" t="str">
        <f t="array" ref="I281">IF($C281="","",IFERROR(INDEX(Partits!$C:$C,MATCH($A281&amp;"_"&amp;$D281,Partits!$D:$D,0)),""))</f>
        <v/>
      </c>
      <c r="J281" s="3" t="str">
        <f t="shared" si="4"/>
        <v/>
      </c>
      <c r="K281" s="3" t="str">
        <f t="shared" si="5"/>
        <v/>
      </c>
      <c r="L281" s="3" t="str">
        <f t="shared" si="6"/>
        <v/>
      </c>
      <c r="M281" s="3" t="str">
        <f t="shared" si="7"/>
        <v/>
      </c>
    </row>
    <row r="282" ht="15.0" customHeight="1">
      <c r="A282" s="3" t="str">
        <f>IF(Equips_usuari!A282="","",Equips_usuari!A282)</f>
        <v/>
      </c>
      <c r="B282" s="3" t="str">
        <f>IF(Equips_usuari!B282="","",Equips_usuari!B282)</f>
        <v/>
      </c>
      <c r="C282" s="3" t="str">
        <f>IF(Equips_usuari!C282="","",Equips_usuari!C282)</f>
        <v/>
      </c>
      <c r="D282" s="3" t="str">
        <f>IF(Equips_usuari!D282="","",Equips_usuari!D282)</f>
        <v/>
      </c>
      <c r="E282" s="3" t="str">
        <f>IF(Equips_usuari!F282="","",Equips_usuari!F282)</f>
        <v/>
      </c>
      <c r="F282" s="3" t="str">
        <f>IF($C282="","",SUMIFS(Resultats_jugadores!$C:$C,Resultats_jugadores!$A:$A,$A282,Resultats_jugadores!$B:$B,$C282))</f>
        <v/>
      </c>
      <c r="G282" s="3" t="str">
        <f>IF($C282="","",SUMIFS(Resultats_jugadores!$D:$D,Resultats_jugadores!$A:$A,$A282,Resultats_jugadores!$B:$B,$C282))</f>
        <v/>
      </c>
      <c r="H282" s="3" t="str">
        <f t="shared" si="3"/>
        <v/>
      </c>
      <c r="I282" s="3" t="str">
        <f t="array" ref="I282">IF($C282="","",IFERROR(INDEX(Partits!$C:$C,MATCH($A282&amp;"_"&amp;$D282,Partits!$D:$D,0)),""))</f>
        <v/>
      </c>
      <c r="J282" s="3" t="str">
        <f t="shared" si="4"/>
        <v/>
      </c>
      <c r="K282" s="3" t="str">
        <f t="shared" si="5"/>
        <v/>
      </c>
      <c r="L282" s="3" t="str">
        <f t="shared" si="6"/>
        <v/>
      </c>
      <c r="M282" s="3" t="str">
        <f t="shared" si="7"/>
        <v/>
      </c>
    </row>
    <row r="283" ht="15.0" customHeight="1">
      <c r="A283" s="3" t="str">
        <f>IF(Equips_usuari!A283="","",Equips_usuari!A283)</f>
        <v/>
      </c>
      <c r="B283" s="3" t="str">
        <f>IF(Equips_usuari!B283="","",Equips_usuari!B283)</f>
        <v/>
      </c>
      <c r="C283" s="3" t="str">
        <f>IF(Equips_usuari!C283="","",Equips_usuari!C283)</f>
        <v/>
      </c>
      <c r="D283" s="3" t="str">
        <f>IF(Equips_usuari!D283="","",Equips_usuari!D283)</f>
        <v/>
      </c>
      <c r="E283" s="3" t="str">
        <f>IF(Equips_usuari!F283="","",Equips_usuari!F283)</f>
        <v/>
      </c>
      <c r="F283" s="3" t="str">
        <f>IF($C283="","",SUMIFS(Resultats_jugadores!$C:$C,Resultats_jugadores!$A:$A,$A283,Resultats_jugadores!$B:$B,$C283))</f>
        <v/>
      </c>
      <c r="G283" s="3" t="str">
        <f>IF($C283="","",SUMIFS(Resultats_jugadores!$D:$D,Resultats_jugadores!$A:$A,$A283,Resultats_jugadores!$B:$B,$C283))</f>
        <v/>
      </c>
      <c r="H283" s="3" t="str">
        <f t="shared" si="3"/>
        <v/>
      </c>
      <c r="I283" s="3" t="str">
        <f t="array" ref="I283">IF($C283="","",IFERROR(INDEX(Partits!$C:$C,MATCH($A283&amp;"_"&amp;$D283,Partits!$D:$D,0)),""))</f>
        <v/>
      </c>
      <c r="J283" s="3" t="str">
        <f t="shared" si="4"/>
        <v/>
      </c>
      <c r="K283" s="3" t="str">
        <f t="shared" si="5"/>
        <v/>
      </c>
      <c r="L283" s="3" t="str">
        <f t="shared" si="6"/>
        <v/>
      </c>
      <c r="M283" s="3" t="str">
        <f t="shared" si="7"/>
        <v/>
      </c>
    </row>
    <row r="284" ht="15.0" customHeight="1">
      <c r="A284" s="3" t="str">
        <f>IF(Equips_usuari!A284="","",Equips_usuari!A284)</f>
        <v/>
      </c>
      <c r="B284" s="3" t="str">
        <f>IF(Equips_usuari!B284="","",Equips_usuari!B284)</f>
        <v/>
      </c>
      <c r="C284" s="3" t="str">
        <f>IF(Equips_usuari!C284="","",Equips_usuari!C284)</f>
        <v/>
      </c>
      <c r="D284" s="3" t="str">
        <f>IF(Equips_usuari!D284="","",Equips_usuari!D284)</f>
        <v/>
      </c>
      <c r="E284" s="3" t="str">
        <f>IF(Equips_usuari!F284="","",Equips_usuari!F284)</f>
        <v/>
      </c>
      <c r="F284" s="3" t="str">
        <f>IF($C284="","",SUMIFS(Resultats_jugadores!$C:$C,Resultats_jugadores!$A:$A,$A284,Resultats_jugadores!$B:$B,$C284))</f>
        <v/>
      </c>
      <c r="G284" s="3" t="str">
        <f>IF($C284="","",SUMIFS(Resultats_jugadores!$D:$D,Resultats_jugadores!$A:$A,$A284,Resultats_jugadores!$B:$B,$C284))</f>
        <v/>
      </c>
      <c r="H284" s="3" t="str">
        <f t="shared" si="3"/>
        <v/>
      </c>
      <c r="I284" s="3" t="str">
        <f t="array" ref="I284">IF($C284="","",IFERROR(INDEX(Partits!$C:$C,MATCH($A284&amp;"_"&amp;$D284,Partits!$D:$D,0)),""))</f>
        <v/>
      </c>
      <c r="J284" s="3" t="str">
        <f t="shared" si="4"/>
        <v/>
      </c>
      <c r="K284" s="3" t="str">
        <f t="shared" si="5"/>
        <v/>
      </c>
      <c r="L284" s="3" t="str">
        <f t="shared" si="6"/>
        <v/>
      </c>
      <c r="M284" s="3" t="str">
        <f t="shared" si="7"/>
        <v/>
      </c>
    </row>
    <row r="285" ht="15.0" customHeight="1">
      <c r="A285" s="3" t="str">
        <f>IF(Equips_usuari!A285="","",Equips_usuari!A285)</f>
        <v/>
      </c>
      <c r="B285" s="3" t="str">
        <f>IF(Equips_usuari!B285="","",Equips_usuari!B285)</f>
        <v/>
      </c>
      <c r="C285" s="3" t="str">
        <f>IF(Equips_usuari!C285="","",Equips_usuari!C285)</f>
        <v/>
      </c>
      <c r="D285" s="3" t="str">
        <f>IF(Equips_usuari!D285="","",Equips_usuari!D285)</f>
        <v/>
      </c>
      <c r="E285" s="3" t="str">
        <f>IF(Equips_usuari!F285="","",Equips_usuari!F285)</f>
        <v/>
      </c>
      <c r="F285" s="3" t="str">
        <f>IF($C285="","",SUMIFS(Resultats_jugadores!$C:$C,Resultats_jugadores!$A:$A,$A285,Resultats_jugadores!$B:$B,$C285))</f>
        <v/>
      </c>
      <c r="G285" s="3" t="str">
        <f>IF($C285="","",SUMIFS(Resultats_jugadores!$D:$D,Resultats_jugadores!$A:$A,$A285,Resultats_jugadores!$B:$B,$C285))</f>
        <v/>
      </c>
      <c r="H285" s="3" t="str">
        <f t="shared" si="3"/>
        <v/>
      </c>
      <c r="I285" s="3" t="str">
        <f t="array" ref="I285">IF($C285="","",IFERROR(INDEX(Partits!$C:$C,MATCH($A285&amp;"_"&amp;$D285,Partits!$D:$D,0)),""))</f>
        <v/>
      </c>
      <c r="J285" s="3" t="str">
        <f t="shared" si="4"/>
        <v/>
      </c>
      <c r="K285" s="3" t="str">
        <f t="shared" si="5"/>
        <v/>
      </c>
      <c r="L285" s="3" t="str">
        <f t="shared" si="6"/>
        <v/>
      </c>
      <c r="M285" s="3" t="str">
        <f t="shared" si="7"/>
        <v/>
      </c>
    </row>
    <row r="286" ht="15.0" customHeight="1">
      <c r="A286" s="3" t="str">
        <f>IF(Equips_usuari!A286="","",Equips_usuari!A286)</f>
        <v/>
      </c>
      <c r="B286" s="3" t="str">
        <f>IF(Equips_usuari!B286="","",Equips_usuari!B286)</f>
        <v/>
      </c>
      <c r="C286" s="3" t="str">
        <f>IF(Equips_usuari!C286="","",Equips_usuari!C286)</f>
        <v/>
      </c>
      <c r="D286" s="3" t="str">
        <f>IF(Equips_usuari!D286="","",Equips_usuari!D286)</f>
        <v/>
      </c>
      <c r="E286" s="3" t="str">
        <f>IF(Equips_usuari!F286="","",Equips_usuari!F286)</f>
        <v/>
      </c>
      <c r="F286" s="3" t="str">
        <f>IF($C286="","",SUMIFS(Resultats_jugadores!$C:$C,Resultats_jugadores!$A:$A,$A286,Resultats_jugadores!$B:$B,$C286))</f>
        <v/>
      </c>
      <c r="G286" s="3" t="str">
        <f>IF($C286="","",SUMIFS(Resultats_jugadores!$D:$D,Resultats_jugadores!$A:$A,$A286,Resultats_jugadores!$B:$B,$C286))</f>
        <v/>
      </c>
      <c r="H286" s="3" t="str">
        <f t="shared" si="3"/>
        <v/>
      </c>
      <c r="I286" s="3" t="str">
        <f t="array" ref="I286">IF($C286="","",IFERROR(INDEX(Partits!$C:$C,MATCH($A286&amp;"_"&amp;$D286,Partits!$D:$D,0)),""))</f>
        <v/>
      </c>
      <c r="J286" s="3" t="str">
        <f t="shared" si="4"/>
        <v/>
      </c>
      <c r="K286" s="3" t="str">
        <f t="shared" si="5"/>
        <v/>
      </c>
      <c r="L286" s="3" t="str">
        <f t="shared" si="6"/>
        <v/>
      </c>
      <c r="M286" s="3" t="str">
        <f t="shared" si="7"/>
        <v/>
      </c>
    </row>
    <row r="287" ht="15.0" customHeight="1">
      <c r="A287" s="3" t="str">
        <f>IF(Equips_usuari!A287="","",Equips_usuari!A287)</f>
        <v/>
      </c>
      <c r="B287" s="3" t="str">
        <f>IF(Equips_usuari!B287="","",Equips_usuari!B287)</f>
        <v/>
      </c>
      <c r="C287" s="3" t="str">
        <f>IF(Equips_usuari!C287="","",Equips_usuari!C287)</f>
        <v/>
      </c>
      <c r="D287" s="3" t="str">
        <f>IF(Equips_usuari!D287="","",Equips_usuari!D287)</f>
        <v/>
      </c>
      <c r="E287" s="3" t="str">
        <f>IF(Equips_usuari!F287="","",Equips_usuari!F287)</f>
        <v/>
      </c>
      <c r="F287" s="3" t="str">
        <f>IF($C287="","",SUMIFS(Resultats_jugadores!$C:$C,Resultats_jugadores!$A:$A,$A287,Resultats_jugadores!$B:$B,$C287))</f>
        <v/>
      </c>
      <c r="G287" s="3" t="str">
        <f>IF($C287="","",SUMIFS(Resultats_jugadores!$D:$D,Resultats_jugadores!$A:$A,$A287,Resultats_jugadores!$B:$B,$C287))</f>
        <v/>
      </c>
      <c r="H287" s="3" t="str">
        <f t="shared" si="3"/>
        <v/>
      </c>
      <c r="I287" s="3" t="str">
        <f t="array" ref="I287">IF($C287="","",IFERROR(INDEX(Partits!$C:$C,MATCH($A287&amp;"_"&amp;$D287,Partits!$D:$D,0)),""))</f>
        <v/>
      </c>
      <c r="J287" s="3" t="str">
        <f t="shared" si="4"/>
        <v/>
      </c>
      <c r="K287" s="3" t="str">
        <f t="shared" si="5"/>
        <v/>
      </c>
      <c r="L287" s="3" t="str">
        <f t="shared" si="6"/>
        <v/>
      </c>
      <c r="M287" s="3" t="str">
        <f t="shared" si="7"/>
        <v/>
      </c>
    </row>
    <row r="288" ht="15.0" customHeight="1">
      <c r="A288" s="3" t="str">
        <f>IF(Equips_usuari!A288="","",Equips_usuari!A288)</f>
        <v/>
      </c>
      <c r="B288" s="3" t="str">
        <f>IF(Equips_usuari!B288="","",Equips_usuari!B288)</f>
        <v/>
      </c>
      <c r="C288" s="3" t="str">
        <f>IF(Equips_usuari!C288="","",Equips_usuari!C288)</f>
        <v/>
      </c>
      <c r="D288" s="3" t="str">
        <f>IF(Equips_usuari!D288="","",Equips_usuari!D288)</f>
        <v/>
      </c>
      <c r="E288" s="3" t="str">
        <f>IF(Equips_usuari!F288="","",Equips_usuari!F288)</f>
        <v/>
      </c>
      <c r="F288" s="3" t="str">
        <f>IF($C288="","",SUMIFS(Resultats_jugadores!$C:$C,Resultats_jugadores!$A:$A,$A288,Resultats_jugadores!$B:$B,$C288))</f>
        <v/>
      </c>
      <c r="G288" s="3" t="str">
        <f>IF($C288="","",SUMIFS(Resultats_jugadores!$D:$D,Resultats_jugadores!$A:$A,$A288,Resultats_jugadores!$B:$B,$C288))</f>
        <v/>
      </c>
      <c r="H288" s="3" t="str">
        <f t="shared" si="3"/>
        <v/>
      </c>
      <c r="I288" s="3" t="str">
        <f t="array" ref="I288">IF($C288="","",IFERROR(INDEX(Partits!$C:$C,MATCH($A288&amp;"_"&amp;$D288,Partits!$D:$D,0)),""))</f>
        <v/>
      </c>
      <c r="J288" s="3" t="str">
        <f t="shared" si="4"/>
        <v/>
      </c>
      <c r="K288" s="3" t="str">
        <f t="shared" si="5"/>
        <v/>
      </c>
      <c r="L288" s="3" t="str">
        <f t="shared" si="6"/>
        <v/>
      </c>
      <c r="M288" s="3" t="str">
        <f t="shared" si="7"/>
        <v/>
      </c>
    </row>
    <row r="289" ht="15.0" customHeight="1">
      <c r="A289" s="3" t="str">
        <f>IF(Equips_usuari!A289="","",Equips_usuari!A289)</f>
        <v/>
      </c>
      <c r="B289" s="3" t="str">
        <f>IF(Equips_usuari!B289="","",Equips_usuari!B289)</f>
        <v/>
      </c>
      <c r="C289" s="3" t="str">
        <f>IF(Equips_usuari!C289="","",Equips_usuari!C289)</f>
        <v/>
      </c>
      <c r="D289" s="3" t="str">
        <f>IF(Equips_usuari!D289="","",Equips_usuari!D289)</f>
        <v/>
      </c>
      <c r="E289" s="3" t="str">
        <f>IF(Equips_usuari!F289="","",Equips_usuari!F289)</f>
        <v/>
      </c>
      <c r="F289" s="3" t="str">
        <f>IF($C289="","",SUMIFS(Resultats_jugadores!$C:$C,Resultats_jugadores!$A:$A,$A289,Resultats_jugadores!$B:$B,$C289))</f>
        <v/>
      </c>
      <c r="G289" s="3" t="str">
        <f>IF($C289="","",SUMIFS(Resultats_jugadores!$D:$D,Resultats_jugadores!$A:$A,$A289,Resultats_jugadores!$B:$B,$C289))</f>
        <v/>
      </c>
      <c r="H289" s="3" t="str">
        <f t="shared" si="3"/>
        <v/>
      </c>
      <c r="I289" s="3" t="str">
        <f t="array" ref="I289">IF($C289="","",IFERROR(INDEX(Partits!$C:$C,MATCH($A289&amp;"_"&amp;$D289,Partits!$D:$D,0)),""))</f>
        <v/>
      </c>
      <c r="J289" s="3" t="str">
        <f t="shared" si="4"/>
        <v/>
      </c>
      <c r="K289" s="3" t="str">
        <f t="shared" si="5"/>
        <v/>
      </c>
      <c r="L289" s="3" t="str">
        <f t="shared" si="6"/>
        <v/>
      </c>
      <c r="M289" s="3" t="str">
        <f t="shared" si="7"/>
        <v/>
      </c>
    </row>
    <row r="290" ht="15.0" customHeight="1">
      <c r="A290" s="3" t="str">
        <f>IF(Equips_usuari!A290="","",Equips_usuari!A290)</f>
        <v/>
      </c>
      <c r="B290" s="3" t="str">
        <f>IF(Equips_usuari!B290="","",Equips_usuari!B290)</f>
        <v/>
      </c>
      <c r="C290" s="3" t="str">
        <f>IF(Equips_usuari!C290="","",Equips_usuari!C290)</f>
        <v/>
      </c>
      <c r="D290" s="3" t="str">
        <f>IF(Equips_usuari!D290="","",Equips_usuari!D290)</f>
        <v/>
      </c>
      <c r="E290" s="3" t="str">
        <f>IF(Equips_usuari!F290="","",Equips_usuari!F290)</f>
        <v/>
      </c>
      <c r="F290" s="3" t="str">
        <f>IF($C290="","",SUMIFS(Resultats_jugadores!$C:$C,Resultats_jugadores!$A:$A,$A290,Resultats_jugadores!$B:$B,$C290))</f>
        <v/>
      </c>
      <c r="G290" s="3" t="str">
        <f>IF($C290="","",SUMIFS(Resultats_jugadores!$D:$D,Resultats_jugadores!$A:$A,$A290,Resultats_jugadores!$B:$B,$C290))</f>
        <v/>
      </c>
      <c r="H290" s="3" t="str">
        <f t="shared" si="3"/>
        <v/>
      </c>
      <c r="I290" s="3" t="str">
        <f t="array" ref="I290">IF($C290="","",IFERROR(INDEX(Partits!$C:$C,MATCH($A290&amp;"_"&amp;$D290,Partits!$D:$D,0)),""))</f>
        <v/>
      </c>
      <c r="J290" s="3" t="str">
        <f t="shared" si="4"/>
        <v/>
      </c>
      <c r="K290" s="3" t="str">
        <f t="shared" si="5"/>
        <v/>
      </c>
      <c r="L290" s="3" t="str">
        <f t="shared" si="6"/>
        <v/>
      </c>
      <c r="M290" s="3" t="str">
        <f t="shared" si="7"/>
        <v/>
      </c>
    </row>
    <row r="291" ht="15.0" customHeight="1">
      <c r="A291" s="3" t="str">
        <f>IF(Equips_usuari!A291="","",Equips_usuari!A291)</f>
        <v/>
      </c>
      <c r="B291" s="3" t="str">
        <f>IF(Equips_usuari!B291="","",Equips_usuari!B291)</f>
        <v/>
      </c>
      <c r="C291" s="3" t="str">
        <f>IF(Equips_usuari!C291="","",Equips_usuari!C291)</f>
        <v/>
      </c>
      <c r="D291" s="3" t="str">
        <f>IF(Equips_usuari!D291="","",Equips_usuari!D291)</f>
        <v/>
      </c>
      <c r="E291" s="3" t="str">
        <f>IF(Equips_usuari!F291="","",Equips_usuari!F291)</f>
        <v/>
      </c>
      <c r="F291" s="3" t="str">
        <f>IF($C291="","",SUMIFS(Resultats_jugadores!$C:$C,Resultats_jugadores!$A:$A,$A291,Resultats_jugadores!$B:$B,$C291))</f>
        <v/>
      </c>
      <c r="G291" s="3" t="str">
        <f>IF($C291="","",SUMIFS(Resultats_jugadores!$D:$D,Resultats_jugadores!$A:$A,$A291,Resultats_jugadores!$B:$B,$C291))</f>
        <v/>
      </c>
      <c r="H291" s="3" t="str">
        <f t="shared" si="3"/>
        <v/>
      </c>
      <c r="I291" s="3" t="str">
        <f t="array" ref="I291">IF($C291="","",IFERROR(INDEX(Partits!$C:$C,MATCH($A291&amp;"_"&amp;$D291,Partits!$D:$D,0)),""))</f>
        <v/>
      </c>
      <c r="J291" s="3" t="str">
        <f t="shared" si="4"/>
        <v/>
      </c>
      <c r="K291" s="3" t="str">
        <f t="shared" si="5"/>
        <v/>
      </c>
      <c r="L291" s="3" t="str">
        <f t="shared" si="6"/>
        <v/>
      </c>
      <c r="M291" s="3" t="str">
        <f t="shared" si="7"/>
        <v/>
      </c>
    </row>
    <row r="292" ht="15.0" customHeight="1">
      <c r="A292" s="3" t="str">
        <f>IF(Equips_usuari!A292="","",Equips_usuari!A292)</f>
        <v/>
      </c>
      <c r="B292" s="3" t="str">
        <f>IF(Equips_usuari!B292="","",Equips_usuari!B292)</f>
        <v/>
      </c>
      <c r="C292" s="3" t="str">
        <f>IF(Equips_usuari!C292="","",Equips_usuari!C292)</f>
        <v/>
      </c>
      <c r="D292" s="3" t="str">
        <f>IF(Equips_usuari!D292="","",Equips_usuari!D292)</f>
        <v/>
      </c>
      <c r="E292" s="3" t="str">
        <f>IF(Equips_usuari!F292="","",Equips_usuari!F292)</f>
        <v/>
      </c>
      <c r="F292" s="3" t="str">
        <f>IF($C292="","",SUMIFS(Resultats_jugadores!$C:$C,Resultats_jugadores!$A:$A,$A292,Resultats_jugadores!$B:$B,$C292))</f>
        <v/>
      </c>
      <c r="G292" s="3" t="str">
        <f>IF($C292="","",SUMIFS(Resultats_jugadores!$D:$D,Resultats_jugadores!$A:$A,$A292,Resultats_jugadores!$B:$B,$C292))</f>
        <v/>
      </c>
      <c r="H292" s="3" t="str">
        <f t="shared" si="3"/>
        <v/>
      </c>
      <c r="I292" s="3" t="str">
        <f t="array" ref="I292">IF($C292="","",IFERROR(INDEX(Partits!$C:$C,MATCH($A292&amp;"_"&amp;$D292,Partits!$D:$D,0)),""))</f>
        <v/>
      </c>
      <c r="J292" s="3" t="str">
        <f t="shared" si="4"/>
        <v/>
      </c>
      <c r="K292" s="3" t="str">
        <f t="shared" si="5"/>
        <v/>
      </c>
      <c r="L292" s="3" t="str">
        <f t="shared" si="6"/>
        <v/>
      </c>
      <c r="M292" s="3" t="str">
        <f t="shared" si="7"/>
        <v/>
      </c>
    </row>
    <row r="293" ht="15.0" customHeight="1">
      <c r="A293" s="3" t="str">
        <f>IF(Equips_usuari!A293="","",Equips_usuari!A293)</f>
        <v/>
      </c>
      <c r="B293" s="3" t="str">
        <f>IF(Equips_usuari!B293="","",Equips_usuari!B293)</f>
        <v/>
      </c>
      <c r="C293" s="3" t="str">
        <f>IF(Equips_usuari!C293="","",Equips_usuari!C293)</f>
        <v/>
      </c>
      <c r="D293" s="3" t="str">
        <f>IF(Equips_usuari!D293="","",Equips_usuari!D293)</f>
        <v/>
      </c>
      <c r="E293" s="3" t="str">
        <f>IF(Equips_usuari!F293="","",Equips_usuari!F293)</f>
        <v/>
      </c>
      <c r="F293" s="3" t="str">
        <f>IF($C293="","",SUMIFS(Resultats_jugadores!$C:$C,Resultats_jugadores!$A:$A,$A293,Resultats_jugadores!$B:$B,$C293))</f>
        <v/>
      </c>
      <c r="G293" s="3" t="str">
        <f>IF($C293="","",SUMIFS(Resultats_jugadores!$D:$D,Resultats_jugadores!$A:$A,$A293,Resultats_jugadores!$B:$B,$C293))</f>
        <v/>
      </c>
      <c r="H293" s="3" t="str">
        <f t="shared" si="3"/>
        <v/>
      </c>
      <c r="I293" s="3" t="str">
        <f t="array" ref="I293">IF($C293="","",IFERROR(INDEX(Partits!$C:$C,MATCH($A293&amp;"_"&amp;$D293,Partits!$D:$D,0)),""))</f>
        <v/>
      </c>
      <c r="J293" s="3" t="str">
        <f t="shared" si="4"/>
        <v/>
      </c>
      <c r="K293" s="3" t="str">
        <f t="shared" si="5"/>
        <v/>
      </c>
      <c r="L293" s="3" t="str">
        <f t="shared" si="6"/>
        <v/>
      </c>
      <c r="M293" s="3" t="str">
        <f t="shared" si="7"/>
        <v/>
      </c>
    </row>
    <row r="294" ht="15.0" customHeight="1">
      <c r="A294" s="3" t="str">
        <f>IF(Equips_usuari!A294="","",Equips_usuari!A294)</f>
        <v/>
      </c>
      <c r="B294" s="3" t="str">
        <f>IF(Equips_usuari!B294="","",Equips_usuari!B294)</f>
        <v/>
      </c>
      <c r="C294" s="3" t="str">
        <f>IF(Equips_usuari!C294="","",Equips_usuari!C294)</f>
        <v/>
      </c>
      <c r="D294" s="3" t="str">
        <f>IF(Equips_usuari!D294="","",Equips_usuari!D294)</f>
        <v/>
      </c>
      <c r="E294" s="3" t="str">
        <f>IF(Equips_usuari!F294="","",Equips_usuari!F294)</f>
        <v/>
      </c>
      <c r="F294" s="3" t="str">
        <f>IF($C294="","",SUMIFS(Resultats_jugadores!$C:$C,Resultats_jugadores!$A:$A,$A294,Resultats_jugadores!$B:$B,$C294))</f>
        <v/>
      </c>
      <c r="G294" s="3" t="str">
        <f>IF($C294="","",SUMIFS(Resultats_jugadores!$D:$D,Resultats_jugadores!$A:$A,$A294,Resultats_jugadores!$B:$B,$C294))</f>
        <v/>
      </c>
      <c r="H294" s="3" t="str">
        <f t="shared" si="3"/>
        <v/>
      </c>
      <c r="I294" s="3" t="str">
        <f t="array" ref="I294">IF($C294="","",IFERROR(INDEX(Partits!$C:$C,MATCH($A294&amp;"_"&amp;$D294,Partits!$D:$D,0)),""))</f>
        <v/>
      </c>
      <c r="J294" s="3" t="str">
        <f t="shared" si="4"/>
        <v/>
      </c>
      <c r="K294" s="3" t="str">
        <f t="shared" si="5"/>
        <v/>
      </c>
      <c r="L294" s="3" t="str">
        <f t="shared" si="6"/>
        <v/>
      </c>
      <c r="M294" s="3" t="str">
        <f t="shared" si="7"/>
        <v/>
      </c>
    </row>
    <row r="295" ht="15.0" customHeight="1">
      <c r="A295" s="3" t="str">
        <f>IF(Equips_usuari!A295="","",Equips_usuari!A295)</f>
        <v/>
      </c>
      <c r="B295" s="3" t="str">
        <f>IF(Equips_usuari!B295="","",Equips_usuari!B295)</f>
        <v/>
      </c>
      <c r="C295" s="3" t="str">
        <f>IF(Equips_usuari!C295="","",Equips_usuari!C295)</f>
        <v/>
      </c>
      <c r="D295" s="3" t="str">
        <f>IF(Equips_usuari!D295="","",Equips_usuari!D295)</f>
        <v/>
      </c>
      <c r="E295" s="3" t="str">
        <f>IF(Equips_usuari!F295="","",Equips_usuari!F295)</f>
        <v/>
      </c>
      <c r="F295" s="3" t="str">
        <f>IF($C295="","",SUMIFS(Resultats_jugadores!$C:$C,Resultats_jugadores!$A:$A,$A295,Resultats_jugadores!$B:$B,$C295))</f>
        <v/>
      </c>
      <c r="G295" s="3" t="str">
        <f>IF($C295="","",SUMIFS(Resultats_jugadores!$D:$D,Resultats_jugadores!$A:$A,$A295,Resultats_jugadores!$B:$B,$C295))</f>
        <v/>
      </c>
      <c r="H295" s="3" t="str">
        <f t="shared" si="3"/>
        <v/>
      </c>
      <c r="I295" s="3" t="str">
        <f t="array" ref="I295">IF($C295="","",IFERROR(INDEX(Partits!$C:$C,MATCH($A295&amp;"_"&amp;$D295,Partits!$D:$D,0)),""))</f>
        <v/>
      </c>
      <c r="J295" s="3" t="str">
        <f t="shared" si="4"/>
        <v/>
      </c>
      <c r="K295" s="3" t="str">
        <f t="shared" si="5"/>
        <v/>
      </c>
      <c r="L295" s="3" t="str">
        <f t="shared" si="6"/>
        <v/>
      </c>
      <c r="M295" s="3" t="str">
        <f t="shared" si="7"/>
        <v/>
      </c>
    </row>
    <row r="296" ht="15.0" customHeight="1">
      <c r="A296" s="3" t="str">
        <f>IF(Equips_usuari!A296="","",Equips_usuari!A296)</f>
        <v/>
      </c>
      <c r="B296" s="3" t="str">
        <f>IF(Equips_usuari!B296="","",Equips_usuari!B296)</f>
        <v/>
      </c>
      <c r="C296" s="3" t="str">
        <f>IF(Equips_usuari!C296="","",Equips_usuari!C296)</f>
        <v/>
      </c>
      <c r="D296" s="3" t="str">
        <f>IF(Equips_usuari!D296="","",Equips_usuari!D296)</f>
        <v/>
      </c>
      <c r="E296" s="3" t="str">
        <f>IF(Equips_usuari!F296="","",Equips_usuari!F296)</f>
        <v/>
      </c>
      <c r="F296" s="3" t="str">
        <f>IF($C296="","",SUMIFS(Resultats_jugadores!$C:$C,Resultats_jugadores!$A:$A,$A296,Resultats_jugadores!$B:$B,$C296))</f>
        <v/>
      </c>
      <c r="G296" s="3" t="str">
        <f>IF($C296="","",SUMIFS(Resultats_jugadores!$D:$D,Resultats_jugadores!$A:$A,$A296,Resultats_jugadores!$B:$B,$C296))</f>
        <v/>
      </c>
      <c r="H296" s="3" t="str">
        <f t="shared" si="3"/>
        <v/>
      </c>
      <c r="I296" s="3" t="str">
        <f t="array" ref="I296">IF($C296="","",IFERROR(INDEX(Partits!$C:$C,MATCH($A296&amp;"_"&amp;$D296,Partits!$D:$D,0)),""))</f>
        <v/>
      </c>
      <c r="J296" s="3" t="str">
        <f t="shared" si="4"/>
        <v/>
      </c>
      <c r="K296" s="3" t="str">
        <f t="shared" si="5"/>
        <v/>
      </c>
      <c r="L296" s="3" t="str">
        <f t="shared" si="6"/>
        <v/>
      </c>
      <c r="M296" s="3" t="str">
        <f t="shared" si="7"/>
        <v/>
      </c>
    </row>
    <row r="297" ht="15.0" customHeight="1">
      <c r="A297" s="3" t="str">
        <f>IF(Equips_usuari!A297="","",Equips_usuari!A297)</f>
        <v/>
      </c>
      <c r="B297" s="3" t="str">
        <f>IF(Equips_usuari!B297="","",Equips_usuari!B297)</f>
        <v/>
      </c>
      <c r="C297" s="3" t="str">
        <f>IF(Equips_usuari!C297="","",Equips_usuari!C297)</f>
        <v/>
      </c>
      <c r="D297" s="3" t="str">
        <f>IF(Equips_usuari!D297="","",Equips_usuari!D297)</f>
        <v/>
      </c>
      <c r="E297" s="3" t="str">
        <f>IF(Equips_usuari!F297="","",Equips_usuari!F297)</f>
        <v/>
      </c>
      <c r="F297" s="3" t="str">
        <f>IF($C297="","",SUMIFS(Resultats_jugadores!$C:$C,Resultats_jugadores!$A:$A,$A297,Resultats_jugadores!$B:$B,$C297))</f>
        <v/>
      </c>
      <c r="G297" s="3" t="str">
        <f>IF($C297="","",SUMIFS(Resultats_jugadores!$D:$D,Resultats_jugadores!$A:$A,$A297,Resultats_jugadores!$B:$B,$C297))</f>
        <v/>
      </c>
      <c r="H297" s="3" t="str">
        <f t="shared" si="3"/>
        <v/>
      </c>
      <c r="I297" s="3" t="str">
        <f t="array" ref="I297">IF($C297="","",IFERROR(INDEX(Partits!$C:$C,MATCH($A297&amp;"_"&amp;$D297,Partits!$D:$D,0)),""))</f>
        <v/>
      </c>
      <c r="J297" s="3" t="str">
        <f t="shared" si="4"/>
        <v/>
      </c>
      <c r="K297" s="3" t="str">
        <f t="shared" si="5"/>
        <v/>
      </c>
      <c r="L297" s="3" t="str">
        <f t="shared" si="6"/>
        <v/>
      </c>
      <c r="M297" s="3" t="str">
        <f t="shared" si="7"/>
        <v/>
      </c>
    </row>
    <row r="298" ht="15.0" customHeight="1">
      <c r="A298" s="3" t="str">
        <f>IF(Equips_usuari!A298="","",Equips_usuari!A298)</f>
        <v/>
      </c>
      <c r="B298" s="3" t="str">
        <f>IF(Equips_usuari!B298="","",Equips_usuari!B298)</f>
        <v/>
      </c>
      <c r="C298" s="3" t="str">
        <f>IF(Equips_usuari!C298="","",Equips_usuari!C298)</f>
        <v/>
      </c>
      <c r="D298" s="3" t="str">
        <f>IF(Equips_usuari!D298="","",Equips_usuari!D298)</f>
        <v/>
      </c>
      <c r="E298" s="3" t="str">
        <f>IF(Equips_usuari!F298="","",Equips_usuari!F298)</f>
        <v/>
      </c>
      <c r="F298" s="3" t="str">
        <f>IF($C298="","",SUMIFS(Resultats_jugadores!$C:$C,Resultats_jugadores!$A:$A,$A298,Resultats_jugadores!$B:$B,$C298))</f>
        <v/>
      </c>
      <c r="G298" s="3" t="str">
        <f>IF($C298="","",SUMIFS(Resultats_jugadores!$D:$D,Resultats_jugadores!$A:$A,$A298,Resultats_jugadores!$B:$B,$C298))</f>
        <v/>
      </c>
      <c r="H298" s="3" t="str">
        <f t="shared" si="3"/>
        <v/>
      </c>
      <c r="I298" s="3" t="str">
        <f t="array" ref="I298">IF($C298="","",IFERROR(INDEX(Partits!$C:$C,MATCH($A298&amp;"_"&amp;$D298,Partits!$D:$D,0)),""))</f>
        <v/>
      </c>
      <c r="J298" s="3" t="str">
        <f t="shared" si="4"/>
        <v/>
      </c>
      <c r="K298" s="3" t="str">
        <f t="shared" si="5"/>
        <v/>
      </c>
      <c r="L298" s="3" t="str">
        <f t="shared" si="6"/>
        <v/>
      </c>
      <c r="M298" s="3" t="str">
        <f t="shared" si="7"/>
        <v/>
      </c>
    </row>
    <row r="299" ht="15.0" customHeight="1">
      <c r="A299" s="3" t="str">
        <f>IF(Equips_usuari!A299="","",Equips_usuari!A299)</f>
        <v/>
      </c>
      <c r="B299" s="3" t="str">
        <f>IF(Equips_usuari!B299="","",Equips_usuari!B299)</f>
        <v/>
      </c>
      <c r="C299" s="3" t="str">
        <f>IF(Equips_usuari!C299="","",Equips_usuari!C299)</f>
        <v/>
      </c>
      <c r="D299" s="3" t="str">
        <f>IF(Equips_usuari!D299="","",Equips_usuari!D299)</f>
        <v/>
      </c>
      <c r="E299" s="3" t="str">
        <f>IF(Equips_usuari!F299="","",Equips_usuari!F299)</f>
        <v/>
      </c>
      <c r="F299" s="3" t="str">
        <f>IF($C299="","",SUMIFS(Resultats_jugadores!$C:$C,Resultats_jugadores!$A:$A,$A299,Resultats_jugadores!$B:$B,$C299))</f>
        <v/>
      </c>
      <c r="G299" s="3" t="str">
        <f>IF($C299="","",SUMIFS(Resultats_jugadores!$D:$D,Resultats_jugadores!$A:$A,$A299,Resultats_jugadores!$B:$B,$C299))</f>
        <v/>
      </c>
      <c r="H299" s="3" t="str">
        <f t="shared" si="3"/>
        <v/>
      </c>
      <c r="I299" s="3" t="str">
        <f t="array" ref="I299">IF($C299="","",IFERROR(INDEX(Partits!$C:$C,MATCH($A299&amp;"_"&amp;$D299,Partits!$D:$D,0)),""))</f>
        <v/>
      </c>
      <c r="J299" s="3" t="str">
        <f t="shared" si="4"/>
        <v/>
      </c>
      <c r="K299" s="3" t="str">
        <f t="shared" si="5"/>
        <v/>
      </c>
      <c r="L299" s="3" t="str">
        <f t="shared" si="6"/>
        <v/>
      </c>
      <c r="M299" s="3" t="str">
        <f t="shared" si="7"/>
        <v/>
      </c>
    </row>
    <row r="300" ht="15.0" customHeight="1">
      <c r="A300" s="3" t="str">
        <f>IF(Equips_usuari!A300="","",Equips_usuari!A300)</f>
        <v/>
      </c>
      <c r="B300" s="3" t="str">
        <f>IF(Equips_usuari!B300="","",Equips_usuari!B300)</f>
        <v/>
      </c>
      <c r="C300" s="3" t="str">
        <f>IF(Equips_usuari!C300="","",Equips_usuari!C300)</f>
        <v/>
      </c>
      <c r="D300" s="3" t="str">
        <f>IF(Equips_usuari!D300="","",Equips_usuari!D300)</f>
        <v/>
      </c>
      <c r="E300" s="3" t="str">
        <f>IF(Equips_usuari!F300="","",Equips_usuari!F300)</f>
        <v/>
      </c>
      <c r="F300" s="3" t="str">
        <f>IF($C300="","",SUMIFS(Resultats_jugadores!$C:$C,Resultats_jugadores!$A:$A,$A300,Resultats_jugadores!$B:$B,$C300))</f>
        <v/>
      </c>
      <c r="G300" s="3" t="str">
        <f>IF($C300="","",SUMIFS(Resultats_jugadores!$D:$D,Resultats_jugadores!$A:$A,$A300,Resultats_jugadores!$B:$B,$C300))</f>
        <v/>
      </c>
      <c r="H300" s="3" t="str">
        <f t="shared" si="3"/>
        <v/>
      </c>
      <c r="I300" s="3" t="str">
        <f t="array" ref="I300">IF($C300="","",IFERROR(INDEX(Partits!$C:$C,MATCH($A300&amp;"_"&amp;$D300,Partits!$D:$D,0)),""))</f>
        <v/>
      </c>
      <c r="J300" s="3" t="str">
        <f t="shared" si="4"/>
        <v/>
      </c>
      <c r="K300" s="3" t="str">
        <f t="shared" si="5"/>
        <v/>
      </c>
      <c r="L300" s="3" t="str">
        <f t="shared" si="6"/>
        <v/>
      </c>
      <c r="M300" s="3" t="str">
        <f t="shared" si="7"/>
        <v/>
      </c>
    </row>
    <row r="301" ht="15.0" customHeight="1">
      <c r="A301" s="3" t="str">
        <f>IF(Equips_usuari!A301="","",Equips_usuari!A301)</f>
        <v/>
      </c>
      <c r="B301" s="3" t="str">
        <f>IF(Equips_usuari!B301="","",Equips_usuari!B301)</f>
        <v/>
      </c>
      <c r="C301" s="3" t="str">
        <f>IF(Equips_usuari!C301="","",Equips_usuari!C301)</f>
        <v/>
      </c>
      <c r="D301" s="3" t="str">
        <f>IF(Equips_usuari!D301="","",Equips_usuari!D301)</f>
        <v/>
      </c>
      <c r="E301" s="3" t="str">
        <f>IF(Equips_usuari!F301="","",Equips_usuari!F301)</f>
        <v/>
      </c>
      <c r="F301" s="3" t="str">
        <f>IF($C301="","",SUMIFS(Resultats_jugadores!$C:$C,Resultats_jugadores!$A:$A,$A301,Resultats_jugadores!$B:$B,$C301))</f>
        <v/>
      </c>
      <c r="G301" s="3" t="str">
        <f>IF($C301="","",SUMIFS(Resultats_jugadores!$D:$D,Resultats_jugadores!$A:$A,$A301,Resultats_jugadores!$B:$B,$C301))</f>
        <v/>
      </c>
      <c r="H301" s="3" t="str">
        <f t="shared" si="3"/>
        <v/>
      </c>
      <c r="I301" s="3" t="str">
        <f t="array" ref="I301">IF($C301="","",IFERROR(INDEX(Partits!$C:$C,MATCH($A301&amp;"_"&amp;$D301,Partits!$D:$D,0)),""))</f>
        <v/>
      </c>
      <c r="J301" s="3" t="str">
        <f t="shared" si="4"/>
        <v/>
      </c>
      <c r="K301" s="3" t="str">
        <f t="shared" si="5"/>
        <v/>
      </c>
      <c r="L301" s="3" t="str">
        <f t="shared" si="6"/>
        <v/>
      </c>
      <c r="M301" s="3" t="str">
        <f t="shared" si="7"/>
        <v/>
      </c>
    </row>
    <row r="302" ht="15.0" customHeight="1">
      <c r="A302" s="3" t="str">
        <f>IF(Equips_usuari!A302="","",Equips_usuari!A302)</f>
        <v/>
      </c>
      <c r="B302" s="3" t="str">
        <f>IF(Equips_usuari!B302="","",Equips_usuari!B302)</f>
        <v/>
      </c>
      <c r="C302" s="3" t="str">
        <f>IF(Equips_usuari!C302="","",Equips_usuari!C302)</f>
        <v/>
      </c>
      <c r="D302" s="3" t="str">
        <f>IF(Equips_usuari!D302="","",Equips_usuari!D302)</f>
        <v/>
      </c>
      <c r="E302" s="3" t="str">
        <f>IF(Equips_usuari!F302="","",Equips_usuari!F302)</f>
        <v/>
      </c>
      <c r="F302" s="3" t="str">
        <f>IF($C302="","",SUMIFS(Resultats_jugadores!$C:$C,Resultats_jugadores!$A:$A,$A302,Resultats_jugadores!$B:$B,$C302))</f>
        <v/>
      </c>
      <c r="G302" s="3" t="str">
        <f>IF($C302="","",SUMIFS(Resultats_jugadores!$D:$D,Resultats_jugadores!$A:$A,$A302,Resultats_jugadores!$B:$B,$C302))</f>
        <v/>
      </c>
      <c r="H302" s="3" t="str">
        <f t="shared" si="3"/>
        <v/>
      </c>
      <c r="I302" s="3" t="str">
        <f t="array" ref="I302">IF($C302="","",IFERROR(INDEX(Partits!$C:$C,MATCH($A302&amp;"_"&amp;$D302,Partits!$D:$D,0)),""))</f>
        <v/>
      </c>
      <c r="J302" s="3" t="str">
        <f t="shared" si="4"/>
        <v/>
      </c>
      <c r="K302" s="3" t="str">
        <f t="shared" si="5"/>
        <v/>
      </c>
      <c r="L302" s="3" t="str">
        <f t="shared" si="6"/>
        <v/>
      </c>
      <c r="M302" s="3" t="str">
        <f t="shared" si="7"/>
        <v/>
      </c>
    </row>
    <row r="303" ht="15.0" customHeight="1">
      <c r="A303" s="3" t="str">
        <f>IF(Equips_usuari!A303="","",Equips_usuari!A303)</f>
        <v/>
      </c>
      <c r="B303" s="3" t="str">
        <f>IF(Equips_usuari!B303="","",Equips_usuari!B303)</f>
        <v/>
      </c>
      <c r="C303" s="3" t="str">
        <f>IF(Equips_usuari!C303="","",Equips_usuari!C303)</f>
        <v/>
      </c>
      <c r="D303" s="3" t="str">
        <f>IF(Equips_usuari!D303="","",Equips_usuari!D303)</f>
        <v/>
      </c>
      <c r="E303" s="3" t="str">
        <f>IF(Equips_usuari!F303="","",Equips_usuari!F303)</f>
        <v/>
      </c>
      <c r="F303" s="3" t="str">
        <f>IF($C303="","",SUMIFS(Resultats_jugadores!$C:$C,Resultats_jugadores!$A:$A,$A303,Resultats_jugadores!$B:$B,$C303))</f>
        <v/>
      </c>
      <c r="G303" s="3" t="str">
        <f>IF($C303="","",SUMIFS(Resultats_jugadores!$D:$D,Resultats_jugadores!$A:$A,$A303,Resultats_jugadores!$B:$B,$C303))</f>
        <v/>
      </c>
      <c r="H303" s="3" t="str">
        <f t="shared" si="3"/>
        <v/>
      </c>
      <c r="I303" s="3" t="str">
        <f t="array" ref="I303">IF($C303="","",IFERROR(INDEX(Partits!$C:$C,MATCH($A303&amp;"_"&amp;$D303,Partits!$D:$D,0)),""))</f>
        <v/>
      </c>
      <c r="J303" s="3" t="str">
        <f t="shared" si="4"/>
        <v/>
      </c>
      <c r="K303" s="3" t="str">
        <f t="shared" si="5"/>
        <v/>
      </c>
      <c r="L303" s="3" t="str">
        <f t="shared" si="6"/>
        <v/>
      </c>
      <c r="M303" s="3" t="str">
        <f t="shared" si="7"/>
        <v/>
      </c>
    </row>
    <row r="304" ht="15.0" customHeight="1">
      <c r="A304" s="3" t="str">
        <f>IF(Equips_usuari!A304="","",Equips_usuari!A304)</f>
        <v/>
      </c>
      <c r="B304" s="3" t="str">
        <f>IF(Equips_usuari!B304="","",Equips_usuari!B304)</f>
        <v/>
      </c>
      <c r="C304" s="3" t="str">
        <f>IF(Equips_usuari!C304="","",Equips_usuari!C304)</f>
        <v/>
      </c>
      <c r="D304" s="3" t="str">
        <f>IF(Equips_usuari!D304="","",Equips_usuari!D304)</f>
        <v/>
      </c>
      <c r="E304" s="3" t="str">
        <f>IF(Equips_usuari!F304="","",Equips_usuari!F304)</f>
        <v/>
      </c>
      <c r="F304" s="3" t="str">
        <f>IF($C304="","",SUMIFS(Resultats_jugadores!$C:$C,Resultats_jugadores!$A:$A,$A304,Resultats_jugadores!$B:$B,$C304))</f>
        <v/>
      </c>
      <c r="G304" s="3" t="str">
        <f>IF($C304="","",SUMIFS(Resultats_jugadores!$D:$D,Resultats_jugadores!$A:$A,$A304,Resultats_jugadores!$B:$B,$C304))</f>
        <v/>
      </c>
      <c r="H304" s="3" t="str">
        <f t="shared" si="3"/>
        <v/>
      </c>
      <c r="I304" s="3" t="str">
        <f t="array" ref="I304">IF($C304="","",IFERROR(INDEX(Partits!$C:$C,MATCH($A304&amp;"_"&amp;$D304,Partits!$D:$D,0)),""))</f>
        <v/>
      </c>
      <c r="J304" s="3" t="str">
        <f t="shared" si="4"/>
        <v/>
      </c>
      <c r="K304" s="3" t="str">
        <f t="shared" si="5"/>
        <v/>
      </c>
      <c r="L304" s="3" t="str">
        <f t="shared" si="6"/>
        <v/>
      </c>
      <c r="M304" s="3" t="str">
        <f t="shared" si="7"/>
        <v/>
      </c>
    </row>
    <row r="305" ht="15.0" customHeight="1">
      <c r="A305" s="3" t="str">
        <f>IF(Equips_usuari!A305="","",Equips_usuari!A305)</f>
        <v/>
      </c>
      <c r="B305" s="3" t="str">
        <f>IF(Equips_usuari!B305="","",Equips_usuari!B305)</f>
        <v/>
      </c>
      <c r="C305" s="3" t="str">
        <f>IF(Equips_usuari!C305="","",Equips_usuari!C305)</f>
        <v/>
      </c>
      <c r="D305" s="3" t="str">
        <f>IF(Equips_usuari!D305="","",Equips_usuari!D305)</f>
        <v/>
      </c>
      <c r="E305" s="3" t="str">
        <f>IF(Equips_usuari!F305="","",Equips_usuari!F305)</f>
        <v/>
      </c>
      <c r="F305" s="3" t="str">
        <f>IF($C305="","",SUMIFS(Resultats_jugadores!$C:$C,Resultats_jugadores!$A:$A,$A305,Resultats_jugadores!$B:$B,$C305))</f>
        <v/>
      </c>
      <c r="G305" s="3" t="str">
        <f>IF($C305="","",SUMIFS(Resultats_jugadores!$D:$D,Resultats_jugadores!$A:$A,$A305,Resultats_jugadores!$B:$B,$C305))</f>
        <v/>
      </c>
      <c r="H305" s="3" t="str">
        <f t="shared" si="3"/>
        <v/>
      </c>
      <c r="I305" s="3" t="str">
        <f t="array" ref="I305">IF($C305="","",IFERROR(INDEX(Partits!$C:$C,MATCH($A305&amp;"_"&amp;$D305,Partits!$D:$D,0)),""))</f>
        <v/>
      </c>
      <c r="J305" s="3" t="str">
        <f t="shared" si="4"/>
        <v/>
      </c>
      <c r="K305" s="3" t="str">
        <f t="shared" si="5"/>
        <v/>
      </c>
      <c r="L305" s="3" t="str">
        <f t="shared" si="6"/>
        <v/>
      </c>
      <c r="M305" s="3" t="str">
        <f t="shared" si="7"/>
        <v/>
      </c>
    </row>
    <row r="306" ht="15.0" customHeight="1">
      <c r="A306" s="3" t="str">
        <f>IF(Equips_usuari!A306="","",Equips_usuari!A306)</f>
        <v/>
      </c>
      <c r="B306" s="3" t="str">
        <f>IF(Equips_usuari!B306="","",Equips_usuari!B306)</f>
        <v/>
      </c>
      <c r="C306" s="3" t="str">
        <f>IF(Equips_usuari!C306="","",Equips_usuari!C306)</f>
        <v/>
      </c>
      <c r="D306" s="3" t="str">
        <f>IF(Equips_usuari!D306="","",Equips_usuari!D306)</f>
        <v/>
      </c>
      <c r="E306" s="3" t="str">
        <f>IF(Equips_usuari!F306="","",Equips_usuari!F306)</f>
        <v/>
      </c>
      <c r="F306" s="3" t="str">
        <f>IF($C306="","",SUMIFS(Resultats_jugadores!$C:$C,Resultats_jugadores!$A:$A,$A306,Resultats_jugadores!$B:$B,$C306))</f>
        <v/>
      </c>
      <c r="G306" s="3" t="str">
        <f>IF($C306="","",SUMIFS(Resultats_jugadores!$D:$D,Resultats_jugadores!$A:$A,$A306,Resultats_jugadores!$B:$B,$C306))</f>
        <v/>
      </c>
      <c r="H306" s="3" t="str">
        <f t="shared" si="3"/>
        <v/>
      </c>
      <c r="I306" s="3" t="str">
        <f t="array" ref="I306">IF($C306="","",IFERROR(INDEX(Partits!$C:$C,MATCH($A306&amp;"_"&amp;$D306,Partits!$D:$D,0)),""))</f>
        <v/>
      </c>
      <c r="J306" s="3" t="str">
        <f t="shared" si="4"/>
        <v/>
      </c>
      <c r="K306" s="3" t="str">
        <f t="shared" si="5"/>
        <v/>
      </c>
      <c r="L306" s="3" t="str">
        <f t="shared" si="6"/>
        <v/>
      </c>
      <c r="M306" s="3" t="str">
        <f t="shared" si="7"/>
        <v/>
      </c>
    </row>
    <row r="307" ht="15.0" customHeight="1">
      <c r="A307" s="3" t="str">
        <f>IF(Equips_usuari!A307="","",Equips_usuari!A307)</f>
        <v/>
      </c>
      <c r="B307" s="3" t="str">
        <f>IF(Equips_usuari!B307="","",Equips_usuari!B307)</f>
        <v/>
      </c>
      <c r="C307" s="3" t="str">
        <f>IF(Equips_usuari!C307="","",Equips_usuari!C307)</f>
        <v/>
      </c>
      <c r="D307" s="3" t="str">
        <f>IF(Equips_usuari!D307="","",Equips_usuari!D307)</f>
        <v/>
      </c>
      <c r="E307" s="3" t="str">
        <f>IF(Equips_usuari!F307="","",Equips_usuari!F307)</f>
        <v/>
      </c>
      <c r="F307" s="3" t="str">
        <f>IF($C307="","",SUMIFS(Resultats_jugadores!$C:$C,Resultats_jugadores!$A:$A,$A307,Resultats_jugadores!$B:$B,$C307))</f>
        <v/>
      </c>
      <c r="G307" s="3" t="str">
        <f>IF($C307="","",SUMIFS(Resultats_jugadores!$D:$D,Resultats_jugadores!$A:$A,$A307,Resultats_jugadores!$B:$B,$C307))</f>
        <v/>
      </c>
      <c r="H307" s="3" t="str">
        <f t="shared" si="3"/>
        <v/>
      </c>
      <c r="I307" s="3" t="str">
        <f t="array" ref="I307">IF($C307="","",IFERROR(INDEX(Partits!$C:$C,MATCH($A307&amp;"_"&amp;$D307,Partits!$D:$D,0)),""))</f>
        <v/>
      </c>
      <c r="J307" s="3" t="str">
        <f t="shared" si="4"/>
        <v/>
      </c>
      <c r="K307" s="3" t="str">
        <f t="shared" si="5"/>
        <v/>
      </c>
      <c r="L307" s="3" t="str">
        <f t="shared" si="6"/>
        <v/>
      </c>
      <c r="M307" s="3" t="str">
        <f t="shared" si="7"/>
        <v/>
      </c>
    </row>
    <row r="308" ht="15.0" customHeight="1">
      <c r="A308" s="3" t="str">
        <f>IF(Equips_usuari!A308="","",Equips_usuari!A308)</f>
        <v/>
      </c>
      <c r="B308" s="3" t="str">
        <f>IF(Equips_usuari!B308="","",Equips_usuari!B308)</f>
        <v/>
      </c>
      <c r="C308" s="3" t="str">
        <f>IF(Equips_usuari!C308="","",Equips_usuari!C308)</f>
        <v/>
      </c>
      <c r="D308" s="3" t="str">
        <f>IF(Equips_usuari!D308="","",Equips_usuari!D308)</f>
        <v/>
      </c>
      <c r="E308" s="3" t="str">
        <f>IF(Equips_usuari!F308="","",Equips_usuari!F308)</f>
        <v/>
      </c>
      <c r="F308" s="3" t="str">
        <f>IF($C308="","",SUMIFS(Resultats_jugadores!$C:$C,Resultats_jugadores!$A:$A,$A308,Resultats_jugadores!$B:$B,$C308))</f>
        <v/>
      </c>
      <c r="G308" s="3" t="str">
        <f>IF($C308="","",SUMIFS(Resultats_jugadores!$D:$D,Resultats_jugadores!$A:$A,$A308,Resultats_jugadores!$B:$B,$C308))</f>
        <v/>
      </c>
      <c r="H308" s="3" t="str">
        <f t="shared" si="3"/>
        <v/>
      </c>
      <c r="I308" s="3" t="str">
        <f t="array" ref="I308">IF($C308="","",IFERROR(INDEX(Partits!$C:$C,MATCH($A308&amp;"_"&amp;$D308,Partits!$D:$D,0)),""))</f>
        <v/>
      </c>
      <c r="J308" s="3" t="str">
        <f t="shared" si="4"/>
        <v/>
      </c>
      <c r="K308" s="3" t="str">
        <f t="shared" si="5"/>
        <v/>
      </c>
      <c r="L308" s="3" t="str">
        <f t="shared" si="6"/>
        <v/>
      </c>
      <c r="M308" s="3" t="str">
        <f t="shared" si="7"/>
        <v/>
      </c>
    </row>
    <row r="309" ht="15.0" customHeight="1">
      <c r="A309" s="3" t="str">
        <f>IF(Equips_usuari!A309="","",Equips_usuari!A309)</f>
        <v/>
      </c>
      <c r="B309" s="3" t="str">
        <f>IF(Equips_usuari!B309="","",Equips_usuari!B309)</f>
        <v/>
      </c>
      <c r="C309" s="3" t="str">
        <f>IF(Equips_usuari!C309="","",Equips_usuari!C309)</f>
        <v/>
      </c>
      <c r="D309" s="3" t="str">
        <f>IF(Equips_usuari!D309="","",Equips_usuari!D309)</f>
        <v/>
      </c>
      <c r="E309" s="3" t="str">
        <f>IF(Equips_usuari!F309="","",Equips_usuari!F309)</f>
        <v/>
      </c>
      <c r="F309" s="3" t="str">
        <f>IF($C309="","",SUMIFS(Resultats_jugadores!$C:$C,Resultats_jugadores!$A:$A,$A309,Resultats_jugadores!$B:$B,$C309))</f>
        <v/>
      </c>
      <c r="G309" s="3" t="str">
        <f>IF($C309="","",SUMIFS(Resultats_jugadores!$D:$D,Resultats_jugadores!$A:$A,$A309,Resultats_jugadores!$B:$B,$C309))</f>
        <v/>
      </c>
      <c r="H309" s="3" t="str">
        <f t="shared" si="3"/>
        <v/>
      </c>
      <c r="I309" s="3" t="str">
        <f t="array" ref="I309">IF($C309="","",IFERROR(INDEX(Partits!$C:$C,MATCH($A309&amp;"_"&amp;$D309,Partits!$D:$D,0)),""))</f>
        <v/>
      </c>
      <c r="J309" s="3" t="str">
        <f t="shared" si="4"/>
        <v/>
      </c>
      <c r="K309" s="3" t="str">
        <f t="shared" si="5"/>
        <v/>
      </c>
      <c r="L309" s="3" t="str">
        <f t="shared" si="6"/>
        <v/>
      </c>
      <c r="M309" s="3" t="str">
        <f t="shared" si="7"/>
        <v/>
      </c>
    </row>
    <row r="310" ht="15.0" customHeight="1">
      <c r="A310" s="3" t="str">
        <f>IF(Equips_usuari!A310="","",Equips_usuari!A310)</f>
        <v/>
      </c>
      <c r="B310" s="3" t="str">
        <f>IF(Equips_usuari!B310="","",Equips_usuari!B310)</f>
        <v/>
      </c>
      <c r="C310" s="3" t="str">
        <f>IF(Equips_usuari!C310="","",Equips_usuari!C310)</f>
        <v/>
      </c>
      <c r="D310" s="3" t="str">
        <f>IF(Equips_usuari!D310="","",Equips_usuari!D310)</f>
        <v/>
      </c>
      <c r="E310" s="3" t="str">
        <f>IF(Equips_usuari!F310="","",Equips_usuari!F310)</f>
        <v/>
      </c>
      <c r="F310" s="3" t="str">
        <f>IF($C310="","",SUMIFS(Resultats_jugadores!$C:$C,Resultats_jugadores!$A:$A,$A310,Resultats_jugadores!$B:$B,$C310))</f>
        <v/>
      </c>
      <c r="G310" s="3" t="str">
        <f>IF($C310="","",SUMIFS(Resultats_jugadores!$D:$D,Resultats_jugadores!$A:$A,$A310,Resultats_jugadores!$B:$B,$C310))</f>
        <v/>
      </c>
      <c r="H310" s="3" t="str">
        <f t="shared" si="3"/>
        <v/>
      </c>
      <c r="I310" s="3" t="str">
        <f t="array" ref="I310">IF($C310="","",IFERROR(INDEX(Partits!$C:$C,MATCH($A310&amp;"_"&amp;$D310,Partits!$D:$D,0)),""))</f>
        <v/>
      </c>
      <c r="J310" s="3" t="str">
        <f t="shared" si="4"/>
        <v/>
      </c>
      <c r="K310" s="3" t="str">
        <f t="shared" si="5"/>
        <v/>
      </c>
      <c r="L310" s="3" t="str">
        <f t="shared" si="6"/>
        <v/>
      </c>
      <c r="M310" s="3" t="str">
        <f t="shared" si="7"/>
        <v/>
      </c>
    </row>
    <row r="311" ht="15.0" customHeight="1">
      <c r="A311" s="3" t="str">
        <f>IF(Equips_usuari!A311="","",Equips_usuari!A311)</f>
        <v/>
      </c>
      <c r="B311" s="3" t="str">
        <f>IF(Equips_usuari!B311="","",Equips_usuari!B311)</f>
        <v/>
      </c>
      <c r="C311" s="3" t="str">
        <f>IF(Equips_usuari!C311="","",Equips_usuari!C311)</f>
        <v/>
      </c>
      <c r="D311" s="3" t="str">
        <f>IF(Equips_usuari!D311="","",Equips_usuari!D311)</f>
        <v/>
      </c>
      <c r="E311" s="3" t="str">
        <f>IF(Equips_usuari!F311="","",Equips_usuari!F311)</f>
        <v/>
      </c>
      <c r="F311" s="3" t="str">
        <f>IF($C311="","",SUMIFS(Resultats_jugadores!$C:$C,Resultats_jugadores!$A:$A,$A311,Resultats_jugadores!$B:$B,$C311))</f>
        <v/>
      </c>
      <c r="G311" s="3" t="str">
        <f>IF($C311="","",SUMIFS(Resultats_jugadores!$D:$D,Resultats_jugadores!$A:$A,$A311,Resultats_jugadores!$B:$B,$C311))</f>
        <v/>
      </c>
      <c r="H311" s="3" t="str">
        <f t="shared" si="3"/>
        <v/>
      </c>
      <c r="I311" s="3" t="str">
        <f t="array" ref="I311">IF($C311="","",IFERROR(INDEX(Partits!$C:$C,MATCH($A311&amp;"_"&amp;$D311,Partits!$D:$D,0)),""))</f>
        <v/>
      </c>
      <c r="J311" s="3" t="str">
        <f t="shared" si="4"/>
        <v/>
      </c>
      <c r="K311" s="3" t="str">
        <f t="shared" si="5"/>
        <v/>
      </c>
      <c r="L311" s="3" t="str">
        <f t="shared" si="6"/>
        <v/>
      </c>
      <c r="M311" s="3" t="str">
        <f t="shared" si="7"/>
        <v/>
      </c>
    </row>
    <row r="312" ht="15.0" customHeight="1">
      <c r="A312" s="3" t="str">
        <f>IF(Equips_usuari!A312="","",Equips_usuari!A312)</f>
        <v/>
      </c>
      <c r="B312" s="3" t="str">
        <f>IF(Equips_usuari!B312="","",Equips_usuari!B312)</f>
        <v/>
      </c>
      <c r="C312" s="3" t="str">
        <f>IF(Equips_usuari!C312="","",Equips_usuari!C312)</f>
        <v/>
      </c>
      <c r="D312" s="3" t="str">
        <f>IF(Equips_usuari!D312="","",Equips_usuari!D312)</f>
        <v/>
      </c>
      <c r="E312" s="3" t="str">
        <f>IF(Equips_usuari!F312="","",Equips_usuari!F312)</f>
        <v/>
      </c>
      <c r="F312" s="3" t="str">
        <f>IF($C312="","",SUMIFS(Resultats_jugadores!$C:$C,Resultats_jugadores!$A:$A,$A312,Resultats_jugadores!$B:$B,$C312))</f>
        <v/>
      </c>
      <c r="G312" s="3" t="str">
        <f>IF($C312="","",SUMIFS(Resultats_jugadores!$D:$D,Resultats_jugadores!$A:$A,$A312,Resultats_jugadores!$B:$B,$C312))</f>
        <v/>
      </c>
      <c r="H312" s="3" t="str">
        <f t="shared" si="3"/>
        <v/>
      </c>
      <c r="I312" s="3" t="str">
        <f t="array" ref="I312">IF($C312="","",IFERROR(INDEX(Partits!$C:$C,MATCH($A312&amp;"_"&amp;$D312,Partits!$D:$D,0)),""))</f>
        <v/>
      </c>
      <c r="J312" s="3" t="str">
        <f t="shared" si="4"/>
        <v/>
      </c>
      <c r="K312" s="3" t="str">
        <f t="shared" si="5"/>
        <v/>
      </c>
      <c r="L312" s="3" t="str">
        <f t="shared" si="6"/>
        <v/>
      </c>
      <c r="M312" s="3" t="str">
        <f t="shared" si="7"/>
        <v/>
      </c>
    </row>
    <row r="313" ht="15.0" customHeight="1">
      <c r="A313" s="3" t="str">
        <f>IF(Equips_usuari!A313="","",Equips_usuari!A313)</f>
        <v/>
      </c>
      <c r="B313" s="3" t="str">
        <f>IF(Equips_usuari!B313="","",Equips_usuari!B313)</f>
        <v/>
      </c>
      <c r="C313" s="3" t="str">
        <f>IF(Equips_usuari!C313="","",Equips_usuari!C313)</f>
        <v/>
      </c>
      <c r="D313" s="3" t="str">
        <f>IF(Equips_usuari!D313="","",Equips_usuari!D313)</f>
        <v/>
      </c>
      <c r="E313" s="3" t="str">
        <f>IF(Equips_usuari!F313="","",Equips_usuari!F313)</f>
        <v/>
      </c>
      <c r="F313" s="3" t="str">
        <f>IF($C313="","",SUMIFS(Resultats_jugadores!$C:$C,Resultats_jugadores!$A:$A,$A313,Resultats_jugadores!$B:$B,$C313))</f>
        <v/>
      </c>
      <c r="G313" s="3" t="str">
        <f>IF($C313="","",SUMIFS(Resultats_jugadores!$D:$D,Resultats_jugadores!$A:$A,$A313,Resultats_jugadores!$B:$B,$C313))</f>
        <v/>
      </c>
      <c r="H313" s="3" t="str">
        <f t="shared" si="3"/>
        <v/>
      </c>
      <c r="I313" s="3" t="str">
        <f t="array" ref="I313">IF($C313="","",IFERROR(INDEX(Partits!$C:$C,MATCH($A313&amp;"_"&amp;$D313,Partits!$D:$D,0)),""))</f>
        <v/>
      </c>
      <c r="J313" s="3" t="str">
        <f t="shared" si="4"/>
        <v/>
      </c>
      <c r="K313" s="3" t="str">
        <f t="shared" si="5"/>
        <v/>
      </c>
      <c r="L313" s="3" t="str">
        <f t="shared" si="6"/>
        <v/>
      </c>
      <c r="M313" s="3" t="str">
        <f t="shared" si="7"/>
        <v/>
      </c>
    </row>
    <row r="314" ht="15.0" customHeight="1">
      <c r="A314" s="3" t="str">
        <f>IF(Equips_usuari!A314="","",Equips_usuari!A314)</f>
        <v/>
      </c>
      <c r="B314" s="3" t="str">
        <f>IF(Equips_usuari!B314="","",Equips_usuari!B314)</f>
        <v/>
      </c>
      <c r="C314" s="3" t="str">
        <f>IF(Equips_usuari!C314="","",Equips_usuari!C314)</f>
        <v/>
      </c>
      <c r="D314" s="3" t="str">
        <f>IF(Equips_usuari!D314="","",Equips_usuari!D314)</f>
        <v/>
      </c>
      <c r="E314" s="3" t="str">
        <f>IF(Equips_usuari!F314="","",Equips_usuari!F314)</f>
        <v/>
      </c>
      <c r="F314" s="3" t="str">
        <f>IF($C314="","",SUMIFS(Resultats_jugadores!$C:$C,Resultats_jugadores!$A:$A,$A314,Resultats_jugadores!$B:$B,$C314))</f>
        <v/>
      </c>
      <c r="G314" s="3" t="str">
        <f>IF($C314="","",SUMIFS(Resultats_jugadores!$D:$D,Resultats_jugadores!$A:$A,$A314,Resultats_jugadores!$B:$B,$C314))</f>
        <v/>
      </c>
      <c r="H314" s="3" t="str">
        <f t="shared" si="3"/>
        <v/>
      </c>
      <c r="I314" s="3" t="str">
        <f t="array" ref="I314">IF($C314="","",IFERROR(INDEX(Partits!$C:$C,MATCH($A314&amp;"_"&amp;$D314,Partits!$D:$D,0)),""))</f>
        <v/>
      </c>
      <c r="J314" s="3" t="str">
        <f t="shared" si="4"/>
        <v/>
      </c>
      <c r="K314" s="3" t="str">
        <f t="shared" si="5"/>
        <v/>
      </c>
      <c r="L314" s="3" t="str">
        <f t="shared" si="6"/>
        <v/>
      </c>
      <c r="M314" s="3" t="str">
        <f t="shared" si="7"/>
        <v/>
      </c>
    </row>
    <row r="315" ht="15.0" customHeight="1">
      <c r="A315" s="3" t="str">
        <f>IF(Equips_usuari!A315="","",Equips_usuari!A315)</f>
        <v/>
      </c>
      <c r="B315" s="3" t="str">
        <f>IF(Equips_usuari!B315="","",Equips_usuari!B315)</f>
        <v/>
      </c>
      <c r="C315" s="3" t="str">
        <f>IF(Equips_usuari!C315="","",Equips_usuari!C315)</f>
        <v/>
      </c>
      <c r="D315" s="3" t="str">
        <f>IF(Equips_usuari!D315="","",Equips_usuari!D315)</f>
        <v/>
      </c>
      <c r="E315" s="3" t="str">
        <f>IF(Equips_usuari!F315="","",Equips_usuari!F315)</f>
        <v/>
      </c>
      <c r="F315" s="3" t="str">
        <f>IF($C315="","",SUMIFS(Resultats_jugadores!$C:$C,Resultats_jugadores!$A:$A,$A315,Resultats_jugadores!$B:$B,$C315))</f>
        <v/>
      </c>
      <c r="G315" s="3" t="str">
        <f>IF($C315="","",SUMIFS(Resultats_jugadores!$D:$D,Resultats_jugadores!$A:$A,$A315,Resultats_jugadores!$B:$B,$C315))</f>
        <v/>
      </c>
      <c r="H315" s="3" t="str">
        <f t="shared" si="3"/>
        <v/>
      </c>
      <c r="I315" s="3" t="str">
        <f t="array" ref="I315">IF($C315="","",IFERROR(INDEX(Partits!$C:$C,MATCH($A315&amp;"_"&amp;$D315,Partits!$D:$D,0)),""))</f>
        <v/>
      </c>
      <c r="J315" s="3" t="str">
        <f t="shared" si="4"/>
        <v/>
      </c>
      <c r="K315" s="3" t="str">
        <f t="shared" si="5"/>
        <v/>
      </c>
      <c r="L315" s="3" t="str">
        <f t="shared" si="6"/>
        <v/>
      </c>
      <c r="M315" s="3" t="str">
        <f t="shared" si="7"/>
        <v/>
      </c>
    </row>
    <row r="316" ht="15.0" customHeight="1">
      <c r="A316" s="3" t="str">
        <f>IF(Equips_usuari!A316="","",Equips_usuari!A316)</f>
        <v/>
      </c>
      <c r="B316" s="3" t="str">
        <f>IF(Equips_usuari!B316="","",Equips_usuari!B316)</f>
        <v/>
      </c>
      <c r="C316" s="3" t="str">
        <f>IF(Equips_usuari!C316="","",Equips_usuari!C316)</f>
        <v/>
      </c>
      <c r="D316" s="3" t="str">
        <f>IF(Equips_usuari!D316="","",Equips_usuari!D316)</f>
        <v/>
      </c>
      <c r="E316" s="3" t="str">
        <f>IF(Equips_usuari!F316="","",Equips_usuari!F316)</f>
        <v/>
      </c>
      <c r="F316" s="3" t="str">
        <f>IF($C316="","",SUMIFS(Resultats_jugadores!$C:$C,Resultats_jugadores!$A:$A,$A316,Resultats_jugadores!$B:$B,$C316))</f>
        <v/>
      </c>
      <c r="G316" s="3" t="str">
        <f>IF($C316="","",SUMIFS(Resultats_jugadores!$D:$D,Resultats_jugadores!$A:$A,$A316,Resultats_jugadores!$B:$B,$C316))</f>
        <v/>
      </c>
      <c r="H316" s="3" t="str">
        <f t="shared" si="3"/>
        <v/>
      </c>
      <c r="I316" s="3" t="str">
        <f t="array" ref="I316">IF($C316="","",IFERROR(INDEX(Partits!$C:$C,MATCH($A316&amp;"_"&amp;$D316,Partits!$D:$D,0)),""))</f>
        <v/>
      </c>
      <c r="J316" s="3" t="str">
        <f t="shared" si="4"/>
        <v/>
      </c>
      <c r="K316" s="3" t="str">
        <f t="shared" si="5"/>
        <v/>
      </c>
      <c r="L316" s="3" t="str">
        <f t="shared" si="6"/>
        <v/>
      </c>
      <c r="M316" s="3" t="str">
        <f t="shared" si="7"/>
        <v/>
      </c>
    </row>
    <row r="317" ht="15.0" customHeight="1">
      <c r="A317" s="3" t="str">
        <f>IF(Equips_usuari!A317="","",Equips_usuari!A317)</f>
        <v/>
      </c>
      <c r="B317" s="3" t="str">
        <f>IF(Equips_usuari!B317="","",Equips_usuari!B317)</f>
        <v/>
      </c>
      <c r="C317" s="3" t="str">
        <f>IF(Equips_usuari!C317="","",Equips_usuari!C317)</f>
        <v/>
      </c>
      <c r="D317" s="3" t="str">
        <f>IF(Equips_usuari!D317="","",Equips_usuari!D317)</f>
        <v/>
      </c>
      <c r="E317" s="3" t="str">
        <f>IF(Equips_usuari!F317="","",Equips_usuari!F317)</f>
        <v/>
      </c>
      <c r="F317" s="3" t="str">
        <f>IF($C317="","",SUMIFS(Resultats_jugadores!$C:$C,Resultats_jugadores!$A:$A,$A317,Resultats_jugadores!$B:$B,$C317))</f>
        <v/>
      </c>
      <c r="G317" s="3" t="str">
        <f>IF($C317="","",SUMIFS(Resultats_jugadores!$D:$D,Resultats_jugadores!$A:$A,$A317,Resultats_jugadores!$B:$B,$C317))</f>
        <v/>
      </c>
      <c r="H317" s="3" t="str">
        <f t="shared" si="3"/>
        <v/>
      </c>
      <c r="I317" s="3" t="str">
        <f t="array" ref="I317">IF($C317="","",IFERROR(INDEX(Partits!$C:$C,MATCH($A317&amp;"_"&amp;$D317,Partits!$D:$D,0)),""))</f>
        <v/>
      </c>
      <c r="J317" s="3" t="str">
        <f t="shared" si="4"/>
        <v/>
      </c>
      <c r="K317" s="3" t="str">
        <f t="shared" si="5"/>
        <v/>
      </c>
      <c r="L317" s="3" t="str">
        <f t="shared" si="6"/>
        <v/>
      </c>
      <c r="M317" s="3" t="str">
        <f t="shared" si="7"/>
        <v/>
      </c>
    </row>
    <row r="318" ht="15.0" customHeight="1">
      <c r="A318" s="3" t="str">
        <f>IF(Equips_usuari!A318="","",Equips_usuari!A318)</f>
        <v/>
      </c>
      <c r="B318" s="3" t="str">
        <f>IF(Equips_usuari!B318="","",Equips_usuari!B318)</f>
        <v/>
      </c>
      <c r="C318" s="3" t="str">
        <f>IF(Equips_usuari!C318="","",Equips_usuari!C318)</f>
        <v/>
      </c>
      <c r="D318" s="3" t="str">
        <f>IF(Equips_usuari!D318="","",Equips_usuari!D318)</f>
        <v/>
      </c>
      <c r="E318" s="3" t="str">
        <f>IF(Equips_usuari!F318="","",Equips_usuari!F318)</f>
        <v/>
      </c>
      <c r="F318" s="3" t="str">
        <f>IF($C318="","",SUMIFS(Resultats_jugadores!$C:$C,Resultats_jugadores!$A:$A,$A318,Resultats_jugadores!$B:$B,$C318))</f>
        <v/>
      </c>
      <c r="G318" s="3" t="str">
        <f>IF($C318="","",SUMIFS(Resultats_jugadores!$D:$D,Resultats_jugadores!$A:$A,$A318,Resultats_jugadores!$B:$B,$C318))</f>
        <v/>
      </c>
      <c r="H318" s="3" t="str">
        <f t="shared" si="3"/>
        <v/>
      </c>
      <c r="I318" s="3" t="str">
        <f t="array" ref="I318">IF($C318="","",IFERROR(INDEX(Partits!$C:$C,MATCH($A318&amp;"_"&amp;$D318,Partits!$D:$D,0)),""))</f>
        <v/>
      </c>
      <c r="J318" s="3" t="str">
        <f t="shared" si="4"/>
        <v/>
      </c>
      <c r="K318" s="3" t="str">
        <f t="shared" si="5"/>
        <v/>
      </c>
      <c r="L318" s="3" t="str">
        <f t="shared" si="6"/>
        <v/>
      </c>
      <c r="M318" s="3" t="str">
        <f t="shared" si="7"/>
        <v/>
      </c>
    </row>
    <row r="319" ht="15.0" customHeight="1">
      <c r="A319" s="3" t="str">
        <f>IF(Equips_usuari!A319="","",Equips_usuari!A319)</f>
        <v/>
      </c>
      <c r="B319" s="3" t="str">
        <f>IF(Equips_usuari!B319="","",Equips_usuari!B319)</f>
        <v/>
      </c>
      <c r="C319" s="3" t="str">
        <f>IF(Equips_usuari!C319="","",Equips_usuari!C319)</f>
        <v/>
      </c>
      <c r="D319" s="3" t="str">
        <f>IF(Equips_usuari!D319="","",Equips_usuari!D319)</f>
        <v/>
      </c>
      <c r="E319" s="3" t="str">
        <f>IF(Equips_usuari!F319="","",Equips_usuari!F319)</f>
        <v/>
      </c>
      <c r="F319" s="3" t="str">
        <f>IF($C319="","",SUMIFS(Resultats_jugadores!$C:$C,Resultats_jugadores!$A:$A,$A319,Resultats_jugadores!$B:$B,$C319))</f>
        <v/>
      </c>
      <c r="G319" s="3" t="str">
        <f>IF($C319="","",SUMIFS(Resultats_jugadores!$D:$D,Resultats_jugadores!$A:$A,$A319,Resultats_jugadores!$B:$B,$C319))</f>
        <v/>
      </c>
      <c r="H319" s="3" t="str">
        <f t="shared" si="3"/>
        <v/>
      </c>
      <c r="I319" s="3" t="str">
        <f t="array" ref="I319">IF($C319="","",IFERROR(INDEX(Partits!$C:$C,MATCH($A319&amp;"_"&amp;$D319,Partits!$D:$D,0)),""))</f>
        <v/>
      </c>
      <c r="J319" s="3" t="str">
        <f t="shared" si="4"/>
        <v/>
      </c>
      <c r="K319" s="3" t="str">
        <f t="shared" si="5"/>
        <v/>
      </c>
      <c r="L319" s="3" t="str">
        <f t="shared" si="6"/>
        <v/>
      </c>
      <c r="M319" s="3" t="str">
        <f t="shared" si="7"/>
        <v/>
      </c>
    </row>
    <row r="320" ht="15.0" customHeight="1">
      <c r="A320" s="3" t="str">
        <f>IF(Equips_usuari!A320="","",Equips_usuari!A320)</f>
        <v/>
      </c>
      <c r="B320" s="3" t="str">
        <f>IF(Equips_usuari!B320="","",Equips_usuari!B320)</f>
        <v/>
      </c>
      <c r="C320" s="3" t="str">
        <f>IF(Equips_usuari!C320="","",Equips_usuari!C320)</f>
        <v/>
      </c>
      <c r="D320" s="3" t="str">
        <f>IF(Equips_usuari!D320="","",Equips_usuari!D320)</f>
        <v/>
      </c>
      <c r="E320" s="3" t="str">
        <f>IF(Equips_usuari!F320="","",Equips_usuari!F320)</f>
        <v/>
      </c>
      <c r="F320" s="3" t="str">
        <f>IF($C320="","",SUMIFS(Resultats_jugadores!$C:$C,Resultats_jugadores!$A:$A,$A320,Resultats_jugadores!$B:$B,$C320))</f>
        <v/>
      </c>
      <c r="G320" s="3" t="str">
        <f>IF($C320="","",SUMIFS(Resultats_jugadores!$D:$D,Resultats_jugadores!$A:$A,$A320,Resultats_jugadores!$B:$B,$C320))</f>
        <v/>
      </c>
      <c r="H320" s="3" t="str">
        <f t="shared" si="3"/>
        <v/>
      </c>
      <c r="I320" s="3" t="str">
        <f t="array" ref="I320">IF($C320="","",IFERROR(INDEX(Partits!$C:$C,MATCH($A320&amp;"_"&amp;$D320,Partits!$D:$D,0)),""))</f>
        <v/>
      </c>
      <c r="J320" s="3" t="str">
        <f t="shared" si="4"/>
        <v/>
      </c>
      <c r="K320" s="3" t="str">
        <f t="shared" si="5"/>
        <v/>
      </c>
      <c r="L320" s="3" t="str">
        <f t="shared" si="6"/>
        <v/>
      </c>
      <c r="M320" s="3" t="str">
        <f t="shared" si="7"/>
        <v/>
      </c>
    </row>
    <row r="321" ht="15.0" customHeight="1">
      <c r="A321" s="3" t="str">
        <f>IF(Equips_usuari!A321="","",Equips_usuari!A321)</f>
        <v/>
      </c>
      <c r="B321" s="3" t="str">
        <f>IF(Equips_usuari!B321="","",Equips_usuari!B321)</f>
        <v/>
      </c>
      <c r="C321" s="3" t="str">
        <f>IF(Equips_usuari!C321="","",Equips_usuari!C321)</f>
        <v/>
      </c>
      <c r="D321" s="3" t="str">
        <f>IF(Equips_usuari!D321="","",Equips_usuari!D321)</f>
        <v/>
      </c>
      <c r="E321" s="3" t="str">
        <f>IF(Equips_usuari!F321="","",Equips_usuari!F321)</f>
        <v/>
      </c>
      <c r="F321" s="3" t="str">
        <f>IF($C321="","",SUMIFS(Resultats_jugadores!$C:$C,Resultats_jugadores!$A:$A,$A321,Resultats_jugadores!$B:$B,$C321))</f>
        <v/>
      </c>
      <c r="G321" s="3" t="str">
        <f>IF($C321="","",SUMIFS(Resultats_jugadores!$D:$D,Resultats_jugadores!$A:$A,$A321,Resultats_jugadores!$B:$B,$C321))</f>
        <v/>
      </c>
      <c r="H321" s="3" t="str">
        <f t="shared" si="3"/>
        <v/>
      </c>
      <c r="I321" s="3" t="str">
        <f t="array" ref="I321">IF($C321="","",IFERROR(INDEX(Partits!$C:$C,MATCH($A321&amp;"_"&amp;$D321,Partits!$D:$D,0)),""))</f>
        <v/>
      </c>
      <c r="J321" s="3" t="str">
        <f t="shared" si="4"/>
        <v/>
      </c>
      <c r="K321" s="3" t="str">
        <f t="shared" si="5"/>
        <v/>
      </c>
      <c r="L321" s="3" t="str">
        <f t="shared" si="6"/>
        <v/>
      </c>
      <c r="M321" s="3" t="str">
        <f t="shared" si="7"/>
        <v/>
      </c>
    </row>
    <row r="322" ht="15.0" customHeight="1">
      <c r="A322" s="3" t="str">
        <f>IF(Equips_usuari!A322="","",Equips_usuari!A322)</f>
        <v/>
      </c>
      <c r="B322" s="3" t="str">
        <f>IF(Equips_usuari!B322="","",Equips_usuari!B322)</f>
        <v/>
      </c>
      <c r="C322" s="3" t="str">
        <f>IF(Equips_usuari!C322="","",Equips_usuari!C322)</f>
        <v/>
      </c>
      <c r="D322" s="3" t="str">
        <f>IF(Equips_usuari!D322="","",Equips_usuari!D322)</f>
        <v/>
      </c>
      <c r="E322" s="3" t="str">
        <f>IF(Equips_usuari!F322="","",Equips_usuari!F322)</f>
        <v/>
      </c>
      <c r="F322" s="3" t="str">
        <f>IF($C322="","",SUMIFS(Resultats_jugadores!$C:$C,Resultats_jugadores!$A:$A,$A322,Resultats_jugadores!$B:$B,$C322))</f>
        <v/>
      </c>
      <c r="G322" s="3" t="str">
        <f>IF($C322="","",SUMIFS(Resultats_jugadores!$D:$D,Resultats_jugadores!$A:$A,$A322,Resultats_jugadores!$B:$B,$C322))</f>
        <v/>
      </c>
      <c r="H322" s="3" t="str">
        <f t="shared" si="3"/>
        <v/>
      </c>
      <c r="I322" s="3" t="str">
        <f t="array" ref="I322">IF($C322="","",IFERROR(INDEX(Partits!$C:$C,MATCH($A322&amp;"_"&amp;$D322,Partits!$D:$D,0)),""))</f>
        <v/>
      </c>
      <c r="J322" s="3" t="str">
        <f t="shared" si="4"/>
        <v/>
      </c>
      <c r="K322" s="3" t="str">
        <f t="shared" si="5"/>
        <v/>
      </c>
      <c r="L322" s="3" t="str">
        <f t="shared" si="6"/>
        <v/>
      </c>
      <c r="M322" s="3" t="str">
        <f t="shared" si="7"/>
        <v/>
      </c>
    </row>
    <row r="323" ht="15.0" customHeight="1">
      <c r="A323" s="3" t="str">
        <f>IF(Equips_usuari!A323="","",Equips_usuari!A323)</f>
        <v/>
      </c>
      <c r="B323" s="3" t="str">
        <f>IF(Equips_usuari!B323="","",Equips_usuari!B323)</f>
        <v/>
      </c>
      <c r="C323" s="3" t="str">
        <f>IF(Equips_usuari!C323="","",Equips_usuari!C323)</f>
        <v/>
      </c>
      <c r="D323" s="3" t="str">
        <f>IF(Equips_usuari!D323="","",Equips_usuari!D323)</f>
        <v/>
      </c>
      <c r="E323" s="3" t="str">
        <f>IF(Equips_usuari!F323="","",Equips_usuari!F323)</f>
        <v/>
      </c>
      <c r="F323" s="3" t="str">
        <f>IF($C323="","",SUMIFS(Resultats_jugadores!$C:$C,Resultats_jugadores!$A:$A,$A323,Resultats_jugadores!$B:$B,$C323))</f>
        <v/>
      </c>
      <c r="G323" s="3" t="str">
        <f>IF($C323="","",SUMIFS(Resultats_jugadores!$D:$D,Resultats_jugadores!$A:$A,$A323,Resultats_jugadores!$B:$B,$C323))</f>
        <v/>
      </c>
      <c r="H323" s="3" t="str">
        <f t="shared" si="3"/>
        <v/>
      </c>
      <c r="I323" s="3" t="str">
        <f t="array" ref="I323">IF($C323="","",IFERROR(INDEX(Partits!$C:$C,MATCH($A323&amp;"_"&amp;$D323,Partits!$D:$D,0)),""))</f>
        <v/>
      </c>
      <c r="J323" s="3" t="str">
        <f t="shared" si="4"/>
        <v/>
      </c>
      <c r="K323" s="3" t="str">
        <f t="shared" si="5"/>
        <v/>
      </c>
      <c r="L323" s="3" t="str">
        <f t="shared" si="6"/>
        <v/>
      </c>
      <c r="M323" s="3" t="str">
        <f t="shared" si="7"/>
        <v/>
      </c>
    </row>
    <row r="324" ht="15.0" customHeight="1">
      <c r="A324" s="3" t="str">
        <f>IF(Equips_usuari!A324="","",Equips_usuari!A324)</f>
        <v/>
      </c>
      <c r="B324" s="3" t="str">
        <f>IF(Equips_usuari!B324="","",Equips_usuari!B324)</f>
        <v/>
      </c>
      <c r="C324" s="3" t="str">
        <f>IF(Equips_usuari!C324="","",Equips_usuari!C324)</f>
        <v/>
      </c>
      <c r="D324" s="3" t="str">
        <f>IF(Equips_usuari!D324="","",Equips_usuari!D324)</f>
        <v/>
      </c>
      <c r="E324" s="3" t="str">
        <f>IF(Equips_usuari!F324="","",Equips_usuari!F324)</f>
        <v/>
      </c>
      <c r="F324" s="3" t="str">
        <f>IF($C324="","",SUMIFS(Resultats_jugadores!$C:$C,Resultats_jugadores!$A:$A,$A324,Resultats_jugadores!$B:$B,$C324))</f>
        <v/>
      </c>
      <c r="G324" s="3" t="str">
        <f>IF($C324="","",SUMIFS(Resultats_jugadores!$D:$D,Resultats_jugadores!$A:$A,$A324,Resultats_jugadores!$B:$B,$C324))</f>
        <v/>
      </c>
      <c r="H324" s="3" t="str">
        <f t="shared" si="3"/>
        <v/>
      </c>
      <c r="I324" s="3" t="str">
        <f t="array" ref="I324">IF($C324="","",IFERROR(INDEX(Partits!$C:$C,MATCH($A324&amp;"_"&amp;$D324,Partits!$D:$D,0)),""))</f>
        <v/>
      </c>
      <c r="J324" s="3" t="str">
        <f t="shared" si="4"/>
        <v/>
      </c>
      <c r="K324" s="3" t="str">
        <f t="shared" si="5"/>
        <v/>
      </c>
      <c r="L324" s="3" t="str">
        <f t="shared" si="6"/>
        <v/>
      </c>
      <c r="M324" s="3" t="str">
        <f t="shared" si="7"/>
        <v/>
      </c>
    </row>
    <row r="325" ht="15.0" customHeight="1">
      <c r="A325" s="3" t="str">
        <f>IF(Equips_usuari!A325="","",Equips_usuari!A325)</f>
        <v/>
      </c>
      <c r="B325" s="3" t="str">
        <f>IF(Equips_usuari!B325="","",Equips_usuari!B325)</f>
        <v/>
      </c>
      <c r="C325" s="3" t="str">
        <f>IF(Equips_usuari!C325="","",Equips_usuari!C325)</f>
        <v/>
      </c>
      <c r="D325" s="3" t="str">
        <f>IF(Equips_usuari!D325="","",Equips_usuari!D325)</f>
        <v/>
      </c>
      <c r="E325" s="3" t="str">
        <f>IF(Equips_usuari!F325="","",Equips_usuari!F325)</f>
        <v/>
      </c>
      <c r="F325" s="3" t="str">
        <f>IF($C325="","",SUMIFS(Resultats_jugadores!$C:$C,Resultats_jugadores!$A:$A,$A325,Resultats_jugadores!$B:$B,$C325))</f>
        <v/>
      </c>
      <c r="G325" s="3" t="str">
        <f>IF($C325="","",SUMIFS(Resultats_jugadores!$D:$D,Resultats_jugadores!$A:$A,$A325,Resultats_jugadores!$B:$B,$C325))</f>
        <v/>
      </c>
      <c r="H325" s="3" t="str">
        <f t="shared" si="3"/>
        <v/>
      </c>
      <c r="I325" s="3" t="str">
        <f t="array" ref="I325">IF($C325="","",IFERROR(INDEX(Partits!$C:$C,MATCH($A325&amp;"_"&amp;$D325,Partits!$D:$D,0)),""))</f>
        <v/>
      </c>
      <c r="J325" s="3" t="str">
        <f t="shared" si="4"/>
        <v/>
      </c>
      <c r="K325" s="3" t="str">
        <f t="shared" si="5"/>
        <v/>
      </c>
      <c r="L325" s="3" t="str">
        <f t="shared" si="6"/>
        <v/>
      </c>
      <c r="M325" s="3" t="str">
        <f t="shared" si="7"/>
        <v/>
      </c>
    </row>
    <row r="326" ht="15.0" customHeight="1">
      <c r="A326" s="3" t="str">
        <f>IF(Equips_usuari!A326="","",Equips_usuari!A326)</f>
        <v/>
      </c>
      <c r="B326" s="3" t="str">
        <f>IF(Equips_usuari!B326="","",Equips_usuari!B326)</f>
        <v/>
      </c>
      <c r="C326" s="3" t="str">
        <f>IF(Equips_usuari!C326="","",Equips_usuari!C326)</f>
        <v/>
      </c>
      <c r="D326" s="3" t="str">
        <f>IF(Equips_usuari!D326="","",Equips_usuari!D326)</f>
        <v/>
      </c>
      <c r="E326" s="3" t="str">
        <f>IF(Equips_usuari!F326="","",Equips_usuari!F326)</f>
        <v/>
      </c>
      <c r="F326" s="3" t="str">
        <f>IF($C326="","",SUMIFS(Resultats_jugadores!$C:$C,Resultats_jugadores!$A:$A,$A326,Resultats_jugadores!$B:$B,$C326))</f>
        <v/>
      </c>
      <c r="G326" s="3" t="str">
        <f>IF($C326="","",SUMIFS(Resultats_jugadores!$D:$D,Resultats_jugadores!$A:$A,$A326,Resultats_jugadores!$B:$B,$C326))</f>
        <v/>
      </c>
      <c r="H326" s="3" t="str">
        <f t="shared" si="3"/>
        <v/>
      </c>
      <c r="I326" s="3" t="str">
        <f t="array" ref="I326">IF($C326="","",IFERROR(INDEX(Partits!$C:$C,MATCH($A326&amp;"_"&amp;$D326,Partits!$D:$D,0)),""))</f>
        <v/>
      </c>
      <c r="J326" s="3" t="str">
        <f t="shared" si="4"/>
        <v/>
      </c>
      <c r="K326" s="3" t="str">
        <f t="shared" si="5"/>
        <v/>
      </c>
      <c r="L326" s="3" t="str">
        <f t="shared" si="6"/>
        <v/>
      </c>
      <c r="M326" s="3" t="str">
        <f t="shared" si="7"/>
        <v/>
      </c>
    </row>
    <row r="327" ht="15.0" customHeight="1">
      <c r="A327" s="3" t="str">
        <f>IF(Equips_usuari!A327="","",Equips_usuari!A327)</f>
        <v/>
      </c>
      <c r="B327" s="3" t="str">
        <f>IF(Equips_usuari!B327="","",Equips_usuari!B327)</f>
        <v/>
      </c>
      <c r="C327" s="3" t="str">
        <f>IF(Equips_usuari!C327="","",Equips_usuari!C327)</f>
        <v/>
      </c>
      <c r="D327" s="3" t="str">
        <f>IF(Equips_usuari!D327="","",Equips_usuari!D327)</f>
        <v/>
      </c>
      <c r="E327" s="3" t="str">
        <f>IF(Equips_usuari!F327="","",Equips_usuari!F327)</f>
        <v/>
      </c>
      <c r="F327" s="3" t="str">
        <f>IF($C327="","",SUMIFS(Resultats_jugadores!$C:$C,Resultats_jugadores!$A:$A,$A327,Resultats_jugadores!$B:$B,$C327))</f>
        <v/>
      </c>
      <c r="G327" s="3" t="str">
        <f>IF($C327="","",SUMIFS(Resultats_jugadores!$D:$D,Resultats_jugadores!$A:$A,$A327,Resultats_jugadores!$B:$B,$C327))</f>
        <v/>
      </c>
      <c r="H327" s="3" t="str">
        <f t="shared" si="3"/>
        <v/>
      </c>
      <c r="I327" s="3" t="str">
        <f t="array" ref="I327">IF($C327="","",IFERROR(INDEX(Partits!$C:$C,MATCH($A327&amp;"_"&amp;$D327,Partits!$D:$D,0)),""))</f>
        <v/>
      </c>
      <c r="J327" s="3" t="str">
        <f t="shared" si="4"/>
        <v/>
      </c>
      <c r="K327" s="3" t="str">
        <f t="shared" si="5"/>
        <v/>
      </c>
      <c r="L327" s="3" t="str">
        <f t="shared" si="6"/>
        <v/>
      </c>
      <c r="M327" s="3" t="str">
        <f t="shared" si="7"/>
        <v/>
      </c>
    </row>
    <row r="328" ht="15.0" customHeight="1">
      <c r="A328" s="3" t="str">
        <f>IF(Equips_usuari!A328="","",Equips_usuari!A328)</f>
        <v/>
      </c>
      <c r="B328" s="3" t="str">
        <f>IF(Equips_usuari!B328="","",Equips_usuari!B328)</f>
        <v/>
      </c>
      <c r="C328" s="3" t="str">
        <f>IF(Equips_usuari!C328="","",Equips_usuari!C328)</f>
        <v/>
      </c>
      <c r="D328" s="3" t="str">
        <f>IF(Equips_usuari!D328="","",Equips_usuari!D328)</f>
        <v/>
      </c>
      <c r="E328" s="3" t="str">
        <f>IF(Equips_usuari!F328="","",Equips_usuari!F328)</f>
        <v/>
      </c>
      <c r="F328" s="3" t="str">
        <f>IF($C328="","",SUMIFS(Resultats_jugadores!$C:$C,Resultats_jugadores!$A:$A,$A328,Resultats_jugadores!$B:$B,$C328))</f>
        <v/>
      </c>
      <c r="G328" s="3" t="str">
        <f>IF($C328="","",SUMIFS(Resultats_jugadores!$D:$D,Resultats_jugadores!$A:$A,$A328,Resultats_jugadores!$B:$B,$C328))</f>
        <v/>
      </c>
      <c r="H328" s="3" t="str">
        <f t="shared" si="3"/>
        <v/>
      </c>
      <c r="I328" s="3" t="str">
        <f t="array" ref="I328">IF($C328="","",IFERROR(INDEX(Partits!$C:$C,MATCH($A328&amp;"_"&amp;$D328,Partits!$D:$D,0)),""))</f>
        <v/>
      </c>
      <c r="J328" s="3" t="str">
        <f t="shared" si="4"/>
        <v/>
      </c>
      <c r="K328" s="3" t="str">
        <f t="shared" si="5"/>
        <v/>
      </c>
      <c r="L328" s="3" t="str">
        <f t="shared" si="6"/>
        <v/>
      </c>
      <c r="M328" s="3" t="str">
        <f t="shared" si="7"/>
        <v/>
      </c>
    </row>
    <row r="329" ht="15.0" customHeight="1">
      <c r="A329" s="3" t="str">
        <f>IF(Equips_usuari!A329="","",Equips_usuari!A329)</f>
        <v/>
      </c>
      <c r="B329" s="3" t="str">
        <f>IF(Equips_usuari!B329="","",Equips_usuari!B329)</f>
        <v/>
      </c>
      <c r="C329" s="3" t="str">
        <f>IF(Equips_usuari!C329="","",Equips_usuari!C329)</f>
        <v/>
      </c>
      <c r="D329" s="3" t="str">
        <f>IF(Equips_usuari!D329="","",Equips_usuari!D329)</f>
        <v/>
      </c>
      <c r="E329" s="3" t="str">
        <f>IF(Equips_usuari!F329="","",Equips_usuari!F329)</f>
        <v/>
      </c>
      <c r="F329" s="3" t="str">
        <f>IF($C329="","",SUMIFS(Resultats_jugadores!$C:$C,Resultats_jugadores!$A:$A,$A329,Resultats_jugadores!$B:$B,$C329))</f>
        <v/>
      </c>
      <c r="G329" s="3" t="str">
        <f>IF($C329="","",SUMIFS(Resultats_jugadores!$D:$D,Resultats_jugadores!$A:$A,$A329,Resultats_jugadores!$B:$B,$C329))</f>
        <v/>
      </c>
      <c r="H329" s="3" t="str">
        <f t="shared" si="3"/>
        <v/>
      </c>
      <c r="I329" s="3" t="str">
        <f t="array" ref="I329">IF($C329="","",IFERROR(INDEX(Partits!$C:$C,MATCH($A329&amp;"_"&amp;$D329,Partits!$D:$D,0)),""))</f>
        <v/>
      </c>
      <c r="J329" s="3" t="str">
        <f t="shared" si="4"/>
        <v/>
      </c>
      <c r="K329" s="3" t="str">
        <f t="shared" si="5"/>
        <v/>
      </c>
      <c r="L329" s="3" t="str">
        <f t="shared" si="6"/>
        <v/>
      </c>
      <c r="M329" s="3" t="str">
        <f t="shared" si="7"/>
        <v/>
      </c>
    </row>
    <row r="330" ht="15.0" customHeight="1">
      <c r="A330" s="3" t="str">
        <f>IF(Equips_usuari!A330="","",Equips_usuari!A330)</f>
        <v/>
      </c>
      <c r="B330" s="3" t="str">
        <f>IF(Equips_usuari!B330="","",Equips_usuari!B330)</f>
        <v/>
      </c>
      <c r="C330" s="3" t="str">
        <f>IF(Equips_usuari!C330="","",Equips_usuari!C330)</f>
        <v/>
      </c>
      <c r="D330" s="3" t="str">
        <f>IF(Equips_usuari!D330="","",Equips_usuari!D330)</f>
        <v/>
      </c>
      <c r="E330" s="3" t="str">
        <f>IF(Equips_usuari!F330="","",Equips_usuari!F330)</f>
        <v/>
      </c>
      <c r="F330" s="3" t="str">
        <f>IF($C330="","",SUMIFS(Resultats_jugadores!$C:$C,Resultats_jugadores!$A:$A,$A330,Resultats_jugadores!$B:$B,$C330))</f>
        <v/>
      </c>
      <c r="G330" s="3" t="str">
        <f>IF($C330="","",SUMIFS(Resultats_jugadores!$D:$D,Resultats_jugadores!$A:$A,$A330,Resultats_jugadores!$B:$B,$C330))</f>
        <v/>
      </c>
      <c r="H330" s="3" t="str">
        <f t="shared" si="3"/>
        <v/>
      </c>
      <c r="I330" s="3" t="str">
        <f t="array" ref="I330">IF($C330="","",IFERROR(INDEX(Partits!$C:$C,MATCH($A330&amp;"_"&amp;$D330,Partits!$D:$D,0)),""))</f>
        <v/>
      </c>
      <c r="J330" s="3" t="str">
        <f t="shared" si="4"/>
        <v/>
      </c>
      <c r="K330" s="3" t="str">
        <f t="shared" si="5"/>
        <v/>
      </c>
      <c r="L330" s="3" t="str">
        <f t="shared" si="6"/>
        <v/>
      </c>
      <c r="M330" s="3" t="str">
        <f t="shared" si="7"/>
        <v/>
      </c>
    </row>
    <row r="331" ht="15.0" customHeight="1">
      <c r="A331" s="3" t="str">
        <f>IF(Equips_usuari!A331="","",Equips_usuari!A331)</f>
        <v/>
      </c>
      <c r="B331" s="3" t="str">
        <f>IF(Equips_usuari!B331="","",Equips_usuari!B331)</f>
        <v/>
      </c>
      <c r="C331" s="3" t="str">
        <f>IF(Equips_usuari!C331="","",Equips_usuari!C331)</f>
        <v/>
      </c>
      <c r="D331" s="3" t="str">
        <f>IF(Equips_usuari!D331="","",Equips_usuari!D331)</f>
        <v/>
      </c>
      <c r="E331" s="3" t="str">
        <f>IF(Equips_usuari!F331="","",Equips_usuari!F331)</f>
        <v/>
      </c>
      <c r="F331" s="3" t="str">
        <f>IF($C331="","",SUMIFS(Resultats_jugadores!$C:$C,Resultats_jugadores!$A:$A,$A331,Resultats_jugadores!$B:$B,$C331))</f>
        <v/>
      </c>
      <c r="G331" s="3" t="str">
        <f>IF($C331="","",SUMIFS(Resultats_jugadores!$D:$D,Resultats_jugadores!$A:$A,$A331,Resultats_jugadores!$B:$B,$C331))</f>
        <v/>
      </c>
      <c r="H331" s="3" t="str">
        <f t="shared" si="3"/>
        <v/>
      </c>
      <c r="I331" s="3" t="str">
        <f t="array" ref="I331">IF($C331="","",IFERROR(INDEX(Partits!$C:$C,MATCH($A331&amp;"_"&amp;$D331,Partits!$D:$D,0)),""))</f>
        <v/>
      </c>
      <c r="J331" s="3" t="str">
        <f t="shared" si="4"/>
        <v/>
      </c>
      <c r="K331" s="3" t="str">
        <f t="shared" si="5"/>
        <v/>
      </c>
      <c r="L331" s="3" t="str">
        <f t="shared" si="6"/>
        <v/>
      </c>
      <c r="M331" s="3" t="str">
        <f t="shared" si="7"/>
        <v/>
      </c>
    </row>
    <row r="332" ht="15.0" customHeight="1">
      <c r="A332" s="3" t="str">
        <f>IF(Equips_usuari!A332="","",Equips_usuari!A332)</f>
        <v/>
      </c>
      <c r="B332" s="3" t="str">
        <f>IF(Equips_usuari!B332="","",Equips_usuari!B332)</f>
        <v/>
      </c>
      <c r="C332" s="3" t="str">
        <f>IF(Equips_usuari!C332="","",Equips_usuari!C332)</f>
        <v/>
      </c>
      <c r="D332" s="3" t="str">
        <f>IF(Equips_usuari!D332="","",Equips_usuari!D332)</f>
        <v/>
      </c>
      <c r="E332" s="3" t="str">
        <f>IF(Equips_usuari!F332="","",Equips_usuari!F332)</f>
        <v/>
      </c>
      <c r="F332" s="3" t="str">
        <f>IF($C332="","",SUMIFS(Resultats_jugadores!$C:$C,Resultats_jugadores!$A:$A,$A332,Resultats_jugadores!$B:$B,$C332))</f>
        <v/>
      </c>
      <c r="G332" s="3" t="str">
        <f>IF($C332="","",SUMIFS(Resultats_jugadores!$D:$D,Resultats_jugadores!$A:$A,$A332,Resultats_jugadores!$B:$B,$C332))</f>
        <v/>
      </c>
      <c r="H332" s="3" t="str">
        <f t="shared" si="3"/>
        <v/>
      </c>
      <c r="I332" s="3" t="str">
        <f t="array" ref="I332">IF($C332="","",IFERROR(INDEX(Partits!$C:$C,MATCH($A332&amp;"_"&amp;$D332,Partits!$D:$D,0)),""))</f>
        <v/>
      </c>
      <c r="J332" s="3" t="str">
        <f t="shared" si="4"/>
        <v/>
      </c>
      <c r="K332" s="3" t="str">
        <f t="shared" si="5"/>
        <v/>
      </c>
      <c r="L332" s="3" t="str">
        <f t="shared" si="6"/>
        <v/>
      </c>
      <c r="M332" s="3" t="str">
        <f t="shared" si="7"/>
        <v/>
      </c>
    </row>
    <row r="333" ht="15.0" customHeight="1">
      <c r="A333" s="3" t="str">
        <f>IF(Equips_usuari!A333="","",Equips_usuari!A333)</f>
        <v/>
      </c>
      <c r="B333" s="3" t="str">
        <f>IF(Equips_usuari!B333="","",Equips_usuari!B333)</f>
        <v/>
      </c>
      <c r="C333" s="3" t="str">
        <f>IF(Equips_usuari!C333="","",Equips_usuari!C333)</f>
        <v/>
      </c>
      <c r="D333" s="3" t="str">
        <f>IF(Equips_usuari!D333="","",Equips_usuari!D333)</f>
        <v/>
      </c>
      <c r="E333" s="3" t="str">
        <f>IF(Equips_usuari!F333="","",Equips_usuari!F333)</f>
        <v/>
      </c>
      <c r="F333" s="3" t="str">
        <f>IF($C333="","",SUMIFS(Resultats_jugadores!$C:$C,Resultats_jugadores!$A:$A,$A333,Resultats_jugadores!$B:$B,$C333))</f>
        <v/>
      </c>
      <c r="G333" s="3" t="str">
        <f>IF($C333="","",SUMIFS(Resultats_jugadores!$D:$D,Resultats_jugadores!$A:$A,$A333,Resultats_jugadores!$B:$B,$C333))</f>
        <v/>
      </c>
      <c r="H333" s="3" t="str">
        <f t="shared" si="3"/>
        <v/>
      </c>
      <c r="I333" s="3" t="str">
        <f t="array" ref="I333">IF($C333="","",IFERROR(INDEX(Partits!$C:$C,MATCH($A333&amp;"_"&amp;$D333,Partits!$D:$D,0)),""))</f>
        <v/>
      </c>
      <c r="J333" s="3" t="str">
        <f t="shared" si="4"/>
        <v/>
      </c>
      <c r="K333" s="3" t="str">
        <f t="shared" si="5"/>
        <v/>
      </c>
      <c r="L333" s="3" t="str">
        <f t="shared" si="6"/>
        <v/>
      </c>
      <c r="M333" s="3" t="str">
        <f t="shared" si="7"/>
        <v/>
      </c>
    </row>
    <row r="334" ht="15.0" customHeight="1">
      <c r="A334" s="3" t="str">
        <f>IF(Equips_usuari!A334="","",Equips_usuari!A334)</f>
        <v/>
      </c>
      <c r="B334" s="3" t="str">
        <f>IF(Equips_usuari!B334="","",Equips_usuari!B334)</f>
        <v/>
      </c>
      <c r="C334" s="3" t="str">
        <f>IF(Equips_usuari!C334="","",Equips_usuari!C334)</f>
        <v/>
      </c>
      <c r="D334" s="3" t="str">
        <f>IF(Equips_usuari!D334="","",Equips_usuari!D334)</f>
        <v/>
      </c>
      <c r="E334" s="3" t="str">
        <f>IF(Equips_usuari!F334="","",Equips_usuari!F334)</f>
        <v/>
      </c>
      <c r="F334" s="3" t="str">
        <f>IF($C334="","",SUMIFS(Resultats_jugadores!$C:$C,Resultats_jugadores!$A:$A,$A334,Resultats_jugadores!$B:$B,$C334))</f>
        <v/>
      </c>
      <c r="G334" s="3" t="str">
        <f>IF($C334="","",SUMIFS(Resultats_jugadores!$D:$D,Resultats_jugadores!$A:$A,$A334,Resultats_jugadores!$B:$B,$C334))</f>
        <v/>
      </c>
      <c r="H334" s="3" t="str">
        <f t="shared" si="3"/>
        <v/>
      </c>
      <c r="I334" s="3" t="str">
        <f t="array" ref="I334">IF($C334="","",IFERROR(INDEX(Partits!$C:$C,MATCH($A334&amp;"_"&amp;$D334,Partits!$D:$D,0)),""))</f>
        <v/>
      </c>
      <c r="J334" s="3" t="str">
        <f t="shared" si="4"/>
        <v/>
      </c>
      <c r="K334" s="3" t="str">
        <f t="shared" si="5"/>
        <v/>
      </c>
      <c r="L334" s="3" t="str">
        <f t="shared" si="6"/>
        <v/>
      </c>
      <c r="M334" s="3" t="str">
        <f t="shared" si="7"/>
        <v/>
      </c>
    </row>
    <row r="335" ht="15.0" customHeight="1">
      <c r="A335" s="3" t="str">
        <f>IF(Equips_usuari!A335="","",Equips_usuari!A335)</f>
        <v/>
      </c>
      <c r="B335" s="3" t="str">
        <f>IF(Equips_usuari!B335="","",Equips_usuari!B335)</f>
        <v/>
      </c>
      <c r="C335" s="3" t="str">
        <f>IF(Equips_usuari!C335="","",Equips_usuari!C335)</f>
        <v/>
      </c>
      <c r="D335" s="3" t="str">
        <f>IF(Equips_usuari!D335="","",Equips_usuari!D335)</f>
        <v/>
      </c>
      <c r="E335" s="3" t="str">
        <f>IF(Equips_usuari!F335="","",Equips_usuari!F335)</f>
        <v/>
      </c>
      <c r="F335" s="3" t="str">
        <f>IF($C335="","",SUMIFS(Resultats_jugadores!$C:$C,Resultats_jugadores!$A:$A,$A335,Resultats_jugadores!$B:$B,$C335))</f>
        <v/>
      </c>
      <c r="G335" s="3" t="str">
        <f>IF($C335="","",SUMIFS(Resultats_jugadores!$D:$D,Resultats_jugadores!$A:$A,$A335,Resultats_jugadores!$B:$B,$C335))</f>
        <v/>
      </c>
      <c r="H335" s="3" t="str">
        <f t="shared" si="3"/>
        <v/>
      </c>
      <c r="I335" s="3" t="str">
        <f t="array" ref="I335">IF($C335="","",IFERROR(INDEX(Partits!$C:$C,MATCH($A335&amp;"_"&amp;$D335,Partits!$D:$D,0)),""))</f>
        <v/>
      </c>
      <c r="J335" s="3" t="str">
        <f t="shared" si="4"/>
        <v/>
      </c>
      <c r="K335" s="3" t="str">
        <f t="shared" si="5"/>
        <v/>
      </c>
      <c r="L335" s="3" t="str">
        <f t="shared" si="6"/>
        <v/>
      </c>
      <c r="M335" s="3" t="str">
        <f t="shared" si="7"/>
        <v/>
      </c>
    </row>
    <row r="336" ht="15.0" customHeight="1">
      <c r="A336" s="3" t="str">
        <f>IF(Equips_usuari!A336="","",Equips_usuari!A336)</f>
        <v/>
      </c>
      <c r="B336" s="3" t="str">
        <f>IF(Equips_usuari!B336="","",Equips_usuari!B336)</f>
        <v/>
      </c>
      <c r="C336" s="3" t="str">
        <f>IF(Equips_usuari!C336="","",Equips_usuari!C336)</f>
        <v/>
      </c>
      <c r="D336" s="3" t="str">
        <f>IF(Equips_usuari!D336="","",Equips_usuari!D336)</f>
        <v/>
      </c>
      <c r="E336" s="3" t="str">
        <f>IF(Equips_usuari!F336="","",Equips_usuari!F336)</f>
        <v/>
      </c>
      <c r="F336" s="3" t="str">
        <f>IF($C336="","",SUMIFS(Resultats_jugadores!$C:$C,Resultats_jugadores!$A:$A,$A336,Resultats_jugadores!$B:$B,$C336))</f>
        <v/>
      </c>
      <c r="G336" s="3" t="str">
        <f>IF($C336="","",SUMIFS(Resultats_jugadores!$D:$D,Resultats_jugadores!$A:$A,$A336,Resultats_jugadores!$B:$B,$C336))</f>
        <v/>
      </c>
      <c r="H336" s="3" t="str">
        <f t="shared" si="3"/>
        <v/>
      </c>
      <c r="I336" s="3" t="str">
        <f t="array" ref="I336">IF($C336="","",IFERROR(INDEX(Partits!$C:$C,MATCH($A336&amp;"_"&amp;$D336,Partits!$D:$D,0)),""))</f>
        <v/>
      </c>
      <c r="J336" s="3" t="str">
        <f t="shared" si="4"/>
        <v/>
      </c>
      <c r="K336" s="3" t="str">
        <f t="shared" si="5"/>
        <v/>
      </c>
      <c r="L336" s="3" t="str">
        <f t="shared" si="6"/>
        <v/>
      </c>
      <c r="M336" s="3" t="str">
        <f t="shared" si="7"/>
        <v/>
      </c>
    </row>
    <row r="337" ht="15.0" customHeight="1">
      <c r="A337" s="3" t="str">
        <f>IF(Equips_usuari!A337="","",Equips_usuari!A337)</f>
        <v/>
      </c>
      <c r="B337" s="3" t="str">
        <f>IF(Equips_usuari!B337="","",Equips_usuari!B337)</f>
        <v/>
      </c>
      <c r="C337" s="3" t="str">
        <f>IF(Equips_usuari!C337="","",Equips_usuari!C337)</f>
        <v/>
      </c>
      <c r="D337" s="3" t="str">
        <f>IF(Equips_usuari!D337="","",Equips_usuari!D337)</f>
        <v/>
      </c>
      <c r="E337" s="3" t="str">
        <f>IF(Equips_usuari!F337="","",Equips_usuari!F337)</f>
        <v/>
      </c>
      <c r="F337" s="3" t="str">
        <f>IF($C337="","",SUMIFS(Resultats_jugadores!$C:$C,Resultats_jugadores!$A:$A,$A337,Resultats_jugadores!$B:$B,$C337))</f>
        <v/>
      </c>
      <c r="G337" s="3" t="str">
        <f>IF($C337="","",SUMIFS(Resultats_jugadores!$D:$D,Resultats_jugadores!$A:$A,$A337,Resultats_jugadores!$B:$B,$C337))</f>
        <v/>
      </c>
      <c r="H337" s="3" t="str">
        <f t="shared" si="3"/>
        <v/>
      </c>
      <c r="I337" s="3" t="str">
        <f t="array" ref="I337">IF($C337="","",IFERROR(INDEX(Partits!$C:$C,MATCH($A337&amp;"_"&amp;$D337,Partits!$D:$D,0)),""))</f>
        <v/>
      </c>
      <c r="J337" s="3" t="str">
        <f t="shared" si="4"/>
        <v/>
      </c>
      <c r="K337" s="3" t="str">
        <f t="shared" si="5"/>
        <v/>
      </c>
      <c r="L337" s="3" t="str">
        <f t="shared" si="6"/>
        <v/>
      </c>
      <c r="M337" s="3" t="str">
        <f t="shared" si="7"/>
        <v/>
      </c>
    </row>
    <row r="338" ht="15.0" customHeight="1">
      <c r="A338" s="3" t="str">
        <f>IF(Equips_usuari!A338="","",Equips_usuari!A338)</f>
        <v/>
      </c>
      <c r="B338" s="3" t="str">
        <f>IF(Equips_usuari!B338="","",Equips_usuari!B338)</f>
        <v/>
      </c>
      <c r="C338" s="3" t="str">
        <f>IF(Equips_usuari!C338="","",Equips_usuari!C338)</f>
        <v/>
      </c>
      <c r="D338" s="3" t="str">
        <f>IF(Equips_usuari!D338="","",Equips_usuari!D338)</f>
        <v/>
      </c>
      <c r="E338" s="3" t="str">
        <f>IF(Equips_usuari!F338="","",Equips_usuari!F338)</f>
        <v/>
      </c>
      <c r="F338" s="3" t="str">
        <f>IF($C338="","",SUMIFS(Resultats_jugadores!$C:$C,Resultats_jugadores!$A:$A,$A338,Resultats_jugadores!$B:$B,$C338))</f>
        <v/>
      </c>
      <c r="G338" s="3" t="str">
        <f>IF($C338="","",SUMIFS(Resultats_jugadores!$D:$D,Resultats_jugadores!$A:$A,$A338,Resultats_jugadores!$B:$B,$C338))</f>
        <v/>
      </c>
      <c r="H338" s="3" t="str">
        <f t="shared" si="3"/>
        <v/>
      </c>
      <c r="I338" s="3" t="str">
        <f t="array" ref="I338">IF($C338="","",IFERROR(INDEX(Partits!$C:$C,MATCH($A338&amp;"_"&amp;$D338,Partits!$D:$D,0)),""))</f>
        <v/>
      </c>
      <c r="J338" s="3" t="str">
        <f t="shared" si="4"/>
        <v/>
      </c>
      <c r="K338" s="3" t="str">
        <f t="shared" si="5"/>
        <v/>
      </c>
      <c r="L338" s="3" t="str">
        <f t="shared" si="6"/>
        <v/>
      </c>
      <c r="M338" s="3" t="str">
        <f t="shared" si="7"/>
        <v/>
      </c>
    </row>
    <row r="339" ht="15.0" customHeight="1">
      <c r="A339" s="3" t="str">
        <f>IF(Equips_usuari!A339="","",Equips_usuari!A339)</f>
        <v/>
      </c>
      <c r="B339" s="3" t="str">
        <f>IF(Equips_usuari!B339="","",Equips_usuari!B339)</f>
        <v/>
      </c>
      <c r="C339" s="3" t="str">
        <f>IF(Equips_usuari!C339="","",Equips_usuari!C339)</f>
        <v/>
      </c>
      <c r="D339" s="3" t="str">
        <f>IF(Equips_usuari!D339="","",Equips_usuari!D339)</f>
        <v/>
      </c>
      <c r="E339" s="3" t="str">
        <f>IF(Equips_usuari!F339="","",Equips_usuari!F339)</f>
        <v/>
      </c>
      <c r="F339" s="3" t="str">
        <f>IF($C339="","",SUMIFS(Resultats_jugadores!$C:$C,Resultats_jugadores!$A:$A,$A339,Resultats_jugadores!$B:$B,$C339))</f>
        <v/>
      </c>
      <c r="G339" s="3" t="str">
        <f>IF($C339="","",SUMIFS(Resultats_jugadores!$D:$D,Resultats_jugadores!$A:$A,$A339,Resultats_jugadores!$B:$B,$C339))</f>
        <v/>
      </c>
      <c r="H339" s="3" t="str">
        <f t="shared" si="3"/>
        <v/>
      </c>
      <c r="I339" s="3" t="str">
        <f t="array" ref="I339">IF($C339="","",IFERROR(INDEX(Partits!$C:$C,MATCH($A339&amp;"_"&amp;$D339,Partits!$D:$D,0)),""))</f>
        <v/>
      </c>
      <c r="J339" s="3" t="str">
        <f t="shared" si="4"/>
        <v/>
      </c>
      <c r="K339" s="3" t="str">
        <f t="shared" si="5"/>
        <v/>
      </c>
      <c r="L339" s="3" t="str">
        <f t="shared" si="6"/>
        <v/>
      </c>
      <c r="M339" s="3" t="str">
        <f t="shared" si="7"/>
        <v/>
      </c>
    </row>
    <row r="340" ht="15.0" customHeight="1">
      <c r="A340" s="3" t="str">
        <f>IF(Equips_usuari!A340="","",Equips_usuari!A340)</f>
        <v/>
      </c>
      <c r="B340" s="3" t="str">
        <f>IF(Equips_usuari!B340="","",Equips_usuari!B340)</f>
        <v/>
      </c>
      <c r="C340" s="3" t="str">
        <f>IF(Equips_usuari!C340="","",Equips_usuari!C340)</f>
        <v/>
      </c>
      <c r="D340" s="3" t="str">
        <f>IF(Equips_usuari!D340="","",Equips_usuari!D340)</f>
        <v/>
      </c>
      <c r="E340" s="3" t="str">
        <f>IF(Equips_usuari!F340="","",Equips_usuari!F340)</f>
        <v/>
      </c>
      <c r="F340" s="3" t="str">
        <f>IF($C340="","",SUMIFS(Resultats_jugadores!$C:$C,Resultats_jugadores!$A:$A,$A340,Resultats_jugadores!$B:$B,$C340))</f>
        <v/>
      </c>
      <c r="G340" s="3" t="str">
        <f>IF($C340="","",SUMIFS(Resultats_jugadores!$D:$D,Resultats_jugadores!$A:$A,$A340,Resultats_jugadores!$B:$B,$C340))</f>
        <v/>
      </c>
      <c r="H340" s="3" t="str">
        <f t="shared" si="3"/>
        <v/>
      </c>
      <c r="I340" s="3" t="str">
        <f t="array" ref="I340">IF($C340="","",IFERROR(INDEX(Partits!$C:$C,MATCH($A340&amp;"_"&amp;$D340,Partits!$D:$D,0)),""))</f>
        <v/>
      </c>
      <c r="J340" s="3" t="str">
        <f t="shared" si="4"/>
        <v/>
      </c>
      <c r="K340" s="3" t="str">
        <f t="shared" si="5"/>
        <v/>
      </c>
      <c r="L340" s="3" t="str">
        <f t="shared" si="6"/>
        <v/>
      </c>
      <c r="M340" s="3" t="str">
        <f t="shared" si="7"/>
        <v/>
      </c>
    </row>
    <row r="341" ht="15.0" customHeight="1">
      <c r="A341" s="3" t="str">
        <f>IF(Equips_usuari!A341="","",Equips_usuari!A341)</f>
        <v/>
      </c>
      <c r="B341" s="3" t="str">
        <f>IF(Equips_usuari!B341="","",Equips_usuari!B341)</f>
        <v/>
      </c>
      <c r="C341" s="3" t="str">
        <f>IF(Equips_usuari!C341="","",Equips_usuari!C341)</f>
        <v/>
      </c>
      <c r="D341" s="3" t="str">
        <f>IF(Equips_usuari!D341="","",Equips_usuari!D341)</f>
        <v/>
      </c>
      <c r="E341" s="3" t="str">
        <f>IF(Equips_usuari!F341="","",Equips_usuari!F341)</f>
        <v/>
      </c>
      <c r="F341" s="3" t="str">
        <f>IF($C341="","",SUMIFS(Resultats_jugadores!$C:$C,Resultats_jugadores!$A:$A,$A341,Resultats_jugadores!$B:$B,$C341))</f>
        <v/>
      </c>
      <c r="G341" s="3" t="str">
        <f>IF($C341="","",SUMIFS(Resultats_jugadores!$D:$D,Resultats_jugadores!$A:$A,$A341,Resultats_jugadores!$B:$B,$C341))</f>
        <v/>
      </c>
      <c r="H341" s="3" t="str">
        <f t="shared" si="3"/>
        <v/>
      </c>
      <c r="I341" s="3" t="str">
        <f t="array" ref="I341">IF($C341="","",IFERROR(INDEX(Partits!$C:$C,MATCH($A341&amp;"_"&amp;$D341,Partits!$D:$D,0)),""))</f>
        <v/>
      </c>
      <c r="J341" s="3" t="str">
        <f t="shared" si="4"/>
        <v/>
      </c>
      <c r="K341" s="3" t="str">
        <f t="shared" si="5"/>
        <v/>
      </c>
      <c r="L341" s="3" t="str">
        <f t="shared" si="6"/>
        <v/>
      </c>
      <c r="M341" s="3" t="str">
        <f t="shared" si="7"/>
        <v/>
      </c>
    </row>
    <row r="342" ht="15.0" customHeight="1">
      <c r="A342" s="3" t="str">
        <f>IF(Equips_usuari!A342="","",Equips_usuari!A342)</f>
        <v/>
      </c>
      <c r="B342" s="3" t="str">
        <f>IF(Equips_usuari!B342="","",Equips_usuari!B342)</f>
        <v/>
      </c>
      <c r="C342" s="3" t="str">
        <f>IF(Equips_usuari!C342="","",Equips_usuari!C342)</f>
        <v/>
      </c>
      <c r="D342" s="3" t="str">
        <f>IF(Equips_usuari!D342="","",Equips_usuari!D342)</f>
        <v/>
      </c>
      <c r="E342" s="3" t="str">
        <f>IF(Equips_usuari!F342="","",Equips_usuari!F342)</f>
        <v/>
      </c>
      <c r="F342" s="3" t="str">
        <f>IF($C342="","",SUMIFS(Resultats_jugadores!$C:$C,Resultats_jugadores!$A:$A,$A342,Resultats_jugadores!$B:$B,$C342))</f>
        <v/>
      </c>
      <c r="G342" s="3" t="str">
        <f>IF($C342="","",SUMIFS(Resultats_jugadores!$D:$D,Resultats_jugadores!$A:$A,$A342,Resultats_jugadores!$B:$B,$C342))</f>
        <v/>
      </c>
      <c r="H342" s="3" t="str">
        <f t="shared" si="3"/>
        <v/>
      </c>
      <c r="I342" s="3" t="str">
        <f t="array" ref="I342">IF($C342="","",IFERROR(INDEX(Partits!$C:$C,MATCH($A342&amp;"_"&amp;$D342,Partits!$D:$D,0)),""))</f>
        <v/>
      </c>
      <c r="J342" s="3" t="str">
        <f t="shared" si="4"/>
        <v/>
      </c>
      <c r="K342" s="3" t="str">
        <f t="shared" si="5"/>
        <v/>
      </c>
      <c r="L342" s="3" t="str">
        <f t="shared" si="6"/>
        <v/>
      </c>
      <c r="M342" s="3" t="str">
        <f t="shared" si="7"/>
        <v/>
      </c>
    </row>
    <row r="343" ht="15.0" customHeight="1">
      <c r="A343" s="3" t="str">
        <f>IF(Equips_usuari!A343="","",Equips_usuari!A343)</f>
        <v/>
      </c>
      <c r="B343" s="3" t="str">
        <f>IF(Equips_usuari!B343="","",Equips_usuari!B343)</f>
        <v/>
      </c>
      <c r="C343" s="3" t="str">
        <f>IF(Equips_usuari!C343="","",Equips_usuari!C343)</f>
        <v/>
      </c>
      <c r="D343" s="3" t="str">
        <f>IF(Equips_usuari!D343="","",Equips_usuari!D343)</f>
        <v/>
      </c>
      <c r="E343" s="3" t="str">
        <f>IF(Equips_usuari!F343="","",Equips_usuari!F343)</f>
        <v/>
      </c>
      <c r="F343" s="3" t="str">
        <f>IF($C343="","",SUMIFS(Resultats_jugadores!$C:$C,Resultats_jugadores!$A:$A,$A343,Resultats_jugadores!$B:$B,$C343))</f>
        <v/>
      </c>
      <c r="G343" s="3" t="str">
        <f>IF($C343="","",SUMIFS(Resultats_jugadores!$D:$D,Resultats_jugadores!$A:$A,$A343,Resultats_jugadores!$B:$B,$C343))</f>
        <v/>
      </c>
      <c r="H343" s="3" t="str">
        <f t="shared" si="3"/>
        <v/>
      </c>
      <c r="I343" s="3" t="str">
        <f t="array" ref="I343">IF($C343="","",IFERROR(INDEX(Partits!$C:$C,MATCH($A343&amp;"_"&amp;$D343,Partits!$D:$D,0)),""))</f>
        <v/>
      </c>
      <c r="J343" s="3" t="str">
        <f t="shared" si="4"/>
        <v/>
      </c>
      <c r="K343" s="3" t="str">
        <f t="shared" si="5"/>
        <v/>
      </c>
      <c r="L343" s="3" t="str">
        <f t="shared" si="6"/>
        <v/>
      </c>
      <c r="M343" s="3" t="str">
        <f t="shared" si="7"/>
        <v/>
      </c>
    </row>
    <row r="344" ht="15.0" customHeight="1">
      <c r="A344" s="3" t="str">
        <f>IF(Equips_usuari!A344="","",Equips_usuari!A344)</f>
        <v/>
      </c>
      <c r="B344" s="3" t="str">
        <f>IF(Equips_usuari!B344="","",Equips_usuari!B344)</f>
        <v/>
      </c>
      <c r="C344" s="3" t="str">
        <f>IF(Equips_usuari!C344="","",Equips_usuari!C344)</f>
        <v/>
      </c>
      <c r="D344" s="3" t="str">
        <f>IF(Equips_usuari!D344="","",Equips_usuari!D344)</f>
        <v/>
      </c>
      <c r="E344" s="3" t="str">
        <f>IF(Equips_usuari!F344="","",Equips_usuari!F344)</f>
        <v/>
      </c>
      <c r="F344" s="3" t="str">
        <f>IF($C344="","",SUMIFS(Resultats_jugadores!$C:$C,Resultats_jugadores!$A:$A,$A344,Resultats_jugadores!$B:$B,$C344))</f>
        <v/>
      </c>
      <c r="G344" s="3" t="str">
        <f>IF($C344="","",SUMIFS(Resultats_jugadores!$D:$D,Resultats_jugadores!$A:$A,$A344,Resultats_jugadores!$B:$B,$C344))</f>
        <v/>
      </c>
      <c r="H344" s="3" t="str">
        <f t="shared" si="3"/>
        <v/>
      </c>
      <c r="I344" s="3" t="str">
        <f t="array" ref="I344">IF($C344="","",IFERROR(INDEX(Partits!$C:$C,MATCH($A344&amp;"_"&amp;$D344,Partits!$D:$D,0)),""))</f>
        <v/>
      </c>
      <c r="J344" s="3" t="str">
        <f t="shared" si="4"/>
        <v/>
      </c>
      <c r="K344" s="3" t="str">
        <f t="shared" si="5"/>
        <v/>
      </c>
      <c r="L344" s="3" t="str">
        <f t="shared" si="6"/>
        <v/>
      </c>
      <c r="M344" s="3" t="str">
        <f t="shared" si="7"/>
        <v/>
      </c>
    </row>
    <row r="345" ht="15.0" customHeight="1">
      <c r="A345" s="3" t="str">
        <f>IF(Equips_usuari!A345="","",Equips_usuari!A345)</f>
        <v/>
      </c>
      <c r="B345" s="3" t="str">
        <f>IF(Equips_usuari!B345="","",Equips_usuari!B345)</f>
        <v/>
      </c>
      <c r="C345" s="3" t="str">
        <f>IF(Equips_usuari!C345="","",Equips_usuari!C345)</f>
        <v/>
      </c>
      <c r="D345" s="3" t="str">
        <f>IF(Equips_usuari!D345="","",Equips_usuari!D345)</f>
        <v/>
      </c>
      <c r="E345" s="3" t="str">
        <f>IF(Equips_usuari!F345="","",Equips_usuari!F345)</f>
        <v/>
      </c>
      <c r="F345" s="3" t="str">
        <f>IF($C345="","",SUMIFS(Resultats_jugadores!$C:$C,Resultats_jugadores!$A:$A,$A345,Resultats_jugadores!$B:$B,$C345))</f>
        <v/>
      </c>
      <c r="G345" s="3" t="str">
        <f>IF($C345="","",SUMIFS(Resultats_jugadores!$D:$D,Resultats_jugadores!$A:$A,$A345,Resultats_jugadores!$B:$B,$C345))</f>
        <v/>
      </c>
      <c r="H345" s="3" t="str">
        <f t="shared" si="3"/>
        <v/>
      </c>
      <c r="I345" s="3" t="str">
        <f t="array" ref="I345">IF($C345="","",IFERROR(INDEX(Partits!$C:$C,MATCH($A345&amp;"_"&amp;$D345,Partits!$D:$D,0)),""))</f>
        <v/>
      </c>
      <c r="J345" s="3" t="str">
        <f t="shared" si="4"/>
        <v/>
      </c>
      <c r="K345" s="3" t="str">
        <f t="shared" si="5"/>
        <v/>
      </c>
      <c r="L345" s="3" t="str">
        <f t="shared" si="6"/>
        <v/>
      </c>
      <c r="M345" s="3" t="str">
        <f t="shared" si="7"/>
        <v/>
      </c>
    </row>
    <row r="346" ht="15.0" customHeight="1">
      <c r="A346" s="3" t="str">
        <f>IF(Equips_usuari!A346="","",Equips_usuari!A346)</f>
        <v/>
      </c>
      <c r="B346" s="3" t="str">
        <f>IF(Equips_usuari!B346="","",Equips_usuari!B346)</f>
        <v/>
      </c>
      <c r="C346" s="3" t="str">
        <f>IF(Equips_usuari!C346="","",Equips_usuari!C346)</f>
        <v/>
      </c>
      <c r="D346" s="3" t="str">
        <f>IF(Equips_usuari!D346="","",Equips_usuari!D346)</f>
        <v/>
      </c>
      <c r="E346" s="3" t="str">
        <f>IF(Equips_usuari!F346="","",Equips_usuari!F346)</f>
        <v/>
      </c>
      <c r="F346" s="3" t="str">
        <f>IF($C346="","",SUMIFS(Resultats_jugadores!$C:$C,Resultats_jugadores!$A:$A,$A346,Resultats_jugadores!$B:$B,$C346))</f>
        <v/>
      </c>
      <c r="G346" s="3" t="str">
        <f>IF($C346="","",SUMIFS(Resultats_jugadores!$D:$D,Resultats_jugadores!$A:$A,$A346,Resultats_jugadores!$B:$B,$C346))</f>
        <v/>
      </c>
      <c r="H346" s="3" t="str">
        <f t="shared" si="3"/>
        <v/>
      </c>
      <c r="I346" s="3" t="str">
        <f t="array" ref="I346">IF($C346="","",IFERROR(INDEX(Partits!$C:$C,MATCH($A346&amp;"_"&amp;$D346,Partits!$D:$D,0)),""))</f>
        <v/>
      </c>
      <c r="J346" s="3" t="str">
        <f t="shared" si="4"/>
        <v/>
      </c>
      <c r="K346" s="3" t="str">
        <f t="shared" si="5"/>
        <v/>
      </c>
      <c r="L346" s="3" t="str">
        <f t="shared" si="6"/>
        <v/>
      </c>
      <c r="M346" s="3" t="str">
        <f t="shared" si="7"/>
        <v/>
      </c>
    </row>
    <row r="347" ht="15.0" customHeight="1">
      <c r="A347" s="3" t="str">
        <f>IF(Equips_usuari!A347="","",Equips_usuari!A347)</f>
        <v/>
      </c>
      <c r="B347" s="3" t="str">
        <f>IF(Equips_usuari!B347="","",Equips_usuari!B347)</f>
        <v/>
      </c>
      <c r="C347" s="3" t="str">
        <f>IF(Equips_usuari!C347="","",Equips_usuari!C347)</f>
        <v/>
      </c>
      <c r="D347" s="3" t="str">
        <f>IF(Equips_usuari!D347="","",Equips_usuari!D347)</f>
        <v/>
      </c>
      <c r="E347" s="3" t="str">
        <f>IF(Equips_usuari!F347="","",Equips_usuari!F347)</f>
        <v/>
      </c>
      <c r="F347" s="3" t="str">
        <f>IF($C347="","",SUMIFS(Resultats_jugadores!$C:$C,Resultats_jugadores!$A:$A,$A347,Resultats_jugadores!$B:$B,$C347))</f>
        <v/>
      </c>
      <c r="G347" s="3" t="str">
        <f>IF($C347="","",SUMIFS(Resultats_jugadores!$D:$D,Resultats_jugadores!$A:$A,$A347,Resultats_jugadores!$B:$B,$C347))</f>
        <v/>
      </c>
      <c r="H347" s="3" t="str">
        <f t="shared" si="3"/>
        <v/>
      </c>
      <c r="I347" s="3" t="str">
        <f t="array" ref="I347">IF($C347="","",IFERROR(INDEX(Partits!$C:$C,MATCH($A347&amp;"_"&amp;$D347,Partits!$D:$D,0)),""))</f>
        <v/>
      </c>
      <c r="J347" s="3" t="str">
        <f t="shared" si="4"/>
        <v/>
      </c>
      <c r="K347" s="3" t="str">
        <f t="shared" si="5"/>
        <v/>
      </c>
      <c r="L347" s="3" t="str">
        <f t="shared" si="6"/>
        <v/>
      </c>
      <c r="M347" s="3" t="str">
        <f t="shared" si="7"/>
        <v/>
      </c>
    </row>
    <row r="348" ht="15.0" customHeight="1">
      <c r="A348" s="3" t="str">
        <f>IF(Equips_usuari!A348="","",Equips_usuari!A348)</f>
        <v/>
      </c>
      <c r="B348" s="3" t="str">
        <f>IF(Equips_usuari!B348="","",Equips_usuari!B348)</f>
        <v/>
      </c>
      <c r="C348" s="3" t="str">
        <f>IF(Equips_usuari!C348="","",Equips_usuari!C348)</f>
        <v/>
      </c>
      <c r="D348" s="3" t="str">
        <f>IF(Equips_usuari!D348="","",Equips_usuari!D348)</f>
        <v/>
      </c>
      <c r="E348" s="3" t="str">
        <f>IF(Equips_usuari!F348="","",Equips_usuari!F348)</f>
        <v/>
      </c>
      <c r="F348" s="3" t="str">
        <f>IF($C348="","",SUMIFS(Resultats_jugadores!$C:$C,Resultats_jugadores!$A:$A,$A348,Resultats_jugadores!$B:$B,$C348))</f>
        <v/>
      </c>
      <c r="G348" s="3" t="str">
        <f>IF($C348="","",SUMIFS(Resultats_jugadores!$D:$D,Resultats_jugadores!$A:$A,$A348,Resultats_jugadores!$B:$B,$C348))</f>
        <v/>
      </c>
      <c r="H348" s="3" t="str">
        <f t="shared" si="3"/>
        <v/>
      </c>
      <c r="I348" s="3" t="str">
        <f t="array" ref="I348">IF($C348="","",IFERROR(INDEX(Partits!$C:$C,MATCH($A348&amp;"_"&amp;$D348,Partits!$D:$D,0)),""))</f>
        <v/>
      </c>
      <c r="J348" s="3" t="str">
        <f t="shared" si="4"/>
        <v/>
      </c>
      <c r="K348" s="3" t="str">
        <f t="shared" si="5"/>
        <v/>
      </c>
      <c r="L348" s="3" t="str">
        <f t="shared" si="6"/>
        <v/>
      </c>
      <c r="M348" s="3" t="str">
        <f t="shared" si="7"/>
        <v/>
      </c>
    </row>
    <row r="349" ht="15.0" customHeight="1">
      <c r="A349" s="3" t="str">
        <f>IF(Equips_usuari!A349="","",Equips_usuari!A349)</f>
        <v/>
      </c>
      <c r="B349" s="3" t="str">
        <f>IF(Equips_usuari!B349="","",Equips_usuari!B349)</f>
        <v/>
      </c>
      <c r="C349" s="3" t="str">
        <f>IF(Equips_usuari!C349="","",Equips_usuari!C349)</f>
        <v/>
      </c>
      <c r="D349" s="3" t="str">
        <f>IF(Equips_usuari!D349="","",Equips_usuari!D349)</f>
        <v/>
      </c>
      <c r="E349" s="3" t="str">
        <f>IF(Equips_usuari!F349="","",Equips_usuari!F349)</f>
        <v/>
      </c>
      <c r="F349" s="3" t="str">
        <f>IF($C349="","",SUMIFS(Resultats_jugadores!$C:$C,Resultats_jugadores!$A:$A,$A349,Resultats_jugadores!$B:$B,$C349))</f>
        <v/>
      </c>
      <c r="G349" s="3" t="str">
        <f>IF($C349="","",SUMIFS(Resultats_jugadores!$D:$D,Resultats_jugadores!$A:$A,$A349,Resultats_jugadores!$B:$B,$C349))</f>
        <v/>
      </c>
      <c r="H349" s="3" t="str">
        <f t="shared" si="3"/>
        <v/>
      </c>
      <c r="I349" s="3" t="str">
        <f t="array" ref="I349">IF($C349="","",IFERROR(INDEX(Partits!$C:$C,MATCH($A349&amp;"_"&amp;$D349,Partits!$D:$D,0)),""))</f>
        <v/>
      </c>
      <c r="J349" s="3" t="str">
        <f t="shared" si="4"/>
        <v/>
      </c>
      <c r="K349" s="3" t="str">
        <f t="shared" si="5"/>
        <v/>
      </c>
      <c r="L349" s="3" t="str">
        <f t="shared" si="6"/>
        <v/>
      </c>
      <c r="M349" s="3" t="str">
        <f t="shared" si="7"/>
        <v/>
      </c>
    </row>
    <row r="350" ht="15.0" customHeight="1">
      <c r="A350" s="3" t="str">
        <f>IF(Equips_usuari!A350="","",Equips_usuari!A350)</f>
        <v/>
      </c>
      <c r="B350" s="3" t="str">
        <f>IF(Equips_usuari!B350="","",Equips_usuari!B350)</f>
        <v/>
      </c>
      <c r="C350" s="3" t="str">
        <f>IF(Equips_usuari!C350="","",Equips_usuari!C350)</f>
        <v/>
      </c>
      <c r="D350" s="3" t="str">
        <f>IF(Equips_usuari!D350="","",Equips_usuari!D350)</f>
        <v/>
      </c>
      <c r="E350" s="3" t="str">
        <f>IF(Equips_usuari!F350="","",Equips_usuari!F350)</f>
        <v/>
      </c>
      <c r="F350" s="3" t="str">
        <f>IF($C350="","",SUMIFS(Resultats_jugadores!$C:$C,Resultats_jugadores!$A:$A,$A350,Resultats_jugadores!$B:$B,$C350))</f>
        <v/>
      </c>
      <c r="G350" s="3" t="str">
        <f>IF($C350="","",SUMIFS(Resultats_jugadores!$D:$D,Resultats_jugadores!$A:$A,$A350,Resultats_jugadores!$B:$B,$C350))</f>
        <v/>
      </c>
      <c r="H350" s="3" t="str">
        <f t="shared" si="3"/>
        <v/>
      </c>
      <c r="I350" s="3" t="str">
        <f t="array" ref="I350">IF($C350="","",IFERROR(INDEX(Partits!$C:$C,MATCH($A350&amp;"_"&amp;$D350,Partits!$D:$D,0)),""))</f>
        <v/>
      </c>
      <c r="J350" s="3" t="str">
        <f t="shared" si="4"/>
        <v/>
      </c>
      <c r="K350" s="3" t="str">
        <f t="shared" si="5"/>
        <v/>
      </c>
      <c r="L350" s="3" t="str">
        <f t="shared" si="6"/>
        <v/>
      </c>
      <c r="M350" s="3" t="str">
        <f t="shared" si="7"/>
        <v/>
      </c>
    </row>
    <row r="351" ht="15.0" customHeight="1">
      <c r="A351" s="3" t="str">
        <f>IF(Equips_usuari!A351="","",Equips_usuari!A351)</f>
        <v/>
      </c>
      <c r="B351" s="3" t="str">
        <f>IF(Equips_usuari!B351="","",Equips_usuari!B351)</f>
        <v/>
      </c>
      <c r="C351" s="3" t="str">
        <f>IF(Equips_usuari!C351="","",Equips_usuari!C351)</f>
        <v/>
      </c>
      <c r="D351" s="3" t="str">
        <f>IF(Equips_usuari!D351="","",Equips_usuari!D351)</f>
        <v/>
      </c>
      <c r="E351" s="3" t="str">
        <f>IF(Equips_usuari!F351="","",Equips_usuari!F351)</f>
        <v/>
      </c>
      <c r="F351" s="3" t="str">
        <f>IF($C351="","",SUMIFS(Resultats_jugadores!$C:$C,Resultats_jugadores!$A:$A,$A351,Resultats_jugadores!$B:$B,$C351))</f>
        <v/>
      </c>
      <c r="G351" s="3" t="str">
        <f>IF($C351="","",SUMIFS(Resultats_jugadores!$D:$D,Resultats_jugadores!$A:$A,$A351,Resultats_jugadores!$B:$B,$C351))</f>
        <v/>
      </c>
      <c r="H351" s="3" t="str">
        <f t="shared" si="3"/>
        <v/>
      </c>
      <c r="I351" s="3" t="str">
        <f t="array" ref="I351">IF($C351="","",IFERROR(INDEX(Partits!$C:$C,MATCH($A351&amp;"_"&amp;$D351,Partits!$D:$D,0)),""))</f>
        <v/>
      </c>
      <c r="J351" s="3" t="str">
        <f t="shared" si="4"/>
        <v/>
      </c>
      <c r="K351" s="3" t="str">
        <f t="shared" si="5"/>
        <v/>
      </c>
      <c r="L351" s="3" t="str">
        <f t="shared" si="6"/>
        <v/>
      </c>
      <c r="M351" s="3" t="str">
        <f t="shared" si="7"/>
        <v/>
      </c>
    </row>
    <row r="352" ht="15.0" customHeight="1">
      <c r="A352" s="3" t="str">
        <f>IF(Equips_usuari!A352="","",Equips_usuari!A352)</f>
        <v/>
      </c>
      <c r="B352" s="3" t="str">
        <f>IF(Equips_usuari!B352="","",Equips_usuari!B352)</f>
        <v/>
      </c>
      <c r="C352" s="3" t="str">
        <f>IF(Equips_usuari!C352="","",Equips_usuari!C352)</f>
        <v/>
      </c>
      <c r="D352" s="3" t="str">
        <f>IF(Equips_usuari!D352="","",Equips_usuari!D352)</f>
        <v/>
      </c>
      <c r="E352" s="3" t="str">
        <f>IF(Equips_usuari!F352="","",Equips_usuari!F352)</f>
        <v/>
      </c>
      <c r="F352" s="3" t="str">
        <f>IF($C352="","",SUMIFS(Resultats_jugadores!$C:$C,Resultats_jugadores!$A:$A,$A352,Resultats_jugadores!$B:$B,$C352))</f>
        <v/>
      </c>
      <c r="G352" s="3" t="str">
        <f>IF($C352="","",SUMIFS(Resultats_jugadores!$D:$D,Resultats_jugadores!$A:$A,$A352,Resultats_jugadores!$B:$B,$C352))</f>
        <v/>
      </c>
      <c r="H352" s="3" t="str">
        <f t="shared" si="3"/>
        <v/>
      </c>
      <c r="I352" s="3" t="str">
        <f t="array" ref="I352">IF($C352="","",IFERROR(INDEX(Partits!$C:$C,MATCH($A352&amp;"_"&amp;$D352,Partits!$D:$D,0)),""))</f>
        <v/>
      </c>
      <c r="J352" s="3" t="str">
        <f t="shared" si="4"/>
        <v/>
      </c>
      <c r="K352" s="3" t="str">
        <f t="shared" si="5"/>
        <v/>
      </c>
      <c r="L352" s="3" t="str">
        <f t="shared" si="6"/>
        <v/>
      </c>
      <c r="M352" s="3" t="str">
        <f t="shared" si="7"/>
        <v/>
      </c>
    </row>
    <row r="353" ht="15.0" customHeight="1">
      <c r="A353" s="3" t="str">
        <f>IF(Equips_usuari!A353="","",Equips_usuari!A353)</f>
        <v/>
      </c>
      <c r="B353" s="3" t="str">
        <f>IF(Equips_usuari!B353="","",Equips_usuari!B353)</f>
        <v/>
      </c>
      <c r="C353" s="3" t="str">
        <f>IF(Equips_usuari!C353="","",Equips_usuari!C353)</f>
        <v/>
      </c>
      <c r="D353" s="3" t="str">
        <f>IF(Equips_usuari!D353="","",Equips_usuari!D353)</f>
        <v/>
      </c>
      <c r="E353" s="3" t="str">
        <f>IF(Equips_usuari!F353="","",Equips_usuari!F353)</f>
        <v/>
      </c>
      <c r="F353" s="3" t="str">
        <f>IF($C353="","",SUMIFS(Resultats_jugadores!$C:$C,Resultats_jugadores!$A:$A,$A353,Resultats_jugadores!$B:$B,$C353))</f>
        <v/>
      </c>
      <c r="G353" s="3" t="str">
        <f>IF($C353="","",SUMIFS(Resultats_jugadores!$D:$D,Resultats_jugadores!$A:$A,$A353,Resultats_jugadores!$B:$B,$C353))</f>
        <v/>
      </c>
      <c r="H353" s="3" t="str">
        <f t="shared" si="3"/>
        <v/>
      </c>
      <c r="I353" s="3" t="str">
        <f t="array" ref="I353">IF($C353="","",IFERROR(INDEX(Partits!$C:$C,MATCH($A353&amp;"_"&amp;$D353,Partits!$D:$D,0)),""))</f>
        <v/>
      </c>
      <c r="J353" s="3" t="str">
        <f t="shared" si="4"/>
        <v/>
      </c>
      <c r="K353" s="3" t="str">
        <f t="shared" si="5"/>
        <v/>
      </c>
      <c r="L353" s="3" t="str">
        <f t="shared" si="6"/>
        <v/>
      </c>
      <c r="M353" s="3" t="str">
        <f t="shared" si="7"/>
        <v/>
      </c>
    </row>
    <row r="354" ht="15.0" customHeight="1">
      <c r="A354" s="3" t="str">
        <f>IF(Equips_usuari!A354="","",Equips_usuari!A354)</f>
        <v/>
      </c>
      <c r="B354" s="3" t="str">
        <f>IF(Equips_usuari!B354="","",Equips_usuari!B354)</f>
        <v/>
      </c>
      <c r="C354" s="3" t="str">
        <f>IF(Equips_usuari!C354="","",Equips_usuari!C354)</f>
        <v/>
      </c>
      <c r="D354" s="3" t="str">
        <f>IF(Equips_usuari!D354="","",Equips_usuari!D354)</f>
        <v/>
      </c>
      <c r="E354" s="3" t="str">
        <f>IF(Equips_usuari!F354="","",Equips_usuari!F354)</f>
        <v/>
      </c>
      <c r="F354" s="3" t="str">
        <f>IF($C354="","",SUMIFS(Resultats_jugadores!$C:$C,Resultats_jugadores!$A:$A,$A354,Resultats_jugadores!$B:$B,$C354))</f>
        <v/>
      </c>
      <c r="G354" s="3" t="str">
        <f>IF($C354="","",SUMIFS(Resultats_jugadores!$D:$D,Resultats_jugadores!$A:$A,$A354,Resultats_jugadores!$B:$B,$C354))</f>
        <v/>
      </c>
      <c r="H354" s="3" t="str">
        <f t="shared" si="3"/>
        <v/>
      </c>
      <c r="I354" s="3" t="str">
        <f t="array" ref="I354">IF($C354="","",IFERROR(INDEX(Partits!$C:$C,MATCH($A354&amp;"_"&amp;$D354,Partits!$D:$D,0)),""))</f>
        <v/>
      </c>
      <c r="J354" s="3" t="str">
        <f t="shared" si="4"/>
        <v/>
      </c>
      <c r="K354" s="3" t="str">
        <f t="shared" si="5"/>
        <v/>
      </c>
      <c r="L354" s="3" t="str">
        <f t="shared" si="6"/>
        <v/>
      </c>
      <c r="M354" s="3" t="str">
        <f t="shared" si="7"/>
        <v/>
      </c>
    </row>
    <row r="355" ht="15.0" customHeight="1">
      <c r="A355" s="3" t="str">
        <f>IF(Equips_usuari!A355="","",Equips_usuari!A355)</f>
        <v/>
      </c>
      <c r="B355" s="3" t="str">
        <f>IF(Equips_usuari!B355="","",Equips_usuari!B355)</f>
        <v/>
      </c>
      <c r="C355" s="3" t="str">
        <f>IF(Equips_usuari!C355="","",Equips_usuari!C355)</f>
        <v/>
      </c>
      <c r="D355" s="3" t="str">
        <f>IF(Equips_usuari!D355="","",Equips_usuari!D355)</f>
        <v/>
      </c>
      <c r="E355" s="3" t="str">
        <f>IF(Equips_usuari!F355="","",Equips_usuari!F355)</f>
        <v/>
      </c>
      <c r="F355" s="3" t="str">
        <f>IF($C355="","",SUMIFS(Resultats_jugadores!$C:$C,Resultats_jugadores!$A:$A,$A355,Resultats_jugadores!$B:$B,$C355))</f>
        <v/>
      </c>
      <c r="G355" s="3" t="str">
        <f>IF($C355="","",SUMIFS(Resultats_jugadores!$D:$D,Resultats_jugadores!$A:$A,$A355,Resultats_jugadores!$B:$B,$C355))</f>
        <v/>
      </c>
      <c r="H355" s="3" t="str">
        <f t="shared" si="3"/>
        <v/>
      </c>
      <c r="I355" s="3" t="str">
        <f t="array" ref="I355">IF($C355="","",IFERROR(INDEX(Partits!$C:$C,MATCH($A355&amp;"_"&amp;$D355,Partits!$D:$D,0)),""))</f>
        <v/>
      </c>
      <c r="J355" s="3" t="str">
        <f t="shared" si="4"/>
        <v/>
      </c>
      <c r="K355" s="3" t="str">
        <f t="shared" si="5"/>
        <v/>
      </c>
      <c r="L355" s="3" t="str">
        <f t="shared" si="6"/>
        <v/>
      </c>
      <c r="M355" s="3" t="str">
        <f t="shared" si="7"/>
        <v/>
      </c>
    </row>
    <row r="356" ht="15.0" customHeight="1">
      <c r="A356" s="3" t="str">
        <f>IF(Equips_usuari!A356="","",Equips_usuari!A356)</f>
        <v/>
      </c>
      <c r="B356" s="3" t="str">
        <f>IF(Equips_usuari!B356="","",Equips_usuari!B356)</f>
        <v/>
      </c>
      <c r="C356" s="3" t="str">
        <f>IF(Equips_usuari!C356="","",Equips_usuari!C356)</f>
        <v/>
      </c>
      <c r="D356" s="3" t="str">
        <f>IF(Equips_usuari!D356="","",Equips_usuari!D356)</f>
        <v/>
      </c>
      <c r="E356" s="3" t="str">
        <f>IF(Equips_usuari!F356="","",Equips_usuari!F356)</f>
        <v/>
      </c>
      <c r="F356" s="3" t="str">
        <f>IF($C356="","",SUMIFS(Resultats_jugadores!$C:$C,Resultats_jugadores!$A:$A,$A356,Resultats_jugadores!$B:$B,$C356))</f>
        <v/>
      </c>
      <c r="G356" s="3" t="str">
        <f>IF($C356="","",SUMIFS(Resultats_jugadores!$D:$D,Resultats_jugadores!$A:$A,$A356,Resultats_jugadores!$B:$B,$C356))</f>
        <v/>
      </c>
      <c r="H356" s="3" t="str">
        <f t="shared" si="3"/>
        <v/>
      </c>
      <c r="I356" s="3" t="str">
        <f t="array" ref="I356">IF($C356="","",IFERROR(INDEX(Partits!$C:$C,MATCH($A356&amp;"_"&amp;$D356,Partits!$D:$D,0)),""))</f>
        <v/>
      </c>
      <c r="J356" s="3" t="str">
        <f t="shared" si="4"/>
        <v/>
      </c>
      <c r="K356" s="3" t="str">
        <f t="shared" si="5"/>
        <v/>
      </c>
      <c r="L356" s="3" t="str">
        <f t="shared" si="6"/>
        <v/>
      </c>
      <c r="M356" s="3" t="str">
        <f t="shared" si="7"/>
        <v/>
      </c>
    </row>
    <row r="357" ht="15.0" customHeight="1">
      <c r="A357" s="3" t="str">
        <f>IF(Equips_usuari!A357="","",Equips_usuari!A357)</f>
        <v/>
      </c>
      <c r="B357" s="3" t="str">
        <f>IF(Equips_usuari!B357="","",Equips_usuari!B357)</f>
        <v/>
      </c>
      <c r="C357" s="3" t="str">
        <f>IF(Equips_usuari!C357="","",Equips_usuari!C357)</f>
        <v/>
      </c>
      <c r="D357" s="3" t="str">
        <f>IF(Equips_usuari!D357="","",Equips_usuari!D357)</f>
        <v/>
      </c>
      <c r="E357" s="3" t="str">
        <f>IF(Equips_usuari!F357="","",Equips_usuari!F357)</f>
        <v/>
      </c>
      <c r="F357" s="3" t="str">
        <f>IF($C357="","",SUMIFS(Resultats_jugadores!$C:$C,Resultats_jugadores!$A:$A,$A357,Resultats_jugadores!$B:$B,$C357))</f>
        <v/>
      </c>
      <c r="G357" s="3" t="str">
        <f>IF($C357="","",SUMIFS(Resultats_jugadores!$D:$D,Resultats_jugadores!$A:$A,$A357,Resultats_jugadores!$B:$B,$C357))</f>
        <v/>
      </c>
      <c r="H357" s="3" t="str">
        <f t="shared" si="3"/>
        <v/>
      </c>
      <c r="I357" s="3" t="str">
        <f t="array" ref="I357">IF($C357="","",IFERROR(INDEX(Partits!$C:$C,MATCH($A357&amp;"_"&amp;$D357,Partits!$D:$D,0)),""))</f>
        <v/>
      </c>
      <c r="J357" s="3" t="str">
        <f t="shared" si="4"/>
        <v/>
      </c>
      <c r="K357" s="3" t="str">
        <f t="shared" si="5"/>
        <v/>
      </c>
      <c r="L357" s="3" t="str">
        <f t="shared" si="6"/>
        <v/>
      </c>
      <c r="M357" s="3" t="str">
        <f t="shared" si="7"/>
        <v/>
      </c>
    </row>
    <row r="358" ht="15.0" customHeight="1">
      <c r="A358" s="3" t="str">
        <f>IF(Equips_usuari!A358="","",Equips_usuari!A358)</f>
        <v/>
      </c>
      <c r="B358" s="3" t="str">
        <f>IF(Equips_usuari!B358="","",Equips_usuari!B358)</f>
        <v/>
      </c>
      <c r="C358" s="3" t="str">
        <f>IF(Equips_usuari!C358="","",Equips_usuari!C358)</f>
        <v/>
      </c>
      <c r="D358" s="3" t="str">
        <f>IF(Equips_usuari!D358="","",Equips_usuari!D358)</f>
        <v/>
      </c>
      <c r="E358" s="3" t="str">
        <f>IF(Equips_usuari!F358="","",Equips_usuari!F358)</f>
        <v/>
      </c>
      <c r="F358" s="3" t="str">
        <f>IF($C358="","",SUMIFS(Resultats_jugadores!$C:$C,Resultats_jugadores!$A:$A,$A358,Resultats_jugadores!$B:$B,$C358))</f>
        <v/>
      </c>
      <c r="G358" s="3" t="str">
        <f>IF($C358="","",SUMIFS(Resultats_jugadores!$D:$D,Resultats_jugadores!$A:$A,$A358,Resultats_jugadores!$B:$B,$C358))</f>
        <v/>
      </c>
      <c r="H358" s="3" t="str">
        <f t="shared" si="3"/>
        <v/>
      </c>
      <c r="I358" s="3" t="str">
        <f t="array" ref="I358">IF($C358="","",IFERROR(INDEX(Partits!$C:$C,MATCH($A358&amp;"_"&amp;$D358,Partits!$D:$D,0)),""))</f>
        <v/>
      </c>
      <c r="J358" s="3" t="str">
        <f t="shared" si="4"/>
        <v/>
      </c>
      <c r="K358" s="3" t="str">
        <f t="shared" si="5"/>
        <v/>
      </c>
      <c r="L358" s="3" t="str">
        <f t="shared" si="6"/>
        <v/>
      </c>
      <c r="M358" s="3" t="str">
        <f t="shared" si="7"/>
        <v/>
      </c>
    </row>
    <row r="359" ht="15.0" customHeight="1">
      <c r="A359" s="3" t="str">
        <f>IF(Equips_usuari!A359="","",Equips_usuari!A359)</f>
        <v/>
      </c>
      <c r="B359" s="3" t="str">
        <f>IF(Equips_usuari!B359="","",Equips_usuari!B359)</f>
        <v/>
      </c>
      <c r="C359" s="3" t="str">
        <f>IF(Equips_usuari!C359="","",Equips_usuari!C359)</f>
        <v/>
      </c>
      <c r="D359" s="3" t="str">
        <f>IF(Equips_usuari!D359="","",Equips_usuari!D359)</f>
        <v/>
      </c>
      <c r="E359" s="3" t="str">
        <f>IF(Equips_usuari!F359="","",Equips_usuari!F359)</f>
        <v/>
      </c>
      <c r="F359" s="3" t="str">
        <f>IF($C359="","",SUMIFS(Resultats_jugadores!$C:$C,Resultats_jugadores!$A:$A,$A359,Resultats_jugadores!$B:$B,$C359))</f>
        <v/>
      </c>
      <c r="G359" s="3" t="str">
        <f>IF($C359="","",SUMIFS(Resultats_jugadores!$D:$D,Resultats_jugadores!$A:$A,$A359,Resultats_jugadores!$B:$B,$C359))</f>
        <v/>
      </c>
      <c r="H359" s="3" t="str">
        <f t="shared" si="3"/>
        <v/>
      </c>
      <c r="I359" s="3" t="str">
        <f t="array" ref="I359">IF($C359="","",IFERROR(INDEX(Partits!$C:$C,MATCH($A359&amp;"_"&amp;$D359,Partits!$D:$D,0)),""))</f>
        <v/>
      </c>
      <c r="J359" s="3" t="str">
        <f t="shared" si="4"/>
        <v/>
      </c>
      <c r="K359" s="3" t="str">
        <f t="shared" si="5"/>
        <v/>
      </c>
      <c r="L359" s="3" t="str">
        <f t="shared" si="6"/>
        <v/>
      </c>
      <c r="M359" s="3" t="str">
        <f t="shared" si="7"/>
        <v/>
      </c>
    </row>
    <row r="360" ht="15.0" customHeight="1">
      <c r="A360" s="3" t="str">
        <f>IF(Equips_usuari!A360="","",Equips_usuari!A360)</f>
        <v/>
      </c>
      <c r="B360" s="3" t="str">
        <f>IF(Equips_usuari!B360="","",Equips_usuari!B360)</f>
        <v/>
      </c>
      <c r="C360" s="3" t="str">
        <f>IF(Equips_usuari!C360="","",Equips_usuari!C360)</f>
        <v/>
      </c>
      <c r="D360" s="3" t="str">
        <f>IF(Equips_usuari!D360="","",Equips_usuari!D360)</f>
        <v/>
      </c>
      <c r="E360" s="3" t="str">
        <f>IF(Equips_usuari!F360="","",Equips_usuari!F360)</f>
        <v/>
      </c>
      <c r="F360" s="3" t="str">
        <f>IF($C360="","",SUMIFS(Resultats_jugadores!$C:$C,Resultats_jugadores!$A:$A,$A360,Resultats_jugadores!$B:$B,$C360))</f>
        <v/>
      </c>
      <c r="G360" s="3" t="str">
        <f>IF($C360="","",SUMIFS(Resultats_jugadores!$D:$D,Resultats_jugadores!$A:$A,$A360,Resultats_jugadores!$B:$B,$C360))</f>
        <v/>
      </c>
      <c r="H360" s="3" t="str">
        <f t="shared" si="3"/>
        <v/>
      </c>
      <c r="I360" s="3" t="str">
        <f t="array" ref="I360">IF($C360="","",IFERROR(INDEX(Partits!$C:$C,MATCH($A360&amp;"_"&amp;$D360,Partits!$D:$D,0)),""))</f>
        <v/>
      </c>
      <c r="J360" s="3" t="str">
        <f t="shared" si="4"/>
        <v/>
      </c>
      <c r="K360" s="3" t="str">
        <f t="shared" si="5"/>
        <v/>
      </c>
      <c r="L360" s="3" t="str">
        <f t="shared" si="6"/>
        <v/>
      </c>
      <c r="M360" s="3" t="str">
        <f t="shared" si="7"/>
        <v/>
      </c>
    </row>
    <row r="361" ht="15.0" customHeight="1">
      <c r="A361" s="3" t="str">
        <f>IF(Equips_usuari!A361="","",Equips_usuari!A361)</f>
        <v/>
      </c>
      <c r="B361" s="3" t="str">
        <f>IF(Equips_usuari!B361="","",Equips_usuari!B361)</f>
        <v/>
      </c>
      <c r="C361" s="3" t="str">
        <f>IF(Equips_usuari!C361="","",Equips_usuari!C361)</f>
        <v/>
      </c>
      <c r="D361" s="3" t="str">
        <f>IF(Equips_usuari!D361="","",Equips_usuari!D361)</f>
        <v/>
      </c>
      <c r="E361" s="3" t="str">
        <f>IF(Equips_usuari!F361="","",Equips_usuari!F361)</f>
        <v/>
      </c>
      <c r="F361" s="3" t="str">
        <f>IF($C361="","",SUMIFS(Resultats_jugadores!$C:$C,Resultats_jugadores!$A:$A,$A361,Resultats_jugadores!$B:$B,$C361))</f>
        <v/>
      </c>
      <c r="G361" s="3" t="str">
        <f>IF($C361="","",SUMIFS(Resultats_jugadores!$D:$D,Resultats_jugadores!$A:$A,$A361,Resultats_jugadores!$B:$B,$C361))</f>
        <v/>
      </c>
      <c r="H361" s="3" t="str">
        <f t="shared" si="3"/>
        <v/>
      </c>
      <c r="I361" s="3" t="str">
        <f t="array" ref="I361">IF($C361="","",IFERROR(INDEX(Partits!$C:$C,MATCH($A361&amp;"_"&amp;$D361,Partits!$D:$D,0)),""))</f>
        <v/>
      </c>
      <c r="J361" s="3" t="str">
        <f t="shared" si="4"/>
        <v/>
      </c>
      <c r="K361" s="3" t="str">
        <f t="shared" si="5"/>
        <v/>
      </c>
      <c r="L361" s="3" t="str">
        <f t="shared" si="6"/>
        <v/>
      </c>
      <c r="M361" s="3" t="str">
        <f t="shared" si="7"/>
        <v/>
      </c>
    </row>
    <row r="362" ht="15.0" customHeight="1">
      <c r="A362" s="3" t="str">
        <f>IF(Equips_usuari!A362="","",Equips_usuari!A362)</f>
        <v/>
      </c>
      <c r="B362" s="3" t="str">
        <f>IF(Equips_usuari!B362="","",Equips_usuari!B362)</f>
        <v/>
      </c>
      <c r="C362" s="3" t="str">
        <f>IF(Equips_usuari!C362="","",Equips_usuari!C362)</f>
        <v/>
      </c>
      <c r="D362" s="3" t="str">
        <f>IF(Equips_usuari!D362="","",Equips_usuari!D362)</f>
        <v/>
      </c>
      <c r="E362" s="3" t="str">
        <f>IF(Equips_usuari!F362="","",Equips_usuari!F362)</f>
        <v/>
      </c>
      <c r="F362" s="3" t="str">
        <f>IF($C362="","",SUMIFS(Resultats_jugadores!$C:$C,Resultats_jugadores!$A:$A,$A362,Resultats_jugadores!$B:$B,$C362))</f>
        <v/>
      </c>
      <c r="G362" s="3" t="str">
        <f>IF($C362="","",SUMIFS(Resultats_jugadores!$D:$D,Resultats_jugadores!$A:$A,$A362,Resultats_jugadores!$B:$B,$C362))</f>
        <v/>
      </c>
      <c r="H362" s="3" t="str">
        <f t="shared" si="3"/>
        <v/>
      </c>
      <c r="I362" s="3" t="str">
        <f t="array" ref="I362">IF($C362="","",IFERROR(INDEX(Partits!$C:$C,MATCH($A362&amp;"_"&amp;$D362,Partits!$D:$D,0)),""))</f>
        <v/>
      </c>
      <c r="J362" s="3" t="str">
        <f t="shared" si="4"/>
        <v/>
      </c>
      <c r="K362" s="3" t="str">
        <f t="shared" si="5"/>
        <v/>
      </c>
      <c r="L362" s="3" t="str">
        <f t="shared" si="6"/>
        <v/>
      </c>
      <c r="M362" s="3" t="str">
        <f t="shared" si="7"/>
        <v/>
      </c>
    </row>
    <row r="363" ht="15.0" customHeight="1">
      <c r="A363" s="3" t="str">
        <f>IF(Equips_usuari!A363="","",Equips_usuari!A363)</f>
        <v/>
      </c>
      <c r="B363" s="3" t="str">
        <f>IF(Equips_usuari!B363="","",Equips_usuari!B363)</f>
        <v/>
      </c>
      <c r="C363" s="3" t="str">
        <f>IF(Equips_usuari!C363="","",Equips_usuari!C363)</f>
        <v/>
      </c>
      <c r="D363" s="3" t="str">
        <f>IF(Equips_usuari!D363="","",Equips_usuari!D363)</f>
        <v/>
      </c>
      <c r="E363" s="3" t="str">
        <f>IF(Equips_usuari!F363="","",Equips_usuari!F363)</f>
        <v/>
      </c>
      <c r="F363" s="3" t="str">
        <f>IF($C363="","",SUMIFS(Resultats_jugadores!$C:$C,Resultats_jugadores!$A:$A,$A363,Resultats_jugadores!$B:$B,$C363))</f>
        <v/>
      </c>
      <c r="G363" s="3" t="str">
        <f>IF($C363="","",SUMIFS(Resultats_jugadores!$D:$D,Resultats_jugadores!$A:$A,$A363,Resultats_jugadores!$B:$B,$C363))</f>
        <v/>
      </c>
      <c r="H363" s="3" t="str">
        <f t="shared" si="3"/>
        <v/>
      </c>
      <c r="I363" s="3" t="str">
        <f t="array" ref="I363">IF($C363="","",IFERROR(INDEX(Partits!$C:$C,MATCH($A363&amp;"_"&amp;$D363,Partits!$D:$D,0)),""))</f>
        <v/>
      </c>
      <c r="J363" s="3" t="str">
        <f t="shared" si="4"/>
        <v/>
      </c>
      <c r="K363" s="3" t="str">
        <f t="shared" si="5"/>
        <v/>
      </c>
      <c r="L363" s="3" t="str">
        <f t="shared" si="6"/>
        <v/>
      </c>
      <c r="M363" s="3" t="str">
        <f t="shared" si="7"/>
        <v/>
      </c>
    </row>
    <row r="364" ht="15.0" customHeight="1">
      <c r="A364" s="3" t="str">
        <f>IF(Equips_usuari!A364="","",Equips_usuari!A364)</f>
        <v/>
      </c>
      <c r="B364" s="3" t="str">
        <f>IF(Equips_usuari!B364="","",Equips_usuari!B364)</f>
        <v/>
      </c>
      <c r="C364" s="3" t="str">
        <f>IF(Equips_usuari!C364="","",Equips_usuari!C364)</f>
        <v/>
      </c>
      <c r="D364" s="3" t="str">
        <f>IF(Equips_usuari!D364="","",Equips_usuari!D364)</f>
        <v/>
      </c>
      <c r="E364" s="3" t="str">
        <f>IF(Equips_usuari!F364="","",Equips_usuari!F364)</f>
        <v/>
      </c>
      <c r="F364" s="3" t="str">
        <f>IF($C364="","",SUMIFS(Resultats_jugadores!$C:$C,Resultats_jugadores!$A:$A,$A364,Resultats_jugadores!$B:$B,$C364))</f>
        <v/>
      </c>
      <c r="G364" s="3" t="str">
        <f>IF($C364="","",SUMIFS(Resultats_jugadores!$D:$D,Resultats_jugadores!$A:$A,$A364,Resultats_jugadores!$B:$B,$C364))</f>
        <v/>
      </c>
      <c r="H364" s="3" t="str">
        <f t="shared" si="3"/>
        <v/>
      </c>
      <c r="I364" s="3" t="str">
        <f t="array" ref="I364">IF($C364="","",IFERROR(INDEX(Partits!$C:$C,MATCH($A364&amp;"_"&amp;$D364,Partits!$D:$D,0)),""))</f>
        <v/>
      </c>
      <c r="J364" s="3" t="str">
        <f t="shared" si="4"/>
        <v/>
      </c>
      <c r="K364" s="3" t="str">
        <f t="shared" si="5"/>
        <v/>
      </c>
      <c r="L364" s="3" t="str">
        <f t="shared" si="6"/>
        <v/>
      </c>
      <c r="M364" s="3" t="str">
        <f t="shared" si="7"/>
        <v/>
      </c>
    </row>
    <row r="365" ht="15.0" customHeight="1">
      <c r="A365" s="3" t="str">
        <f>IF(Equips_usuari!A365="","",Equips_usuari!A365)</f>
        <v/>
      </c>
      <c r="B365" s="3" t="str">
        <f>IF(Equips_usuari!B365="","",Equips_usuari!B365)</f>
        <v/>
      </c>
      <c r="C365" s="3" t="str">
        <f>IF(Equips_usuari!C365="","",Equips_usuari!C365)</f>
        <v/>
      </c>
      <c r="D365" s="3" t="str">
        <f>IF(Equips_usuari!D365="","",Equips_usuari!D365)</f>
        <v/>
      </c>
      <c r="E365" s="3" t="str">
        <f>IF(Equips_usuari!F365="","",Equips_usuari!F365)</f>
        <v/>
      </c>
      <c r="F365" s="3" t="str">
        <f>IF($C365="","",SUMIFS(Resultats_jugadores!$C:$C,Resultats_jugadores!$A:$A,$A365,Resultats_jugadores!$B:$B,$C365))</f>
        <v/>
      </c>
      <c r="G365" s="3" t="str">
        <f>IF($C365="","",SUMIFS(Resultats_jugadores!$D:$D,Resultats_jugadores!$A:$A,$A365,Resultats_jugadores!$B:$B,$C365))</f>
        <v/>
      </c>
      <c r="H365" s="3" t="str">
        <f t="shared" si="3"/>
        <v/>
      </c>
      <c r="I365" s="3" t="str">
        <f t="array" ref="I365">IF($C365="","",IFERROR(INDEX(Partits!$C:$C,MATCH($A365&amp;"_"&amp;$D365,Partits!$D:$D,0)),""))</f>
        <v/>
      </c>
      <c r="J365" s="3" t="str">
        <f t="shared" si="4"/>
        <v/>
      </c>
      <c r="K365" s="3" t="str">
        <f t="shared" si="5"/>
        <v/>
      </c>
      <c r="L365" s="3" t="str">
        <f t="shared" si="6"/>
        <v/>
      </c>
      <c r="M365" s="3" t="str">
        <f t="shared" si="7"/>
        <v/>
      </c>
    </row>
    <row r="366" ht="15.0" customHeight="1">
      <c r="A366" s="3" t="str">
        <f>IF(Equips_usuari!A366="","",Equips_usuari!A366)</f>
        <v/>
      </c>
      <c r="B366" s="3" t="str">
        <f>IF(Equips_usuari!B366="","",Equips_usuari!B366)</f>
        <v/>
      </c>
      <c r="C366" s="3" t="str">
        <f>IF(Equips_usuari!C366="","",Equips_usuari!C366)</f>
        <v/>
      </c>
      <c r="D366" s="3" t="str">
        <f>IF(Equips_usuari!D366="","",Equips_usuari!D366)</f>
        <v/>
      </c>
      <c r="E366" s="3" t="str">
        <f>IF(Equips_usuari!F366="","",Equips_usuari!F366)</f>
        <v/>
      </c>
      <c r="F366" s="3" t="str">
        <f>IF($C366="","",SUMIFS(Resultats_jugadores!$C:$C,Resultats_jugadores!$A:$A,$A366,Resultats_jugadores!$B:$B,$C366))</f>
        <v/>
      </c>
      <c r="G366" s="3" t="str">
        <f>IF($C366="","",SUMIFS(Resultats_jugadores!$D:$D,Resultats_jugadores!$A:$A,$A366,Resultats_jugadores!$B:$B,$C366))</f>
        <v/>
      </c>
      <c r="H366" s="3" t="str">
        <f t="shared" si="3"/>
        <v/>
      </c>
      <c r="I366" s="3" t="str">
        <f t="array" ref="I366">IF($C366="","",IFERROR(INDEX(Partits!$C:$C,MATCH($A366&amp;"_"&amp;$D366,Partits!$D:$D,0)),""))</f>
        <v/>
      </c>
      <c r="J366" s="3" t="str">
        <f t="shared" si="4"/>
        <v/>
      </c>
      <c r="K366" s="3" t="str">
        <f t="shared" si="5"/>
        <v/>
      </c>
      <c r="L366" s="3" t="str">
        <f t="shared" si="6"/>
        <v/>
      </c>
      <c r="M366" s="3" t="str">
        <f t="shared" si="7"/>
        <v/>
      </c>
    </row>
    <row r="367" ht="15.0" customHeight="1">
      <c r="A367" s="3" t="str">
        <f>IF(Equips_usuari!A367="","",Equips_usuari!A367)</f>
        <v/>
      </c>
      <c r="B367" s="3" t="str">
        <f>IF(Equips_usuari!B367="","",Equips_usuari!B367)</f>
        <v/>
      </c>
      <c r="C367" s="3" t="str">
        <f>IF(Equips_usuari!C367="","",Equips_usuari!C367)</f>
        <v/>
      </c>
      <c r="D367" s="3" t="str">
        <f>IF(Equips_usuari!D367="","",Equips_usuari!D367)</f>
        <v/>
      </c>
      <c r="E367" s="3" t="str">
        <f>IF(Equips_usuari!F367="","",Equips_usuari!F367)</f>
        <v/>
      </c>
      <c r="F367" s="3" t="str">
        <f>IF($C367="","",SUMIFS(Resultats_jugadores!$C:$C,Resultats_jugadores!$A:$A,$A367,Resultats_jugadores!$B:$B,$C367))</f>
        <v/>
      </c>
      <c r="G367" s="3" t="str">
        <f>IF($C367="","",SUMIFS(Resultats_jugadores!$D:$D,Resultats_jugadores!$A:$A,$A367,Resultats_jugadores!$B:$B,$C367))</f>
        <v/>
      </c>
      <c r="H367" s="3" t="str">
        <f t="shared" si="3"/>
        <v/>
      </c>
      <c r="I367" s="3" t="str">
        <f t="array" ref="I367">IF($C367="","",IFERROR(INDEX(Partits!$C:$C,MATCH($A367&amp;"_"&amp;$D367,Partits!$D:$D,0)),""))</f>
        <v/>
      </c>
      <c r="J367" s="3" t="str">
        <f t="shared" si="4"/>
        <v/>
      </c>
      <c r="K367" s="3" t="str">
        <f t="shared" si="5"/>
        <v/>
      </c>
      <c r="L367" s="3" t="str">
        <f t="shared" si="6"/>
        <v/>
      </c>
      <c r="M367" s="3" t="str">
        <f t="shared" si="7"/>
        <v/>
      </c>
    </row>
    <row r="368" ht="15.0" customHeight="1">
      <c r="A368" s="3" t="str">
        <f>IF(Equips_usuari!A368="","",Equips_usuari!A368)</f>
        <v/>
      </c>
      <c r="B368" s="3" t="str">
        <f>IF(Equips_usuari!B368="","",Equips_usuari!B368)</f>
        <v/>
      </c>
      <c r="C368" s="3" t="str">
        <f>IF(Equips_usuari!C368="","",Equips_usuari!C368)</f>
        <v/>
      </c>
      <c r="D368" s="3" t="str">
        <f>IF(Equips_usuari!D368="","",Equips_usuari!D368)</f>
        <v/>
      </c>
      <c r="E368" s="3" t="str">
        <f>IF(Equips_usuari!F368="","",Equips_usuari!F368)</f>
        <v/>
      </c>
      <c r="F368" s="3" t="str">
        <f>IF($C368="","",SUMIFS(Resultats_jugadores!$C:$C,Resultats_jugadores!$A:$A,$A368,Resultats_jugadores!$B:$B,$C368))</f>
        <v/>
      </c>
      <c r="G368" s="3" t="str">
        <f>IF($C368="","",SUMIFS(Resultats_jugadores!$D:$D,Resultats_jugadores!$A:$A,$A368,Resultats_jugadores!$B:$B,$C368))</f>
        <v/>
      </c>
      <c r="H368" s="3" t="str">
        <f t="shared" si="3"/>
        <v/>
      </c>
      <c r="I368" s="3" t="str">
        <f t="array" ref="I368">IF($C368="","",IFERROR(INDEX(Partits!$C:$C,MATCH($A368&amp;"_"&amp;$D368,Partits!$D:$D,0)),""))</f>
        <v/>
      </c>
      <c r="J368" s="3" t="str">
        <f t="shared" si="4"/>
        <v/>
      </c>
      <c r="K368" s="3" t="str">
        <f t="shared" si="5"/>
        <v/>
      </c>
      <c r="L368" s="3" t="str">
        <f t="shared" si="6"/>
        <v/>
      </c>
      <c r="M368" s="3" t="str">
        <f t="shared" si="7"/>
        <v/>
      </c>
    </row>
    <row r="369" ht="15.0" customHeight="1">
      <c r="A369" s="3" t="str">
        <f>IF(Equips_usuari!A369="","",Equips_usuari!A369)</f>
        <v/>
      </c>
      <c r="B369" s="3" t="str">
        <f>IF(Equips_usuari!B369="","",Equips_usuari!B369)</f>
        <v/>
      </c>
      <c r="C369" s="3" t="str">
        <f>IF(Equips_usuari!C369="","",Equips_usuari!C369)</f>
        <v/>
      </c>
      <c r="D369" s="3" t="str">
        <f>IF(Equips_usuari!D369="","",Equips_usuari!D369)</f>
        <v/>
      </c>
      <c r="E369" s="3" t="str">
        <f>IF(Equips_usuari!F369="","",Equips_usuari!F369)</f>
        <v/>
      </c>
      <c r="F369" s="3" t="str">
        <f>IF($C369="","",SUMIFS(Resultats_jugadores!$C:$C,Resultats_jugadores!$A:$A,$A369,Resultats_jugadores!$B:$B,$C369))</f>
        <v/>
      </c>
      <c r="G369" s="3" t="str">
        <f>IF($C369="","",SUMIFS(Resultats_jugadores!$D:$D,Resultats_jugadores!$A:$A,$A369,Resultats_jugadores!$B:$B,$C369))</f>
        <v/>
      </c>
      <c r="H369" s="3" t="str">
        <f t="shared" si="3"/>
        <v/>
      </c>
      <c r="I369" s="3" t="str">
        <f t="array" ref="I369">IF($C369="","",IFERROR(INDEX(Partits!$C:$C,MATCH($A369&amp;"_"&amp;$D369,Partits!$D:$D,0)),""))</f>
        <v/>
      </c>
      <c r="J369" s="3" t="str">
        <f t="shared" si="4"/>
        <v/>
      </c>
      <c r="K369" s="3" t="str">
        <f t="shared" si="5"/>
        <v/>
      </c>
      <c r="L369" s="3" t="str">
        <f t="shared" si="6"/>
        <v/>
      </c>
      <c r="M369" s="3" t="str">
        <f t="shared" si="7"/>
        <v/>
      </c>
    </row>
    <row r="370" ht="15.0" customHeight="1">
      <c r="A370" s="3" t="str">
        <f>IF(Equips_usuari!A370="","",Equips_usuari!A370)</f>
        <v/>
      </c>
      <c r="B370" s="3" t="str">
        <f>IF(Equips_usuari!B370="","",Equips_usuari!B370)</f>
        <v/>
      </c>
      <c r="C370" s="3" t="str">
        <f>IF(Equips_usuari!C370="","",Equips_usuari!C370)</f>
        <v/>
      </c>
      <c r="D370" s="3" t="str">
        <f>IF(Equips_usuari!D370="","",Equips_usuari!D370)</f>
        <v/>
      </c>
      <c r="E370" s="3" t="str">
        <f>IF(Equips_usuari!F370="","",Equips_usuari!F370)</f>
        <v/>
      </c>
      <c r="F370" s="3" t="str">
        <f>IF($C370="","",SUMIFS(Resultats_jugadores!$C:$C,Resultats_jugadores!$A:$A,$A370,Resultats_jugadores!$B:$B,$C370))</f>
        <v/>
      </c>
      <c r="G370" s="3" t="str">
        <f>IF($C370="","",SUMIFS(Resultats_jugadores!$D:$D,Resultats_jugadores!$A:$A,$A370,Resultats_jugadores!$B:$B,$C370))</f>
        <v/>
      </c>
      <c r="H370" s="3" t="str">
        <f t="shared" si="3"/>
        <v/>
      </c>
      <c r="I370" s="3" t="str">
        <f t="array" ref="I370">IF($C370="","",IFERROR(INDEX(Partits!$C:$C,MATCH($A370&amp;"_"&amp;$D370,Partits!$D:$D,0)),""))</f>
        <v/>
      </c>
      <c r="J370" s="3" t="str">
        <f t="shared" si="4"/>
        <v/>
      </c>
      <c r="K370" s="3" t="str">
        <f t="shared" si="5"/>
        <v/>
      </c>
      <c r="L370" s="3" t="str">
        <f t="shared" si="6"/>
        <v/>
      </c>
      <c r="M370" s="3" t="str">
        <f t="shared" si="7"/>
        <v/>
      </c>
    </row>
    <row r="371" ht="15.0" customHeight="1">
      <c r="A371" s="3" t="str">
        <f>IF(Equips_usuari!A371="","",Equips_usuari!A371)</f>
        <v/>
      </c>
      <c r="B371" s="3" t="str">
        <f>IF(Equips_usuari!B371="","",Equips_usuari!B371)</f>
        <v/>
      </c>
      <c r="C371" s="3" t="str">
        <f>IF(Equips_usuari!C371="","",Equips_usuari!C371)</f>
        <v/>
      </c>
      <c r="D371" s="3" t="str">
        <f>IF(Equips_usuari!D371="","",Equips_usuari!D371)</f>
        <v/>
      </c>
      <c r="E371" s="3" t="str">
        <f>IF(Equips_usuari!F371="","",Equips_usuari!F371)</f>
        <v/>
      </c>
      <c r="F371" s="3" t="str">
        <f>IF($C371="","",SUMIFS(Resultats_jugadores!$C:$C,Resultats_jugadores!$A:$A,$A371,Resultats_jugadores!$B:$B,$C371))</f>
        <v/>
      </c>
      <c r="G371" s="3" t="str">
        <f>IF($C371="","",SUMIFS(Resultats_jugadores!$D:$D,Resultats_jugadores!$A:$A,$A371,Resultats_jugadores!$B:$B,$C371))</f>
        <v/>
      </c>
      <c r="H371" s="3" t="str">
        <f t="shared" si="3"/>
        <v/>
      </c>
      <c r="I371" s="3" t="str">
        <f t="array" ref="I371">IF($C371="","",IFERROR(INDEX(Partits!$C:$C,MATCH($A371&amp;"_"&amp;$D371,Partits!$D:$D,0)),""))</f>
        <v/>
      </c>
      <c r="J371" s="3" t="str">
        <f t="shared" si="4"/>
        <v/>
      </c>
      <c r="K371" s="3" t="str">
        <f t="shared" si="5"/>
        <v/>
      </c>
      <c r="L371" s="3" t="str">
        <f t="shared" si="6"/>
        <v/>
      </c>
      <c r="M371" s="3" t="str">
        <f t="shared" si="7"/>
        <v/>
      </c>
    </row>
    <row r="372" ht="15.0" customHeight="1">
      <c r="A372" s="3" t="str">
        <f>IF(Equips_usuari!A372="","",Equips_usuari!A372)</f>
        <v/>
      </c>
      <c r="B372" s="3" t="str">
        <f>IF(Equips_usuari!B372="","",Equips_usuari!B372)</f>
        <v/>
      </c>
      <c r="C372" s="3" t="str">
        <f>IF(Equips_usuari!C372="","",Equips_usuari!C372)</f>
        <v/>
      </c>
      <c r="D372" s="3" t="str">
        <f>IF(Equips_usuari!D372="","",Equips_usuari!D372)</f>
        <v/>
      </c>
      <c r="E372" s="3" t="str">
        <f>IF(Equips_usuari!F372="","",Equips_usuari!F372)</f>
        <v/>
      </c>
      <c r="F372" s="3" t="str">
        <f>IF($C372="","",SUMIFS(Resultats_jugadores!$C:$C,Resultats_jugadores!$A:$A,$A372,Resultats_jugadores!$B:$B,$C372))</f>
        <v/>
      </c>
      <c r="G372" s="3" t="str">
        <f>IF($C372="","",SUMIFS(Resultats_jugadores!$D:$D,Resultats_jugadores!$A:$A,$A372,Resultats_jugadores!$B:$B,$C372))</f>
        <v/>
      </c>
      <c r="H372" s="3" t="str">
        <f t="shared" si="3"/>
        <v/>
      </c>
      <c r="I372" s="3" t="str">
        <f t="array" ref="I372">IF($C372="","",IFERROR(INDEX(Partits!$C:$C,MATCH($A372&amp;"_"&amp;$D372,Partits!$D:$D,0)),""))</f>
        <v/>
      </c>
      <c r="J372" s="3" t="str">
        <f t="shared" si="4"/>
        <v/>
      </c>
      <c r="K372" s="3" t="str">
        <f t="shared" si="5"/>
        <v/>
      </c>
      <c r="L372" s="3" t="str">
        <f t="shared" si="6"/>
        <v/>
      </c>
      <c r="M372" s="3" t="str">
        <f t="shared" si="7"/>
        <v/>
      </c>
    </row>
    <row r="373" ht="15.0" customHeight="1">
      <c r="A373" s="3" t="str">
        <f>IF(Equips_usuari!A373="","",Equips_usuari!A373)</f>
        <v/>
      </c>
      <c r="B373" s="3" t="str">
        <f>IF(Equips_usuari!B373="","",Equips_usuari!B373)</f>
        <v/>
      </c>
      <c r="C373" s="3" t="str">
        <f>IF(Equips_usuari!C373="","",Equips_usuari!C373)</f>
        <v/>
      </c>
      <c r="D373" s="3" t="str">
        <f>IF(Equips_usuari!D373="","",Equips_usuari!D373)</f>
        <v/>
      </c>
      <c r="E373" s="3" t="str">
        <f>IF(Equips_usuari!F373="","",Equips_usuari!F373)</f>
        <v/>
      </c>
      <c r="F373" s="3" t="str">
        <f>IF($C373="","",SUMIFS(Resultats_jugadores!$C:$C,Resultats_jugadores!$A:$A,$A373,Resultats_jugadores!$B:$B,$C373))</f>
        <v/>
      </c>
      <c r="G373" s="3" t="str">
        <f>IF($C373="","",SUMIFS(Resultats_jugadores!$D:$D,Resultats_jugadores!$A:$A,$A373,Resultats_jugadores!$B:$B,$C373))</f>
        <v/>
      </c>
      <c r="H373" s="3" t="str">
        <f t="shared" si="3"/>
        <v/>
      </c>
      <c r="I373" s="3" t="str">
        <f t="array" ref="I373">IF($C373="","",IFERROR(INDEX(Partits!$C:$C,MATCH($A373&amp;"_"&amp;$D373,Partits!$D:$D,0)),""))</f>
        <v/>
      </c>
      <c r="J373" s="3" t="str">
        <f t="shared" si="4"/>
        <v/>
      </c>
      <c r="K373" s="3" t="str">
        <f t="shared" si="5"/>
        <v/>
      </c>
      <c r="L373" s="3" t="str">
        <f t="shared" si="6"/>
        <v/>
      </c>
      <c r="M373" s="3" t="str">
        <f t="shared" si="7"/>
        <v/>
      </c>
    </row>
    <row r="374" ht="15.0" customHeight="1">
      <c r="A374" s="3" t="str">
        <f>IF(Equips_usuari!A374="","",Equips_usuari!A374)</f>
        <v/>
      </c>
      <c r="B374" s="3" t="str">
        <f>IF(Equips_usuari!B374="","",Equips_usuari!B374)</f>
        <v/>
      </c>
      <c r="C374" s="3" t="str">
        <f>IF(Equips_usuari!C374="","",Equips_usuari!C374)</f>
        <v/>
      </c>
      <c r="D374" s="3" t="str">
        <f>IF(Equips_usuari!D374="","",Equips_usuari!D374)</f>
        <v/>
      </c>
      <c r="E374" s="3" t="str">
        <f>IF(Equips_usuari!F374="","",Equips_usuari!F374)</f>
        <v/>
      </c>
      <c r="F374" s="3" t="str">
        <f>IF($C374="","",SUMIFS(Resultats_jugadores!$C:$C,Resultats_jugadores!$A:$A,$A374,Resultats_jugadores!$B:$B,$C374))</f>
        <v/>
      </c>
      <c r="G374" s="3" t="str">
        <f>IF($C374="","",SUMIFS(Resultats_jugadores!$D:$D,Resultats_jugadores!$A:$A,$A374,Resultats_jugadores!$B:$B,$C374))</f>
        <v/>
      </c>
      <c r="H374" s="3" t="str">
        <f t="shared" si="3"/>
        <v/>
      </c>
      <c r="I374" s="3" t="str">
        <f t="array" ref="I374">IF($C374="","",IFERROR(INDEX(Partits!$C:$C,MATCH($A374&amp;"_"&amp;$D374,Partits!$D:$D,0)),""))</f>
        <v/>
      </c>
      <c r="J374" s="3" t="str">
        <f t="shared" si="4"/>
        <v/>
      </c>
      <c r="K374" s="3" t="str">
        <f t="shared" si="5"/>
        <v/>
      </c>
      <c r="L374" s="3" t="str">
        <f t="shared" si="6"/>
        <v/>
      </c>
      <c r="M374" s="3" t="str">
        <f t="shared" si="7"/>
        <v/>
      </c>
    </row>
    <row r="375" ht="15.0" customHeight="1">
      <c r="A375" s="3" t="str">
        <f>IF(Equips_usuari!A375="","",Equips_usuari!A375)</f>
        <v/>
      </c>
      <c r="B375" s="3" t="str">
        <f>IF(Equips_usuari!B375="","",Equips_usuari!B375)</f>
        <v/>
      </c>
      <c r="C375" s="3" t="str">
        <f>IF(Equips_usuari!C375="","",Equips_usuari!C375)</f>
        <v/>
      </c>
      <c r="D375" s="3" t="str">
        <f>IF(Equips_usuari!D375="","",Equips_usuari!D375)</f>
        <v/>
      </c>
      <c r="E375" s="3" t="str">
        <f>IF(Equips_usuari!F375="","",Equips_usuari!F375)</f>
        <v/>
      </c>
      <c r="F375" s="3" t="str">
        <f>IF($C375="","",SUMIFS(Resultats_jugadores!$C:$C,Resultats_jugadores!$A:$A,$A375,Resultats_jugadores!$B:$B,$C375))</f>
        <v/>
      </c>
      <c r="G375" s="3" t="str">
        <f>IF($C375="","",SUMIFS(Resultats_jugadores!$D:$D,Resultats_jugadores!$A:$A,$A375,Resultats_jugadores!$B:$B,$C375))</f>
        <v/>
      </c>
      <c r="H375" s="3" t="str">
        <f t="shared" si="3"/>
        <v/>
      </c>
      <c r="I375" s="3" t="str">
        <f t="array" ref="I375">IF($C375="","",IFERROR(INDEX(Partits!$C:$C,MATCH($A375&amp;"_"&amp;$D375,Partits!$D:$D,0)),""))</f>
        <v/>
      </c>
      <c r="J375" s="3" t="str">
        <f t="shared" si="4"/>
        <v/>
      </c>
      <c r="K375" s="3" t="str">
        <f t="shared" si="5"/>
        <v/>
      </c>
      <c r="L375" s="3" t="str">
        <f t="shared" si="6"/>
        <v/>
      </c>
      <c r="M375" s="3" t="str">
        <f t="shared" si="7"/>
        <v/>
      </c>
    </row>
    <row r="376" ht="15.0" customHeight="1">
      <c r="A376" s="3" t="str">
        <f>IF(Equips_usuari!A376="","",Equips_usuari!A376)</f>
        <v/>
      </c>
      <c r="B376" s="3" t="str">
        <f>IF(Equips_usuari!B376="","",Equips_usuari!B376)</f>
        <v/>
      </c>
      <c r="C376" s="3" t="str">
        <f>IF(Equips_usuari!C376="","",Equips_usuari!C376)</f>
        <v/>
      </c>
      <c r="D376" s="3" t="str">
        <f>IF(Equips_usuari!D376="","",Equips_usuari!D376)</f>
        <v/>
      </c>
      <c r="E376" s="3" t="str">
        <f>IF(Equips_usuari!F376="","",Equips_usuari!F376)</f>
        <v/>
      </c>
      <c r="F376" s="3" t="str">
        <f>IF($C376="","",SUMIFS(Resultats_jugadores!$C:$C,Resultats_jugadores!$A:$A,$A376,Resultats_jugadores!$B:$B,$C376))</f>
        <v/>
      </c>
      <c r="G376" s="3" t="str">
        <f>IF($C376="","",SUMIFS(Resultats_jugadores!$D:$D,Resultats_jugadores!$A:$A,$A376,Resultats_jugadores!$B:$B,$C376))</f>
        <v/>
      </c>
      <c r="H376" s="3" t="str">
        <f t="shared" si="3"/>
        <v/>
      </c>
      <c r="I376" s="3" t="str">
        <f t="array" ref="I376">IF($C376="","",IFERROR(INDEX(Partits!$C:$C,MATCH($A376&amp;"_"&amp;$D376,Partits!$D:$D,0)),""))</f>
        <v/>
      </c>
      <c r="J376" s="3" t="str">
        <f t="shared" si="4"/>
        <v/>
      </c>
      <c r="K376" s="3" t="str">
        <f t="shared" si="5"/>
        <v/>
      </c>
      <c r="L376" s="3" t="str">
        <f t="shared" si="6"/>
        <v/>
      </c>
      <c r="M376" s="3" t="str">
        <f t="shared" si="7"/>
        <v/>
      </c>
    </row>
    <row r="377" ht="15.0" customHeight="1">
      <c r="A377" s="3" t="str">
        <f>IF(Equips_usuari!A377="","",Equips_usuari!A377)</f>
        <v/>
      </c>
      <c r="B377" s="3" t="str">
        <f>IF(Equips_usuari!B377="","",Equips_usuari!B377)</f>
        <v/>
      </c>
      <c r="C377" s="3" t="str">
        <f>IF(Equips_usuari!C377="","",Equips_usuari!C377)</f>
        <v/>
      </c>
      <c r="D377" s="3" t="str">
        <f>IF(Equips_usuari!D377="","",Equips_usuari!D377)</f>
        <v/>
      </c>
      <c r="E377" s="3" t="str">
        <f>IF(Equips_usuari!F377="","",Equips_usuari!F377)</f>
        <v/>
      </c>
      <c r="F377" s="3" t="str">
        <f>IF($C377="","",SUMIFS(Resultats_jugadores!$C:$C,Resultats_jugadores!$A:$A,$A377,Resultats_jugadores!$B:$B,$C377))</f>
        <v/>
      </c>
      <c r="G377" s="3" t="str">
        <f>IF($C377="","",SUMIFS(Resultats_jugadores!$D:$D,Resultats_jugadores!$A:$A,$A377,Resultats_jugadores!$B:$B,$C377))</f>
        <v/>
      </c>
      <c r="H377" s="3" t="str">
        <f t="shared" si="3"/>
        <v/>
      </c>
      <c r="I377" s="3" t="str">
        <f t="array" ref="I377">IF($C377="","",IFERROR(INDEX(Partits!$C:$C,MATCH($A377&amp;"_"&amp;$D377,Partits!$D:$D,0)),""))</f>
        <v/>
      </c>
      <c r="J377" s="3" t="str">
        <f t="shared" si="4"/>
        <v/>
      </c>
      <c r="K377" s="3" t="str">
        <f t="shared" si="5"/>
        <v/>
      </c>
      <c r="L377" s="3" t="str">
        <f t="shared" si="6"/>
        <v/>
      </c>
      <c r="M377" s="3" t="str">
        <f t="shared" si="7"/>
        <v/>
      </c>
    </row>
    <row r="378" ht="15.0" customHeight="1">
      <c r="A378" s="3" t="str">
        <f>IF(Equips_usuari!A378="","",Equips_usuari!A378)</f>
        <v/>
      </c>
      <c r="B378" s="3" t="str">
        <f>IF(Equips_usuari!B378="","",Equips_usuari!B378)</f>
        <v/>
      </c>
      <c r="C378" s="3" t="str">
        <f>IF(Equips_usuari!C378="","",Equips_usuari!C378)</f>
        <v/>
      </c>
      <c r="D378" s="3" t="str">
        <f>IF(Equips_usuari!D378="","",Equips_usuari!D378)</f>
        <v/>
      </c>
      <c r="E378" s="3" t="str">
        <f>IF(Equips_usuari!F378="","",Equips_usuari!F378)</f>
        <v/>
      </c>
      <c r="F378" s="3" t="str">
        <f>IF($C378="","",SUMIFS(Resultats_jugadores!$C:$C,Resultats_jugadores!$A:$A,$A378,Resultats_jugadores!$B:$B,$C378))</f>
        <v/>
      </c>
      <c r="G378" s="3" t="str">
        <f>IF($C378="","",SUMIFS(Resultats_jugadores!$D:$D,Resultats_jugadores!$A:$A,$A378,Resultats_jugadores!$B:$B,$C378))</f>
        <v/>
      </c>
      <c r="H378" s="3" t="str">
        <f t="shared" si="3"/>
        <v/>
      </c>
      <c r="I378" s="3" t="str">
        <f t="array" ref="I378">IF($C378="","",IFERROR(INDEX(Partits!$C:$C,MATCH($A378&amp;"_"&amp;$D378,Partits!$D:$D,0)),""))</f>
        <v/>
      </c>
      <c r="J378" s="3" t="str">
        <f t="shared" si="4"/>
        <v/>
      </c>
      <c r="K378" s="3" t="str">
        <f t="shared" si="5"/>
        <v/>
      </c>
      <c r="L378" s="3" t="str">
        <f t="shared" si="6"/>
        <v/>
      </c>
      <c r="M378" s="3" t="str">
        <f t="shared" si="7"/>
        <v/>
      </c>
    </row>
    <row r="379" ht="15.0" customHeight="1">
      <c r="A379" s="3" t="str">
        <f>IF(Equips_usuari!A379="","",Equips_usuari!A379)</f>
        <v/>
      </c>
      <c r="B379" s="3" t="str">
        <f>IF(Equips_usuari!B379="","",Equips_usuari!B379)</f>
        <v/>
      </c>
      <c r="C379" s="3" t="str">
        <f>IF(Equips_usuari!C379="","",Equips_usuari!C379)</f>
        <v/>
      </c>
      <c r="D379" s="3" t="str">
        <f>IF(Equips_usuari!D379="","",Equips_usuari!D379)</f>
        <v/>
      </c>
      <c r="E379" s="3" t="str">
        <f>IF(Equips_usuari!F379="","",Equips_usuari!F379)</f>
        <v/>
      </c>
      <c r="F379" s="3" t="str">
        <f>IF($C379="","",SUMIFS(Resultats_jugadores!$C:$C,Resultats_jugadores!$A:$A,$A379,Resultats_jugadores!$B:$B,$C379))</f>
        <v/>
      </c>
      <c r="G379" s="3" t="str">
        <f>IF($C379="","",SUMIFS(Resultats_jugadores!$D:$D,Resultats_jugadores!$A:$A,$A379,Resultats_jugadores!$B:$B,$C379))</f>
        <v/>
      </c>
      <c r="H379" s="3" t="str">
        <f t="shared" si="3"/>
        <v/>
      </c>
      <c r="I379" s="3" t="str">
        <f t="array" ref="I379">IF($C379="","",IFERROR(INDEX(Partits!$C:$C,MATCH($A379&amp;"_"&amp;$D379,Partits!$D:$D,0)),""))</f>
        <v/>
      </c>
      <c r="J379" s="3" t="str">
        <f t="shared" si="4"/>
        <v/>
      </c>
      <c r="K379" s="3" t="str">
        <f t="shared" si="5"/>
        <v/>
      </c>
      <c r="L379" s="3" t="str">
        <f t="shared" si="6"/>
        <v/>
      </c>
      <c r="M379" s="3" t="str">
        <f t="shared" si="7"/>
        <v/>
      </c>
    </row>
    <row r="380" ht="15.0" customHeight="1">
      <c r="A380" s="3" t="str">
        <f>IF(Equips_usuari!A380="","",Equips_usuari!A380)</f>
        <v/>
      </c>
      <c r="B380" s="3" t="str">
        <f>IF(Equips_usuari!B380="","",Equips_usuari!B380)</f>
        <v/>
      </c>
      <c r="C380" s="3" t="str">
        <f>IF(Equips_usuari!C380="","",Equips_usuari!C380)</f>
        <v/>
      </c>
      <c r="D380" s="3" t="str">
        <f>IF(Equips_usuari!D380="","",Equips_usuari!D380)</f>
        <v/>
      </c>
      <c r="E380" s="3" t="str">
        <f>IF(Equips_usuari!F380="","",Equips_usuari!F380)</f>
        <v/>
      </c>
      <c r="F380" s="3" t="str">
        <f>IF($C380="","",SUMIFS(Resultats_jugadores!$C:$C,Resultats_jugadores!$A:$A,$A380,Resultats_jugadores!$B:$B,$C380))</f>
        <v/>
      </c>
      <c r="G380" s="3" t="str">
        <f>IF($C380="","",SUMIFS(Resultats_jugadores!$D:$D,Resultats_jugadores!$A:$A,$A380,Resultats_jugadores!$B:$B,$C380))</f>
        <v/>
      </c>
      <c r="H380" s="3" t="str">
        <f t="shared" si="3"/>
        <v/>
      </c>
      <c r="I380" s="3" t="str">
        <f t="array" ref="I380">IF($C380="","",IFERROR(INDEX(Partits!$C:$C,MATCH($A380&amp;"_"&amp;$D380,Partits!$D:$D,0)),""))</f>
        <v/>
      </c>
      <c r="J380" s="3" t="str">
        <f t="shared" si="4"/>
        <v/>
      </c>
      <c r="K380" s="3" t="str">
        <f t="shared" si="5"/>
        <v/>
      </c>
      <c r="L380" s="3" t="str">
        <f t="shared" si="6"/>
        <v/>
      </c>
      <c r="M380" s="3" t="str">
        <f t="shared" si="7"/>
        <v/>
      </c>
    </row>
    <row r="381" ht="15.0" customHeight="1">
      <c r="A381" s="3" t="str">
        <f>IF(Equips_usuari!A381="","",Equips_usuari!A381)</f>
        <v/>
      </c>
      <c r="B381" s="3" t="str">
        <f>IF(Equips_usuari!B381="","",Equips_usuari!B381)</f>
        <v/>
      </c>
      <c r="C381" s="3" t="str">
        <f>IF(Equips_usuari!C381="","",Equips_usuari!C381)</f>
        <v/>
      </c>
      <c r="D381" s="3" t="str">
        <f>IF(Equips_usuari!D381="","",Equips_usuari!D381)</f>
        <v/>
      </c>
      <c r="E381" s="3" t="str">
        <f>IF(Equips_usuari!F381="","",Equips_usuari!F381)</f>
        <v/>
      </c>
      <c r="F381" s="3" t="str">
        <f>IF($C381="","",SUMIFS(Resultats_jugadores!$C:$C,Resultats_jugadores!$A:$A,$A381,Resultats_jugadores!$B:$B,$C381))</f>
        <v/>
      </c>
      <c r="G381" s="3" t="str">
        <f>IF($C381="","",SUMIFS(Resultats_jugadores!$D:$D,Resultats_jugadores!$A:$A,$A381,Resultats_jugadores!$B:$B,$C381))</f>
        <v/>
      </c>
      <c r="H381" s="3" t="str">
        <f t="shared" si="3"/>
        <v/>
      </c>
      <c r="I381" s="3" t="str">
        <f t="array" ref="I381">IF($C381="","",IFERROR(INDEX(Partits!$C:$C,MATCH($A381&amp;"_"&amp;$D381,Partits!$D:$D,0)),""))</f>
        <v/>
      </c>
      <c r="J381" s="3" t="str">
        <f t="shared" si="4"/>
        <v/>
      </c>
      <c r="K381" s="3" t="str">
        <f t="shared" si="5"/>
        <v/>
      </c>
      <c r="L381" s="3" t="str">
        <f t="shared" si="6"/>
        <v/>
      </c>
      <c r="M381" s="3" t="str">
        <f t="shared" si="7"/>
        <v/>
      </c>
    </row>
    <row r="382" ht="15.0" customHeight="1">
      <c r="A382" s="3" t="str">
        <f>IF(Equips_usuari!A382="","",Equips_usuari!A382)</f>
        <v/>
      </c>
      <c r="B382" s="3" t="str">
        <f>IF(Equips_usuari!B382="","",Equips_usuari!B382)</f>
        <v/>
      </c>
      <c r="C382" s="3" t="str">
        <f>IF(Equips_usuari!C382="","",Equips_usuari!C382)</f>
        <v/>
      </c>
      <c r="D382" s="3" t="str">
        <f>IF(Equips_usuari!D382="","",Equips_usuari!D382)</f>
        <v/>
      </c>
      <c r="E382" s="3" t="str">
        <f>IF(Equips_usuari!F382="","",Equips_usuari!F382)</f>
        <v/>
      </c>
      <c r="F382" s="3" t="str">
        <f>IF($C382="","",SUMIFS(Resultats_jugadores!$C:$C,Resultats_jugadores!$A:$A,$A382,Resultats_jugadores!$B:$B,$C382))</f>
        <v/>
      </c>
      <c r="G382" s="3" t="str">
        <f>IF($C382="","",SUMIFS(Resultats_jugadores!$D:$D,Resultats_jugadores!$A:$A,$A382,Resultats_jugadores!$B:$B,$C382))</f>
        <v/>
      </c>
      <c r="H382" s="3" t="str">
        <f t="shared" si="3"/>
        <v/>
      </c>
      <c r="I382" s="3" t="str">
        <f t="array" ref="I382">IF($C382="","",IFERROR(INDEX(Partits!$C:$C,MATCH($A382&amp;"_"&amp;$D382,Partits!$D:$D,0)),""))</f>
        <v/>
      </c>
      <c r="J382" s="3" t="str">
        <f t="shared" si="4"/>
        <v/>
      </c>
      <c r="K382" s="3" t="str">
        <f t="shared" si="5"/>
        <v/>
      </c>
      <c r="L382" s="3" t="str">
        <f t="shared" si="6"/>
        <v/>
      </c>
      <c r="M382" s="3" t="str">
        <f t="shared" si="7"/>
        <v/>
      </c>
    </row>
    <row r="383" ht="15.0" customHeight="1">
      <c r="A383" s="3" t="str">
        <f>IF(Equips_usuari!A383="","",Equips_usuari!A383)</f>
        <v/>
      </c>
      <c r="B383" s="3" t="str">
        <f>IF(Equips_usuari!B383="","",Equips_usuari!B383)</f>
        <v/>
      </c>
      <c r="C383" s="3" t="str">
        <f>IF(Equips_usuari!C383="","",Equips_usuari!C383)</f>
        <v/>
      </c>
      <c r="D383" s="3" t="str">
        <f>IF(Equips_usuari!D383="","",Equips_usuari!D383)</f>
        <v/>
      </c>
      <c r="E383" s="3" t="str">
        <f>IF(Equips_usuari!F383="","",Equips_usuari!F383)</f>
        <v/>
      </c>
      <c r="F383" s="3" t="str">
        <f>IF($C383="","",SUMIFS(Resultats_jugadores!$C:$C,Resultats_jugadores!$A:$A,$A383,Resultats_jugadores!$B:$B,$C383))</f>
        <v/>
      </c>
      <c r="G383" s="3" t="str">
        <f>IF($C383="","",SUMIFS(Resultats_jugadores!$D:$D,Resultats_jugadores!$A:$A,$A383,Resultats_jugadores!$B:$B,$C383))</f>
        <v/>
      </c>
      <c r="H383" s="3" t="str">
        <f t="shared" si="3"/>
        <v/>
      </c>
      <c r="I383" s="3" t="str">
        <f t="array" ref="I383">IF($C383="","",IFERROR(INDEX(Partits!$C:$C,MATCH($A383&amp;"_"&amp;$D383,Partits!$D:$D,0)),""))</f>
        <v/>
      </c>
      <c r="J383" s="3" t="str">
        <f t="shared" si="4"/>
        <v/>
      </c>
      <c r="K383" s="3" t="str">
        <f t="shared" si="5"/>
        <v/>
      </c>
      <c r="L383" s="3" t="str">
        <f t="shared" si="6"/>
        <v/>
      </c>
      <c r="M383" s="3" t="str">
        <f t="shared" si="7"/>
        <v/>
      </c>
    </row>
    <row r="384" ht="15.0" customHeight="1">
      <c r="A384" s="3" t="str">
        <f>IF(Equips_usuari!A384="","",Equips_usuari!A384)</f>
        <v/>
      </c>
      <c r="B384" s="3" t="str">
        <f>IF(Equips_usuari!B384="","",Equips_usuari!B384)</f>
        <v/>
      </c>
      <c r="C384" s="3" t="str">
        <f>IF(Equips_usuari!C384="","",Equips_usuari!C384)</f>
        <v/>
      </c>
      <c r="D384" s="3" t="str">
        <f>IF(Equips_usuari!D384="","",Equips_usuari!D384)</f>
        <v/>
      </c>
      <c r="E384" s="3" t="str">
        <f>IF(Equips_usuari!F384="","",Equips_usuari!F384)</f>
        <v/>
      </c>
      <c r="F384" s="3" t="str">
        <f>IF($C384="","",SUMIFS(Resultats_jugadores!$C:$C,Resultats_jugadores!$A:$A,$A384,Resultats_jugadores!$B:$B,$C384))</f>
        <v/>
      </c>
      <c r="G384" s="3" t="str">
        <f>IF($C384="","",SUMIFS(Resultats_jugadores!$D:$D,Resultats_jugadores!$A:$A,$A384,Resultats_jugadores!$B:$B,$C384))</f>
        <v/>
      </c>
      <c r="H384" s="3" t="str">
        <f t="shared" si="3"/>
        <v/>
      </c>
      <c r="I384" s="3" t="str">
        <f t="array" ref="I384">IF($C384="","",IFERROR(INDEX(Partits!$C:$C,MATCH($A384&amp;"_"&amp;$D384,Partits!$D:$D,0)),""))</f>
        <v/>
      </c>
      <c r="J384" s="3" t="str">
        <f t="shared" si="4"/>
        <v/>
      </c>
      <c r="K384" s="3" t="str">
        <f t="shared" si="5"/>
        <v/>
      </c>
      <c r="L384" s="3" t="str">
        <f t="shared" si="6"/>
        <v/>
      </c>
      <c r="M384" s="3" t="str">
        <f t="shared" si="7"/>
        <v/>
      </c>
    </row>
    <row r="385" ht="15.0" customHeight="1">
      <c r="A385" s="3" t="str">
        <f>IF(Equips_usuari!A385="","",Equips_usuari!A385)</f>
        <v/>
      </c>
      <c r="B385" s="3" t="str">
        <f>IF(Equips_usuari!B385="","",Equips_usuari!B385)</f>
        <v/>
      </c>
      <c r="C385" s="3" t="str">
        <f>IF(Equips_usuari!C385="","",Equips_usuari!C385)</f>
        <v/>
      </c>
      <c r="D385" s="3" t="str">
        <f>IF(Equips_usuari!D385="","",Equips_usuari!D385)</f>
        <v/>
      </c>
      <c r="E385" s="3" t="str">
        <f>IF(Equips_usuari!F385="","",Equips_usuari!F385)</f>
        <v/>
      </c>
      <c r="F385" s="3" t="str">
        <f>IF($C385="","",SUMIFS(Resultats_jugadores!$C:$C,Resultats_jugadores!$A:$A,$A385,Resultats_jugadores!$B:$B,$C385))</f>
        <v/>
      </c>
      <c r="G385" s="3" t="str">
        <f>IF($C385="","",SUMIFS(Resultats_jugadores!$D:$D,Resultats_jugadores!$A:$A,$A385,Resultats_jugadores!$B:$B,$C385))</f>
        <v/>
      </c>
      <c r="H385" s="3" t="str">
        <f t="shared" si="3"/>
        <v/>
      </c>
      <c r="I385" s="3" t="str">
        <f t="array" ref="I385">IF($C385="","",IFERROR(INDEX(Partits!$C:$C,MATCH($A385&amp;"_"&amp;$D385,Partits!$D:$D,0)),""))</f>
        <v/>
      </c>
      <c r="J385" s="3" t="str">
        <f t="shared" si="4"/>
        <v/>
      </c>
      <c r="K385" s="3" t="str">
        <f t="shared" si="5"/>
        <v/>
      </c>
      <c r="L385" s="3" t="str">
        <f t="shared" si="6"/>
        <v/>
      </c>
      <c r="M385" s="3" t="str">
        <f t="shared" si="7"/>
        <v/>
      </c>
    </row>
    <row r="386" ht="15.0" customHeight="1">
      <c r="A386" s="3" t="str">
        <f>IF(Equips_usuari!A386="","",Equips_usuari!A386)</f>
        <v/>
      </c>
      <c r="B386" s="3" t="str">
        <f>IF(Equips_usuari!B386="","",Equips_usuari!B386)</f>
        <v/>
      </c>
      <c r="C386" s="3" t="str">
        <f>IF(Equips_usuari!C386="","",Equips_usuari!C386)</f>
        <v/>
      </c>
      <c r="D386" s="3" t="str">
        <f>IF(Equips_usuari!D386="","",Equips_usuari!D386)</f>
        <v/>
      </c>
      <c r="E386" s="3" t="str">
        <f>IF(Equips_usuari!F386="","",Equips_usuari!F386)</f>
        <v/>
      </c>
      <c r="F386" s="3" t="str">
        <f>IF($C386="","",SUMIFS(Resultats_jugadores!$C:$C,Resultats_jugadores!$A:$A,$A386,Resultats_jugadores!$B:$B,$C386))</f>
        <v/>
      </c>
      <c r="G386" s="3" t="str">
        <f>IF($C386="","",SUMIFS(Resultats_jugadores!$D:$D,Resultats_jugadores!$A:$A,$A386,Resultats_jugadores!$B:$B,$C386))</f>
        <v/>
      </c>
      <c r="H386" s="3" t="str">
        <f t="shared" si="3"/>
        <v/>
      </c>
      <c r="I386" s="3" t="str">
        <f t="array" ref="I386">IF($C386="","",IFERROR(INDEX(Partits!$C:$C,MATCH($A386&amp;"_"&amp;$D386,Partits!$D:$D,0)),""))</f>
        <v/>
      </c>
      <c r="J386" s="3" t="str">
        <f t="shared" si="4"/>
        <v/>
      </c>
      <c r="K386" s="3" t="str">
        <f t="shared" si="5"/>
        <v/>
      </c>
      <c r="L386" s="3" t="str">
        <f t="shared" si="6"/>
        <v/>
      </c>
      <c r="M386" s="3" t="str">
        <f t="shared" si="7"/>
        <v/>
      </c>
    </row>
    <row r="387" ht="15.0" customHeight="1">
      <c r="A387" s="3" t="str">
        <f>IF(Equips_usuari!A387="","",Equips_usuari!A387)</f>
        <v/>
      </c>
      <c r="B387" s="3" t="str">
        <f>IF(Equips_usuari!B387="","",Equips_usuari!B387)</f>
        <v/>
      </c>
      <c r="C387" s="3" t="str">
        <f>IF(Equips_usuari!C387="","",Equips_usuari!C387)</f>
        <v/>
      </c>
      <c r="D387" s="3" t="str">
        <f>IF(Equips_usuari!D387="","",Equips_usuari!D387)</f>
        <v/>
      </c>
      <c r="E387" s="3" t="str">
        <f>IF(Equips_usuari!F387="","",Equips_usuari!F387)</f>
        <v/>
      </c>
      <c r="F387" s="3" t="str">
        <f>IF($C387="","",SUMIFS(Resultats_jugadores!$C:$C,Resultats_jugadores!$A:$A,$A387,Resultats_jugadores!$B:$B,$C387))</f>
        <v/>
      </c>
      <c r="G387" s="3" t="str">
        <f>IF($C387="","",SUMIFS(Resultats_jugadores!$D:$D,Resultats_jugadores!$A:$A,$A387,Resultats_jugadores!$B:$B,$C387))</f>
        <v/>
      </c>
      <c r="H387" s="3" t="str">
        <f t="shared" si="3"/>
        <v/>
      </c>
      <c r="I387" s="3" t="str">
        <f t="array" ref="I387">IF($C387="","",IFERROR(INDEX(Partits!$C:$C,MATCH($A387&amp;"_"&amp;$D387,Partits!$D:$D,0)),""))</f>
        <v/>
      </c>
      <c r="J387" s="3" t="str">
        <f t="shared" si="4"/>
        <v/>
      </c>
      <c r="K387" s="3" t="str">
        <f t="shared" si="5"/>
        <v/>
      </c>
      <c r="L387" s="3" t="str">
        <f t="shared" si="6"/>
        <v/>
      </c>
      <c r="M387" s="3" t="str">
        <f t="shared" si="7"/>
        <v/>
      </c>
    </row>
    <row r="388" ht="15.0" customHeight="1">
      <c r="A388" s="3" t="str">
        <f>IF(Equips_usuari!A388="","",Equips_usuari!A388)</f>
        <v/>
      </c>
      <c r="B388" s="3" t="str">
        <f>IF(Equips_usuari!B388="","",Equips_usuari!B388)</f>
        <v/>
      </c>
      <c r="C388" s="3" t="str">
        <f>IF(Equips_usuari!C388="","",Equips_usuari!C388)</f>
        <v/>
      </c>
      <c r="D388" s="3" t="str">
        <f>IF(Equips_usuari!D388="","",Equips_usuari!D388)</f>
        <v/>
      </c>
      <c r="E388" s="3" t="str">
        <f>IF(Equips_usuari!F388="","",Equips_usuari!F388)</f>
        <v/>
      </c>
      <c r="F388" s="3" t="str">
        <f>IF($C388="","",SUMIFS(Resultats_jugadores!$C:$C,Resultats_jugadores!$A:$A,$A388,Resultats_jugadores!$B:$B,$C388))</f>
        <v/>
      </c>
      <c r="G388" s="3" t="str">
        <f>IF($C388="","",SUMIFS(Resultats_jugadores!$D:$D,Resultats_jugadores!$A:$A,$A388,Resultats_jugadores!$B:$B,$C388))</f>
        <v/>
      </c>
      <c r="H388" s="3" t="str">
        <f t="shared" si="3"/>
        <v/>
      </c>
      <c r="I388" s="3" t="str">
        <f t="array" ref="I388">IF($C388="","",IFERROR(INDEX(Partits!$C:$C,MATCH($A388&amp;"_"&amp;$D388,Partits!$D:$D,0)),""))</f>
        <v/>
      </c>
      <c r="J388" s="3" t="str">
        <f t="shared" si="4"/>
        <v/>
      </c>
      <c r="K388" s="3" t="str">
        <f t="shared" si="5"/>
        <v/>
      </c>
      <c r="L388" s="3" t="str">
        <f t="shared" si="6"/>
        <v/>
      </c>
      <c r="M388" s="3" t="str">
        <f t="shared" si="7"/>
        <v/>
      </c>
    </row>
    <row r="389" ht="15.0" customHeight="1">
      <c r="A389" s="3" t="str">
        <f>IF(Equips_usuari!A389="","",Equips_usuari!A389)</f>
        <v/>
      </c>
      <c r="B389" s="3" t="str">
        <f>IF(Equips_usuari!B389="","",Equips_usuari!B389)</f>
        <v/>
      </c>
      <c r="C389" s="3" t="str">
        <f>IF(Equips_usuari!C389="","",Equips_usuari!C389)</f>
        <v/>
      </c>
      <c r="D389" s="3" t="str">
        <f>IF(Equips_usuari!D389="","",Equips_usuari!D389)</f>
        <v/>
      </c>
      <c r="E389" s="3" t="str">
        <f>IF(Equips_usuari!F389="","",Equips_usuari!F389)</f>
        <v/>
      </c>
      <c r="F389" s="3" t="str">
        <f>IF($C389="","",SUMIFS(Resultats_jugadores!$C:$C,Resultats_jugadores!$A:$A,$A389,Resultats_jugadores!$B:$B,$C389))</f>
        <v/>
      </c>
      <c r="G389" s="3" t="str">
        <f>IF($C389="","",SUMIFS(Resultats_jugadores!$D:$D,Resultats_jugadores!$A:$A,$A389,Resultats_jugadores!$B:$B,$C389))</f>
        <v/>
      </c>
      <c r="H389" s="3" t="str">
        <f t="shared" si="3"/>
        <v/>
      </c>
      <c r="I389" s="3" t="str">
        <f t="array" ref="I389">IF($C389="","",IFERROR(INDEX(Partits!$C:$C,MATCH($A389&amp;"_"&amp;$D389,Partits!$D:$D,0)),""))</f>
        <v/>
      </c>
      <c r="J389" s="3" t="str">
        <f t="shared" si="4"/>
        <v/>
      </c>
      <c r="K389" s="3" t="str">
        <f t="shared" si="5"/>
        <v/>
      </c>
      <c r="L389" s="3" t="str">
        <f t="shared" si="6"/>
        <v/>
      </c>
      <c r="M389" s="3" t="str">
        <f t="shared" si="7"/>
        <v/>
      </c>
    </row>
    <row r="390" ht="15.0" customHeight="1">
      <c r="A390" s="3" t="str">
        <f>IF(Equips_usuari!A390="","",Equips_usuari!A390)</f>
        <v/>
      </c>
      <c r="B390" s="3" t="str">
        <f>IF(Equips_usuari!B390="","",Equips_usuari!B390)</f>
        <v/>
      </c>
      <c r="C390" s="3" t="str">
        <f>IF(Equips_usuari!C390="","",Equips_usuari!C390)</f>
        <v/>
      </c>
      <c r="D390" s="3" t="str">
        <f>IF(Equips_usuari!D390="","",Equips_usuari!D390)</f>
        <v/>
      </c>
      <c r="E390" s="3" t="str">
        <f>IF(Equips_usuari!F390="","",Equips_usuari!F390)</f>
        <v/>
      </c>
      <c r="F390" s="3" t="str">
        <f>IF($C390="","",SUMIFS(Resultats_jugadores!$C:$C,Resultats_jugadores!$A:$A,$A390,Resultats_jugadores!$B:$B,$C390))</f>
        <v/>
      </c>
      <c r="G390" s="3" t="str">
        <f>IF($C390="","",SUMIFS(Resultats_jugadores!$D:$D,Resultats_jugadores!$A:$A,$A390,Resultats_jugadores!$B:$B,$C390))</f>
        <v/>
      </c>
      <c r="H390" s="3" t="str">
        <f t="shared" si="3"/>
        <v/>
      </c>
      <c r="I390" s="3" t="str">
        <f t="array" ref="I390">IF($C390="","",IFERROR(INDEX(Partits!$C:$C,MATCH($A390&amp;"_"&amp;$D390,Partits!$D:$D,0)),""))</f>
        <v/>
      </c>
      <c r="J390" s="3" t="str">
        <f t="shared" si="4"/>
        <v/>
      </c>
      <c r="K390" s="3" t="str">
        <f t="shared" si="5"/>
        <v/>
      </c>
      <c r="L390" s="3" t="str">
        <f t="shared" si="6"/>
        <v/>
      </c>
      <c r="M390" s="3" t="str">
        <f t="shared" si="7"/>
        <v/>
      </c>
    </row>
    <row r="391" ht="15.0" customHeight="1">
      <c r="A391" s="3" t="str">
        <f>IF(Equips_usuari!A391="","",Equips_usuari!A391)</f>
        <v/>
      </c>
      <c r="B391" s="3" t="str">
        <f>IF(Equips_usuari!B391="","",Equips_usuari!B391)</f>
        <v/>
      </c>
      <c r="C391" s="3" t="str">
        <f>IF(Equips_usuari!C391="","",Equips_usuari!C391)</f>
        <v/>
      </c>
      <c r="D391" s="3" t="str">
        <f>IF(Equips_usuari!D391="","",Equips_usuari!D391)</f>
        <v/>
      </c>
      <c r="E391" s="3" t="str">
        <f>IF(Equips_usuari!F391="","",Equips_usuari!F391)</f>
        <v/>
      </c>
      <c r="F391" s="3" t="str">
        <f>IF($C391="","",SUMIFS(Resultats_jugadores!$C:$C,Resultats_jugadores!$A:$A,$A391,Resultats_jugadores!$B:$B,$C391))</f>
        <v/>
      </c>
      <c r="G391" s="3" t="str">
        <f>IF($C391="","",SUMIFS(Resultats_jugadores!$D:$D,Resultats_jugadores!$A:$A,$A391,Resultats_jugadores!$B:$B,$C391))</f>
        <v/>
      </c>
      <c r="H391" s="3" t="str">
        <f t="shared" si="3"/>
        <v/>
      </c>
      <c r="I391" s="3" t="str">
        <f t="array" ref="I391">IF($C391="","",IFERROR(INDEX(Partits!$C:$C,MATCH($A391&amp;"_"&amp;$D391,Partits!$D:$D,0)),""))</f>
        <v/>
      </c>
      <c r="J391" s="3" t="str">
        <f t="shared" si="4"/>
        <v/>
      </c>
      <c r="K391" s="3" t="str">
        <f t="shared" si="5"/>
        <v/>
      </c>
      <c r="L391" s="3" t="str">
        <f t="shared" si="6"/>
        <v/>
      </c>
      <c r="M391" s="3" t="str">
        <f t="shared" si="7"/>
        <v/>
      </c>
    </row>
    <row r="392" ht="15.0" customHeight="1">
      <c r="A392" s="3" t="str">
        <f>IF(Equips_usuari!A392="","",Equips_usuari!A392)</f>
        <v/>
      </c>
      <c r="B392" s="3" t="str">
        <f>IF(Equips_usuari!B392="","",Equips_usuari!B392)</f>
        <v/>
      </c>
      <c r="C392" s="3" t="str">
        <f>IF(Equips_usuari!C392="","",Equips_usuari!C392)</f>
        <v/>
      </c>
      <c r="D392" s="3" t="str">
        <f>IF(Equips_usuari!D392="","",Equips_usuari!D392)</f>
        <v/>
      </c>
      <c r="E392" s="3" t="str">
        <f>IF(Equips_usuari!F392="","",Equips_usuari!F392)</f>
        <v/>
      </c>
      <c r="F392" s="3" t="str">
        <f>IF($C392="","",SUMIFS(Resultats_jugadores!$C:$C,Resultats_jugadores!$A:$A,$A392,Resultats_jugadores!$B:$B,$C392))</f>
        <v/>
      </c>
      <c r="G392" s="3" t="str">
        <f>IF($C392="","",SUMIFS(Resultats_jugadores!$D:$D,Resultats_jugadores!$A:$A,$A392,Resultats_jugadores!$B:$B,$C392))</f>
        <v/>
      </c>
      <c r="H392" s="3" t="str">
        <f t="shared" si="3"/>
        <v/>
      </c>
      <c r="I392" s="3" t="str">
        <f t="array" ref="I392">IF($C392="","",IFERROR(INDEX(Partits!$C:$C,MATCH($A392&amp;"_"&amp;$D392,Partits!$D:$D,0)),""))</f>
        <v/>
      </c>
      <c r="J392" s="3" t="str">
        <f t="shared" si="4"/>
        <v/>
      </c>
      <c r="K392" s="3" t="str">
        <f t="shared" si="5"/>
        <v/>
      </c>
      <c r="L392" s="3" t="str">
        <f t="shared" si="6"/>
        <v/>
      </c>
      <c r="M392" s="3" t="str">
        <f t="shared" si="7"/>
        <v/>
      </c>
    </row>
    <row r="393" ht="15.0" customHeight="1">
      <c r="A393" s="3" t="str">
        <f>IF(Equips_usuari!A393="","",Equips_usuari!A393)</f>
        <v/>
      </c>
      <c r="B393" s="3" t="str">
        <f>IF(Equips_usuari!B393="","",Equips_usuari!B393)</f>
        <v/>
      </c>
      <c r="C393" s="3" t="str">
        <f>IF(Equips_usuari!C393="","",Equips_usuari!C393)</f>
        <v/>
      </c>
      <c r="D393" s="3" t="str">
        <f>IF(Equips_usuari!D393="","",Equips_usuari!D393)</f>
        <v/>
      </c>
      <c r="E393" s="3" t="str">
        <f>IF(Equips_usuari!F393="","",Equips_usuari!F393)</f>
        <v/>
      </c>
      <c r="F393" s="3" t="str">
        <f>IF($C393="","",SUMIFS(Resultats_jugadores!$C:$C,Resultats_jugadores!$A:$A,$A393,Resultats_jugadores!$B:$B,$C393))</f>
        <v/>
      </c>
      <c r="G393" s="3" t="str">
        <f>IF($C393="","",SUMIFS(Resultats_jugadores!$D:$D,Resultats_jugadores!$A:$A,$A393,Resultats_jugadores!$B:$B,$C393))</f>
        <v/>
      </c>
      <c r="H393" s="3" t="str">
        <f t="shared" si="3"/>
        <v/>
      </c>
      <c r="I393" s="3" t="str">
        <f t="array" ref="I393">IF($C393="","",IFERROR(INDEX(Partits!$C:$C,MATCH($A393&amp;"_"&amp;$D393,Partits!$D:$D,0)),""))</f>
        <v/>
      </c>
      <c r="J393" s="3" t="str">
        <f t="shared" si="4"/>
        <v/>
      </c>
      <c r="K393" s="3" t="str">
        <f t="shared" si="5"/>
        <v/>
      </c>
      <c r="L393" s="3" t="str">
        <f t="shared" si="6"/>
        <v/>
      </c>
      <c r="M393" s="3" t="str">
        <f t="shared" si="7"/>
        <v/>
      </c>
    </row>
    <row r="394" ht="15.0" customHeight="1">
      <c r="A394" s="3" t="str">
        <f>IF(Equips_usuari!A394="","",Equips_usuari!A394)</f>
        <v/>
      </c>
      <c r="B394" s="3" t="str">
        <f>IF(Equips_usuari!B394="","",Equips_usuari!B394)</f>
        <v/>
      </c>
      <c r="C394" s="3" t="str">
        <f>IF(Equips_usuari!C394="","",Equips_usuari!C394)</f>
        <v/>
      </c>
      <c r="D394" s="3" t="str">
        <f>IF(Equips_usuari!D394="","",Equips_usuari!D394)</f>
        <v/>
      </c>
      <c r="E394" s="3" t="str">
        <f>IF(Equips_usuari!F394="","",Equips_usuari!F394)</f>
        <v/>
      </c>
      <c r="F394" s="3" t="str">
        <f>IF($C394="","",SUMIFS(Resultats_jugadores!$C:$C,Resultats_jugadores!$A:$A,$A394,Resultats_jugadores!$B:$B,$C394))</f>
        <v/>
      </c>
      <c r="G394" s="3" t="str">
        <f>IF($C394="","",SUMIFS(Resultats_jugadores!$D:$D,Resultats_jugadores!$A:$A,$A394,Resultats_jugadores!$B:$B,$C394))</f>
        <v/>
      </c>
      <c r="H394" s="3" t="str">
        <f t="shared" si="3"/>
        <v/>
      </c>
      <c r="I394" s="3" t="str">
        <f t="array" ref="I394">IF($C394="","",IFERROR(INDEX(Partits!$C:$C,MATCH($A394&amp;"_"&amp;$D394,Partits!$D:$D,0)),""))</f>
        <v/>
      </c>
      <c r="J394" s="3" t="str">
        <f t="shared" si="4"/>
        <v/>
      </c>
      <c r="K394" s="3" t="str">
        <f t="shared" si="5"/>
        <v/>
      </c>
      <c r="L394" s="3" t="str">
        <f t="shared" si="6"/>
        <v/>
      </c>
      <c r="M394" s="3" t="str">
        <f t="shared" si="7"/>
        <v/>
      </c>
    </row>
    <row r="395" ht="15.0" customHeight="1">
      <c r="A395" s="3" t="str">
        <f>IF(Equips_usuari!A395="","",Equips_usuari!A395)</f>
        <v/>
      </c>
      <c r="B395" s="3" t="str">
        <f>IF(Equips_usuari!B395="","",Equips_usuari!B395)</f>
        <v/>
      </c>
      <c r="C395" s="3" t="str">
        <f>IF(Equips_usuari!C395="","",Equips_usuari!C395)</f>
        <v/>
      </c>
      <c r="D395" s="3" t="str">
        <f>IF(Equips_usuari!D395="","",Equips_usuari!D395)</f>
        <v/>
      </c>
      <c r="E395" s="3" t="str">
        <f>IF(Equips_usuari!F395="","",Equips_usuari!F395)</f>
        <v/>
      </c>
      <c r="F395" s="3" t="str">
        <f>IF($C395="","",SUMIFS(Resultats_jugadores!$C:$C,Resultats_jugadores!$A:$A,$A395,Resultats_jugadores!$B:$B,$C395))</f>
        <v/>
      </c>
      <c r="G395" s="3" t="str">
        <f>IF($C395="","",SUMIFS(Resultats_jugadores!$D:$D,Resultats_jugadores!$A:$A,$A395,Resultats_jugadores!$B:$B,$C395))</f>
        <v/>
      </c>
      <c r="H395" s="3" t="str">
        <f t="shared" si="3"/>
        <v/>
      </c>
      <c r="I395" s="3" t="str">
        <f t="array" ref="I395">IF($C395="","",IFERROR(INDEX(Partits!$C:$C,MATCH($A395&amp;"_"&amp;$D395,Partits!$D:$D,0)),""))</f>
        <v/>
      </c>
      <c r="J395" s="3" t="str">
        <f t="shared" si="4"/>
        <v/>
      </c>
      <c r="K395" s="3" t="str">
        <f t="shared" si="5"/>
        <v/>
      </c>
      <c r="L395" s="3" t="str">
        <f t="shared" si="6"/>
        <v/>
      </c>
      <c r="M395" s="3" t="str">
        <f t="shared" si="7"/>
        <v/>
      </c>
    </row>
    <row r="396" ht="15.0" customHeight="1">
      <c r="A396" s="3" t="str">
        <f>IF(Equips_usuari!A396="","",Equips_usuari!A396)</f>
        <v/>
      </c>
      <c r="B396" s="3" t="str">
        <f>IF(Equips_usuari!B396="","",Equips_usuari!B396)</f>
        <v/>
      </c>
      <c r="C396" s="3" t="str">
        <f>IF(Equips_usuari!C396="","",Equips_usuari!C396)</f>
        <v/>
      </c>
      <c r="D396" s="3" t="str">
        <f>IF(Equips_usuari!D396="","",Equips_usuari!D396)</f>
        <v/>
      </c>
      <c r="E396" s="3" t="str">
        <f>IF(Equips_usuari!F396="","",Equips_usuari!F396)</f>
        <v/>
      </c>
      <c r="F396" s="3" t="str">
        <f>IF($C396="","",SUMIFS(Resultats_jugadores!$C:$C,Resultats_jugadores!$A:$A,$A396,Resultats_jugadores!$B:$B,$C396))</f>
        <v/>
      </c>
      <c r="G396" s="3" t="str">
        <f>IF($C396="","",SUMIFS(Resultats_jugadores!$D:$D,Resultats_jugadores!$A:$A,$A396,Resultats_jugadores!$B:$B,$C396))</f>
        <v/>
      </c>
      <c r="H396" s="3" t="str">
        <f t="shared" si="3"/>
        <v/>
      </c>
      <c r="I396" s="3" t="str">
        <f t="array" ref="I396">IF($C396="","",IFERROR(INDEX(Partits!$C:$C,MATCH($A396&amp;"_"&amp;$D396,Partits!$D:$D,0)),""))</f>
        <v/>
      </c>
      <c r="J396" s="3" t="str">
        <f t="shared" si="4"/>
        <v/>
      </c>
      <c r="K396" s="3" t="str">
        <f t="shared" si="5"/>
        <v/>
      </c>
      <c r="L396" s="3" t="str">
        <f t="shared" si="6"/>
        <v/>
      </c>
      <c r="M396" s="3" t="str">
        <f t="shared" si="7"/>
        <v/>
      </c>
    </row>
    <row r="397" ht="15.0" customHeight="1">
      <c r="A397" s="3" t="str">
        <f>IF(Equips_usuari!A397="","",Equips_usuari!A397)</f>
        <v/>
      </c>
      <c r="B397" s="3" t="str">
        <f>IF(Equips_usuari!B397="","",Equips_usuari!B397)</f>
        <v/>
      </c>
      <c r="C397" s="3" t="str">
        <f>IF(Equips_usuari!C397="","",Equips_usuari!C397)</f>
        <v/>
      </c>
      <c r="D397" s="3" t="str">
        <f>IF(Equips_usuari!D397="","",Equips_usuari!D397)</f>
        <v/>
      </c>
      <c r="E397" s="3" t="str">
        <f>IF(Equips_usuari!F397="","",Equips_usuari!F397)</f>
        <v/>
      </c>
      <c r="F397" s="3" t="str">
        <f>IF($C397="","",SUMIFS(Resultats_jugadores!$C:$C,Resultats_jugadores!$A:$A,$A397,Resultats_jugadores!$B:$B,$C397))</f>
        <v/>
      </c>
      <c r="G397" s="3" t="str">
        <f>IF($C397="","",SUMIFS(Resultats_jugadores!$D:$D,Resultats_jugadores!$A:$A,$A397,Resultats_jugadores!$B:$B,$C397))</f>
        <v/>
      </c>
      <c r="H397" s="3" t="str">
        <f t="shared" si="3"/>
        <v/>
      </c>
      <c r="I397" s="3" t="str">
        <f t="array" ref="I397">IF($C397="","",IFERROR(INDEX(Partits!$C:$C,MATCH($A397&amp;"_"&amp;$D397,Partits!$D:$D,0)),""))</f>
        <v/>
      </c>
      <c r="J397" s="3" t="str">
        <f t="shared" si="4"/>
        <v/>
      </c>
      <c r="K397" s="3" t="str">
        <f t="shared" si="5"/>
        <v/>
      </c>
      <c r="L397" s="3" t="str">
        <f t="shared" si="6"/>
        <v/>
      </c>
      <c r="M397" s="3" t="str">
        <f t="shared" si="7"/>
        <v/>
      </c>
    </row>
    <row r="398" ht="15.0" customHeight="1">
      <c r="A398" s="3" t="str">
        <f>IF(Equips_usuari!A398="","",Equips_usuari!A398)</f>
        <v/>
      </c>
      <c r="B398" s="3" t="str">
        <f>IF(Equips_usuari!B398="","",Equips_usuari!B398)</f>
        <v/>
      </c>
      <c r="C398" s="3" t="str">
        <f>IF(Equips_usuari!C398="","",Equips_usuari!C398)</f>
        <v/>
      </c>
      <c r="D398" s="3" t="str">
        <f>IF(Equips_usuari!D398="","",Equips_usuari!D398)</f>
        <v/>
      </c>
      <c r="E398" s="3" t="str">
        <f>IF(Equips_usuari!F398="","",Equips_usuari!F398)</f>
        <v/>
      </c>
      <c r="F398" s="3" t="str">
        <f>IF($C398="","",SUMIFS(Resultats_jugadores!$C:$C,Resultats_jugadores!$A:$A,$A398,Resultats_jugadores!$B:$B,$C398))</f>
        <v/>
      </c>
      <c r="G398" s="3" t="str">
        <f>IF($C398="","",SUMIFS(Resultats_jugadores!$D:$D,Resultats_jugadores!$A:$A,$A398,Resultats_jugadores!$B:$B,$C398))</f>
        <v/>
      </c>
      <c r="H398" s="3" t="str">
        <f t="shared" si="3"/>
        <v/>
      </c>
      <c r="I398" s="3" t="str">
        <f t="array" ref="I398">IF($C398="","",IFERROR(INDEX(Partits!$C:$C,MATCH($A398&amp;"_"&amp;$D398,Partits!$D:$D,0)),""))</f>
        <v/>
      </c>
      <c r="J398" s="3" t="str">
        <f t="shared" si="4"/>
        <v/>
      </c>
      <c r="K398" s="3" t="str">
        <f t="shared" si="5"/>
        <v/>
      </c>
      <c r="L398" s="3" t="str">
        <f t="shared" si="6"/>
        <v/>
      </c>
      <c r="M398" s="3" t="str">
        <f t="shared" si="7"/>
        <v/>
      </c>
    </row>
    <row r="399" ht="15.0" customHeight="1">
      <c r="A399" s="3" t="str">
        <f>IF(Equips_usuari!A399="","",Equips_usuari!A399)</f>
        <v/>
      </c>
      <c r="B399" s="3" t="str">
        <f>IF(Equips_usuari!B399="","",Equips_usuari!B399)</f>
        <v/>
      </c>
      <c r="C399" s="3" t="str">
        <f>IF(Equips_usuari!C399="","",Equips_usuari!C399)</f>
        <v/>
      </c>
      <c r="D399" s="3" t="str">
        <f>IF(Equips_usuari!D399="","",Equips_usuari!D399)</f>
        <v/>
      </c>
      <c r="E399" s="3" t="str">
        <f>IF(Equips_usuari!F399="","",Equips_usuari!F399)</f>
        <v/>
      </c>
      <c r="F399" s="3" t="str">
        <f>IF($C399="","",SUMIFS(Resultats_jugadores!$C:$C,Resultats_jugadores!$A:$A,$A399,Resultats_jugadores!$B:$B,$C399))</f>
        <v/>
      </c>
      <c r="G399" s="3" t="str">
        <f>IF($C399="","",SUMIFS(Resultats_jugadores!$D:$D,Resultats_jugadores!$A:$A,$A399,Resultats_jugadores!$B:$B,$C399))</f>
        <v/>
      </c>
      <c r="H399" s="3" t="str">
        <f t="shared" si="3"/>
        <v/>
      </c>
      <c r="I399" s="3" t="str">
        <f t="array" ref="I399">IF($C399="","",IFERROR(INDEX(Partits!$C:$C,MATCH($A399&amp;"_"&amp;$D399,Partits!$D:$D,0)),""))</f>
        <v/>
      </c>
      <c r="J399" s="3" t="str">
        <f t="shared" si="4"/>
        <v/>
      </c>
      <c r="K399" s="3" t="str">
        <f t="shared" si="5"/>
        <v/>
      </c>
      <c r="L399" s="3" t="str">
        <f t="shared" si="6"/>
        <v/>
      </c>
      <c r="M399" s="3" t="str">
        <f t="shared" si="7"/>
        <v/>
      </c>
    </row>
    <row r="400" ht="15.0" customHeight="1">
      <c r="A400" s="3" t="str">
        <f>IF(Equips_usuari!A400="","",Equips_usuari!A400)</f>
        <v/>
      </c>
      <c r="B400" s="3" t="str">
        <f>IF(Equips_usuari!B400="","",Equips_usuari!B400)</f>
        <v/>
      </c>
      <c r="C400" s="3" t="str">
        <f>IF(Equips_usuari!C400="","",Equips_usuari!C400)</f>
        <v/>
      </c>
      <c r="D400" s="3" t="str">
        <f>IF(Equips_usuari!D400="","",Equips_usuari!D400)</f>
        <v/>
      </c>
      <c r="E400" s="3" t="str">
        <f>IF(Equips_usuari!F400="","",Equips_usuari!F400)</f>
        <v/>
      </c>
      <c r="F400" s="3" t="str">
        <f>IF($C400="","",SUMIFS(Resultats_jugadores!$C:$C,Resultats_jugadores!$A:$A,$A400,Resultats_jugadores!$B:$B,$C400))</f>
        <v/>
      </c>
      <c r="G400" s="3" t="str">
        <f>IF($C400="","",SUMIFS(Resultats_jugadores!$D:$D,Resultats_jugadores!$A:$A,$A400,Resultats_jugadores!$B:$B,$C400))</f>
        <v/>
      </c>
      <c r="H400" s="3" t="str">
        <f t="shared" si="3"/>
        <v/>
      </c>
      <c r="I400" s="3" t="str">
        <f t="array" ref="I400">IF($C400="","",IFERROR(INDEX(Partits!$C:$C,MATCH($A400&amp;"_"&amp;$D400,Partits!$D:$D,0)),""))</f>
        <v/>
      </c>
      <c r="J400" s="3" t="str">
        <f t="shared" si="4"/>
        <v/>
      </c>
      <c r="K400" s="3" t="str">
        <f t="shared" si="5"/>
        <v/>
      </c>
      <c r="L400" s="3" t="str">
        <f t="shared" si="6"/>
        <v/>
      </c>
      <c r="M400" s="3" t="str">
        <f t="shared" si="7"/>
        <v/>
      </c>
    </row>
    <row r="401" ht="15.0" customHeight="1">
      <c r="A401" s="3" t="str">
        <f>IF(Equips_usuari!A401="","",Equips_usuari!A401)</f>
        <v/>
      </c>
      <c r="B401" s="3" t="str">
        <f>IF(Equips_usuari!B401="","",Equips_usuari!B401)</f>
        <v/>
      </c>
      <c r="C401" s="3" t="str">
        <f>IF(Equips_usuari!C401="","",Equips_usuari!C401)</f>
        <v/>
      </c>
      <c r="D401" s="3" t="str">
        <f>IF(Equips_usuari!D401="","",Equips_usuari!D401)</f>
        <v/>
      </c>
      <c r="E401" s="3" t="str">
        <f>IF(Equips_usuari!F401="","",Equips_usuari!F401)</f>
        <v/>
      </c>
      <c r="F401" s="3" t="str">
        <f>IF($C401="","",SUMIFS(Resultats_jugadores!$C:$C,Resultats_jugadores!$A:$A,$A401,Resultats_jugadores!$B:$B,$C401))</f>
        <v/>
      </c>
      <c r="G401" s="3" t="str">
        <f>IF($C401="","",SUMIFS(Resultats_jugadores!$D:$D,Resultats_jugadores!$A:$A,$A401,Resultats_jugadores!$B:$B,$C401))</f>
        <v/>
      </c>
      <c r="H401" s="3" t="str">
        <f t="shared" si="3"/>
        <v/>
      </c>
      <c r="I401" s="3" t="str">
        <f t="array" ref="I401">IF($C401="","",IFERROR(INDEX(Partits!$C:$C,MATCH($A401&amp;"_"&amp;$D401,Partits!$D:$D,0)),""))</f>
        <v/>
      </c>
      <c r="J401" s="3" t="str">
        <f t="shared" si="4"/>
        <v/>
      </c>
      <c r="K401" s="3" t="str">
        <f t="shared" si="5"/>
        <v/>
      </c>
      <c r="L401" s="3" t="str">
        <f t="shared" si="6"/>
        <v/>
      </c>
      <c r="M401" s="3" t="str">
        <f t="shared" si="7"/>
        <v/>
      </c>
    </row>
    <row r="402" ht="15.0" customHeight="1">
      <c r="A402" s="3" t="str">
        <f>IF(Equips_usuari!A402="","",Equips_usuari!A402)</f>
        <v/>
      </c>
      <c r="B402" s="3" t="str">
        <f>IF(Equips_usuari!B402="","",Equips_usuari!B402)</f>
        <v/>
      </c>
      <c r="C402" s="3" t="str">
        <f>IF(Equips_usuari!C402="","",Equips_usuari!C402)</f>
        <v/>
      </c>
      <c r="D402" s="3" t="str">
        <f>IF(Equips_usuari!D402="","",Equips_usuari!D402)</f>
        <v/>
      </c>
      <c r="E402" s="3" t="str">
        <f>IF(Equips_usuari!F402="","",Equips_usuari!F402)</f>
        <v/>
      </c>
      <c r="F402" s="3" t="str">
        <f>IF($C402="","",SUMIFS(Resultats_jugadores!$C:$C,Resultats_jugadores!$A:$A,$A402,Resultats_jugadores!$B:$B,$C402))</f>
        <v/>
      </c>
      <c r="G402" s="3" t="str">
        <f>IF($C402="","",SUMIFS(Resultats_jugadores!$D:$D,Resultats_jugadores!$A:$A,$A402,Resultats_jugadores!$B:$B,$C402))</f>
        <v/>
      </c>
      <c r="H402" s="3" t="str">
        <f t="shared" si="3"/>
        <v/>
      </c>
      <c r="I402" s="3" t="str">
        <f t="array" ref="I402">IF($C402="","",IFERROR(INDEX(Partits!$C:$C,MATCH($A402&amp;"_"&amp;$D402,Partits!$D:$D,0)),""))</f>
        <v/>
      </c>
      <c r="J402" s="3" t="str">
        <f t="shared" si="4"/>
        <v/>
      </c>
      <c r="K402" s="3" t="str">
        <f t="shared" si="5"/>
        <v/>
      </c>
      <c r="L402" s="3" t="str">
        <f t="shared" si="6"/>
        <v/>
      </c>
      <c r="M402" s="3" t="str">
        <f t="shared" si="7"/>
        <v/>
      </c>
    </row>
    <row r="403" ht="15.0" customHeight="1">
      <c r="A403" s="3" t="str">
        <f>IF(Equips_usuari!A403="","",Equips_usuari!A403)</f>
        <v/>
      </c>
      <c r="B403" s="3" t="str">
        <f>IF(Equips_usuari!B403="","",Equips_usuari!B403)</f>
        <v/>
      </c>
      <c r="C403" s="3" t="str">
        <f>IF(Equips_usuari!C403="","",Equips_usuari!C403)</f>
        <v/>
      </c>
      <c r="D403" s="3" t="str">
        <f>IF(Equips_usuari!D403="","",Equips_usuari!D403)</f>
        <v/>
      </c>
      <c r="E403" s="3" t="str">
        <f>IF(Equips_usuari!F403="","",Equips_usuari!F403)</f>
        <v/>
      </c>
      <c r="F403" s="3" t="str">
        <f>IF($C403="","",SUMIFS(Resultats_jugadores!$C:$C,Resultats_jugadores!$A:$A,$A403,Resultats_jugadores!$B:$B,$C403))</f>
        <v/>
      </c>
      <c r="G403" s="3" t="str">
        <f>IF($C403="","",SUMIFS(Resultats_jugadores!$D:$D,Resultats_jugadores!$A:$A,$A403,Resultats_jugadores!$B:$B,$C403))</f>
        <v/>
      </c>
      <c r="H403" s="3" t="str">
        <f t="shared" si="3"/>
        <v/>
      </c>
      <c r="I403" s="3" t="str">
        <f t="array" ref="I403">IF($C403="","",IFERROR(INDEX(Partits!$C:$C,MATCH($A403&amp;"_"&amp;$D403,Partits!$D:$D,0)),""))</f>
        <v/>
      </c>
      <c r="J403" s="3" t="str">
        <f t="shared" si="4"/>
        <v/>
      </c>
      <c r="K403" s="3" t="str">
        <f t="shared" si="5"/>
        <v/>
      </c>
      <c r="L403" s="3" t="str">
        <f t="shared" si="6"/>
        <v/>
      </c>
      <c r="M403" s="3" t="str">
        <f t="shared" si="7"/>
        <v/>
      </c>
    </row>
    <row r="404" ht="15.0" customHeight="1">
      <c r="A404" s="3" t="str">
        <f>IF(Equips_usuari!A404="","",Equips_usuari!A404)</f>
        <v/>
      </c>
      <c r="B404" s="3" t="str">
        <f>IF(Equips_usuari!B404="","",Equips_usuari!B404)</f>
        <v/>
      </c>
      <c r="C404" s="3" t="str">
        <f>IF(Equips_usuari!C404="","",Equips_usuari!C404)</f>
        <v/>
      </c>
      <c r="D404" s="3" t="str">
        <f>IF(Equips_usuari!D404="","",Equips_usuari!D404)</f>
        <v/>
      </c>
      <c r="E404" s="3" t="str">
        <f>IF(Equips_usuari!F404="","",Equips_usuari!F404)</f>
        <v/>
      </c>
      <c r="F404" s="3" t="str">
        <f>IF($C404="","",SUMIFS(Resultats_jugadores!$C:$C,Resultats_jugadores!$A:$A,$A404,Resultats_jugadores!$B:$B,$C404))</f>
        <v/>
      </c>
      <c r="G404" s="3" t="str">
        <f>IF($C404="","",SUMIFS(Resultats_jugadores!$D:$D,Resultats_jugadores!$A:$A,$A404,Resultats_jugadores!$B:$B,$C404))</f>
        <v/>
      </c>
      <c r="H404" s="3" t="str">
        <f t="shared" si="3"/>
        <v/>
      </c>
      <c r="I404" s="3" t="str">
        <f t="array" ref="I404">IF($C404="","",IFERROR(INDEX(Partits!$C:$C,MATCH($A404&amp;"_"&amp;$D404,Partits!$D:$D,0)),""))</f>
        <v/>
      </c>
      <c r="J404" s="3" t="str">
        <f t="shared" si="4"/>
        <v/>
      </c>
      <c r="K404" s="3" t="str">
        <f t="shared" si="5"/>
        <v/>
      </c>
      <c r="L404" s="3" t="str">
        <f t="shared" si="6"/>
        <v/>
      </c>
      <c r="M404" s="3" t="str">
        <f t="shared" si="7"/>
        <v/>
      </c>
    </row>
    <row r="405" ht="15.0" customHeight="1">
      <c r="A405" s="3" t="str">
        <f>IF(Equips_usuari!A405="","",Equips_usuari!A405)</f>
        <v/>
      </c>
      <c r="B405" s="3" t="str">
        <f>IF(Equips_usuari!B405="","",Equips_usuari!B405)</f>
        <v/>
      </c>
      <c r="C405" s="3" t="str">
        <f>IF(Equips_usuari!C405="","",Equips_usuari!C405)</f>
        <v/>
      </c>
      <c r="D405" s="3" t="str">
        <f>IF(Equips_usuari!D405="","",Equips_usuari!D405)</f>
        <v/>
      </c>
      <c r="E405" s="3" t="str">
        <f>IF(Equips_usuari!F405="","",Equips_usuari!F405)</f>
        <v/>
      </c>
      <c r="F405" s="3" t="str">
        <f>IF($C405="","",SUMIFS(Resultats_jugadores!$C:$C,Resultats_jugadores!$A:$A,$A405,Resultats_jugadores!$B:$B,$C405))</f>
        <v/>
      </c>
      <c r="G405" s="3" t="str">
        <f>IF($C405="","",SUMIFS(Resultats_jugadores!$D:$D,Resultats_jugadores!$A:$A,$A405,Resultats_jugadores!$B:$B,$C405))</f>
        <v/>
      </c>
      <c r="H405" s="3" t="str">
        <f t="shared" si="3"/>
        <v/>
      </c>
      <c r="I405" s="3" t="str">
        <f t="array" ref="I405">IF($C405="","",IFERROR(INDEX(Partits!$C:$C,MATCH($A405&amp;"_"&amp;$D405,Partits!$D:$D,0)),""))</f>
        <v/>
      </c>
      <c r="J405" s="3" t="str">
        <f t="shared" si="4"/>
        <v/>
      </c>
      <c r="K405" s="3" t="str">
        <f t="shared" si="5"/>
        <v/>
      </c>
      <c r="L405" s="3" t="str">
        <f t="shared" si="6"/>
        <v/>
      </c>
      <c r="M405" s="3" t="str">
        <f t="shared" si="7"/>
        <v/>
      </c>
    </row>
    <row r="406" ht="15.0" customHeight="1">
      <c r="A406" s="3" t="str">
        <f>IF(Equips_usuari!A406="","",Equips_usuari!A406)</f>
        <v/>
      </c>
      <c r="B406" s="3" t="str">
        <f>IF(Equips_usuari!B406="","",Equips_usuari!B406)</f>
        <v/>
      </c>
      <c r="C406" s="3" t="str">
        <f>IF(Equips_usuari!C406="","",Equips_usuari!C406)</f>
        <v/>
      </c>
      <c r="D406" s="3" t="str">
        <f>IF(Equips_usuari!D406="","",Equips_usuari!D406)</f>
        <v/>
      </c>
      <c r="E406" s="3" t="str">
        <f>IF(Equips_usuari!F406="","",Equips_usuari!F406)</f>
        <v/>
      </c>
      <c r="F406" s="3" t="str">
        <f>IF($C406="","",SUMIFS(Resultats_jugadores!$C:$C,Resultats_jugadores!$A:$A,$A406,Resultats_jugadores!$B:$B,$C406))</f>
        <v/>
      </c>
      <c r="G406" s="3" t="str">
        <f>IF($C406="","",SUMIFS(Resultats_jugadores!$D:$D,Resultats_jugadores!$A:$A,$A406,Resultats_jugadores!$B:$B,$C406))</f>
        <v/>
      </c>
      <c r="H406" s="3" t="str">
        <f t="shared" si="3"/>
        <v/>
      </c>
      <c r="I406" s="3" t="str">
        <f t="array" ref="I406">IF($C406="","",IFERROR(INDEX(Partits!$C:$C,MATCH($A406&amp;"_"&amp;$D406,Partits!$D:$D,0)),""))</f>
        <v/>
      </c>
      <c r="J406" s="3" t="str">
        <f t="shared" si="4"/>
        <v/>
      </c>
      <c r="K406" s="3" t="str">
        <f t="shared" si="5"/>
        <v/>
      </c>
      <c r="L406" s="3" t="str">
        <f t="shared" si="6"/>
        <v/>
      </c>
      <c r="M406" s="3" t="str">
        <f t="shared" si="7"/>
        <v/>
      </c>
    </row>
    <row r="407" ht="15.0" customHeight="1">
      <c r="A407" s="3" t="str">
        <f>IF(Equips_usuari!A407="","",Equips_usuari!A407)</f>
        <v/>
      </c>
      <c r="B407" s="3" t="str">
        <f>IF(Equips_usuari!B407="","",Equips_usuari!B407)</f>
        <v/>
      </c>
      <c r="C407" s="3" t="str">
        <f>IF(Equips_usuari!C407="","",Equips_usuari!C407)</f>
        <v/>
      </c>
      <c r="D407" s="3" t="str">
        <f>IF(Equips_usuari!D407="","",Equips_usuari!D407)</f>
        <v/>
      </c>
      <c r="E407" s="3" t="str">
        <f>IF(Equips_usuari!F407="","",Equips_usuari!F407)</f>
        <v/>
      </c>
      <c r="F407" s="3" t="str">
        <f>IF($C407="","",SUMIFS(Resultats_jugadores!$C:$C,Resultats_jugadores!$A:$A,$A407,Resultats_jugadores!$B:$B,$C407))</f>
        <v/>
      </c>
      <c r="G407" s="3" t="str">
        <f>IF($C407="","",SUMIFS(Resultats_jugadores!$D:$D,Resultats_jugadores!$A:$A,$A407,Resultats_jugadores!$B:$B,$C407))</f>
        <v/>
      </c>
      <c r="H407" s="3" t="str">
        <f t="shared" si="3"/>
        <v/>
      </c>
      <c r="I407" s="3" t="str">
        <f t="array" ref="I407">IF($C407="","",IFERROR(INDEX(Partits!$C:$C,MATCH($A407&amp;"_"&amp;$D407,Partits!$D:$D,0)),""))</f>
        <v/>
      </c>
      <c r="J407" s="3" t="str">
        <f t="shared" si="4"/>
        <v/>
      </c>
      <c r="K407" s="3" t="str">
        <f t="shared" si="5"/>
        <v/>
      </c>
      <c r="L407" s="3" t="str">
        <f t="shared" si="6"/>
        <v/>
      </c>
      <c r="M407" s="3" t="str">
        <f t="shared" si="7"/>
        <v/>
      </c>
    </row>
    <row r="408" ht="15.0" customHeight="1">
      <c r="A408" s="3" t="str">
        <f>IF(Equips_usuari!A408="","",Equips_usuari!A408)</f>
        <v/>
      </c>
      <c r="B408" s="3" t="str">
        <f>IF(Equips_usuari!B408="","",Equips_usuari!B408)</f>
        <v/>
      </c>
      <c r="C408" s="3" t="str">
        <f>IF(Equips_usuari!C408="","",Equips_usuari!C408)</f>
        <v/>
      </c>
      <c r="D408" s="3" t="str">
        <f>IF(Equips_usuari!D408="","",Equips_usuari!D408)</f>
        <v/>
      </c>
      <c r="E408" s="3" t="str">
        <f>IF(Equips_usuari!F408="","",Equips_usuari!F408)</f>
        <v/>
      </c>
      <c r="F408" s="3" t="str">
        <f>IF($C408="","",SUMIFS(Resultats_jugadores!$C:$C,Resultats_jugadores!$A:$A,$A408,Resultats_jugadores!$B:$B,$C408))</f>
        <v/>
      </c>
      <c r="G408" s="3" t="str">
        <f>IF($C408="","",SUMIFS(Resultats_jugadores!$D:$D,Resultats_jugadores!$A:$A,$A408,Resultats_jugadores!$B:$B,$C408))</f>
        <v/>
      </c>
      <c r="H408" s="3" t="str">
        <f t="shared" si="3"/>
        <v/>
      </c>
      <c r="I408" s="3" t="str">
        <f t="array" ref="I408">IF($C408="","",IFERROR(INDEX(Partits!$C:$C,MATCH($A408&amp;"_"&amp;$D408,Partits!$D:$D,0)),""))</f>
        <v/>
      </c>
      <c r="J408" s="3" t="str">
        <f t="shared" si="4"/>
        <v/>
      </c>
      <c r="K408" s="3" t="str">
        <f t="shared" si="5"/>
        <v/>
      </c>
      <c r="L408" s="3" t="str">
        <f t="shared" si="6"/>
        <v/>
      </c>
      <c r="M408" s="3" t="str">
        <f t="shared" si="7"/>
        <v/>
      </c>
    </row>
    <row r="409" ht="15.0" customHeight="1">
      <c r="A409" s="3" t="str">
        <f>IF(Equips_usuari!A409="","",Equips_usuari!A409)</f>
        <v/>
      </c>
      <c r="B409" s="3" t="str">
        <f>IF(Equips_usuari!B409="","",Equips_usuari!B409)</f>
        <v/>
      </c>
      <c r="C409" s="3" t="str">
        <f>IF(Equips_usuari!C409="","",Equips_usuari!C409)</f>
        <v/>
      </c>
      <c r="D409" s="3" t="str">
        <f>IF(Equips_usuari!D409="","",Equips_usuari!D409)</f>
        <v/>
      </c>
      <c r="E409" s="3" t="str">
        <f>IF(Equips_usuari!F409="","",Equips_usuari!F409)</f>
        <v/>
      </c>
      <c r="F409" s="3" t="str">
        <f>IF($C409="","",SUMIFS(Resultats_jugadores!$C:$C,Resultats_jugadores!$A:$A,$A409,Resultats_jugadores!$B:$B,$C409))</f>
        <v/>
      </c>
      <c r="G409" s="3" t="str">
        <f>IF($C409="","",SUMIFS(Resultats_jugadores!$D:$D,Resultats_jugadores!$A:$A,$A409,Resultats_jugadores!$B:$B,$C409))</f>
        <v/>
      </c>
      <c r="H409" s="3" t="str">
        <f t="shared" si="3"/>
        <v/>
      </c>
      <c r="I409" s="3" t="str">
        <f t="array" ref="I409">IF($C409="","",IFERROR(INDEX(Partits!$C:$C,MATCH($A409&amp;"_"&amp;$D409,Partits!$D:$D,0)),""))</f>
        <v/>
      </c>
      <c r="J409" s="3" t="str">
        <f t="shared" si="4"/>
        <v/>
      </c>
      <c r="K409" s="3" t="str">
        <f t="shared" si="5"/>
        <v/>
      </c>
      <c r="L409" s="3" t="str">
        <f t="shared" si="6"/>
        <v/>
      </c>
      <c r="M409" s="3" t="str">
        <f t="shared" si="7"/>
        <v/>
      </c>
    </row>
    <row r="410" ht="15.0" customHeight="1">
      <c r="A410" s="3" t="str">
        <f>IF(Equips_usuari!A410="","",Equips_usuari!A410)</f>
        <v/>
      </c>
      <c r="B410" s="3" t="str">
        <f>IF(Equips_usuari!B410="","",Equips_usuari!B410)</f>
        <v/>
      </c>
      <c r="C410" s="3" t="str">
        <f>IF(Equips_usuari!C410="","",Equips_usuari!C410)</f>
        <v/>
      </c>
      <c r="D410" s="3" t="str">
        <f>IF(Equips_usuari!D410="","",Equips_usuari!D410)</f>
        <v/>
      </c>
      <c r="E410" s="3" t="str">
        <f>IF(Equips_usuari!F410="","",Equips_usuari!F410)</f>
        <v/>
      </c>
      <c r="F410" s="3" t="str">
        <f>IF($C410="","",SUMIFS(Resultats_jugadores!$C:$C,Resultats_jugadores!$A:$A,$A410,Resultats_jugadores!$B:$B,$C410))</f>
        <v/>
      </c>
      <c r="G410" s="3" t="str">
        <f>IF($C410="","",SUMIFS(Resultats_jugadores!$D:$D,Resultats_jugadores!$A:$A,$A410,Resultats_jugadores!$B:$B,$C410))</f>
        <v/>
      </c>
      <c r="H410" s="3" t="str">
        <f t="shared" si="3"/>
        <v/>
      </c>
      <c r="I410" s="3" t="str">
        <f t="array" ref="I410">IF($C410="","",IFERROR(INDEX(Partits!$C:$C,MATCH($A410&amp;"_"&amp;$D410,Partits!$D:$D,0)),""))</f>
        <v/>
      </c>
      <c r="J410" s="3" t="str">
        <f t="shared" si="4"/>
        <v/>
      </c>
      <c r="K410" s="3" t="str">
        <f t="shared" si="5"/>
        <v/>
      </c>
      <c r="L410" s="3" t="str">
        <f t="shared" si="6"/>
        <v/>
      </c>
      <c r="M410" s="3" t="str">
        <f t="shared" si="7"/>
        <v/>
      </c>
    </row>
    <row r="411" ht="15.0" customHeight="1">
      <c r="A411" s="3" t="str">
        <f>IF(Equips_usuari!A411="","",Equips_usuari!A411)</f>
        <v/>
      </c>
      <c r="B411" s="3" t="str">
        <f>IF(Equips_usuari!B411="","",Equips_usuari!B411)</f>
        <v/>
      </c>
      <c r="C411" s="3" t="str">
        <f>IF(Equips_usuari!C411="","",Equips_usuari!C411)</f>
        <v/>
      </c>
      <c r="D411" s="3" t="str">
        <f>IF(Equips_usuari!D411="","",Equips_usuari!D411)</f>
        <v/>
      </c>
      <c r="E411" s="3" t="str">
        <f>IF(Equips_usuari!F411="","",Equips_usuari!F411)</f>
        <v/>
      </c>
      <c r="F411" s="3" t="str">
        <f>IF($C411="","",SUMIFS(Resultats_jugadores!$C:$C,Resultats_jugadores!$A:$A,$A411,Resultats_jugadores!$B:$B,$C411))</f>
        <v/>
      </c>
      <c r="G411" s="3" t="str">
        <f>IF($C411="","",SUMIFS(Resultats_jugadores!$D:$D,Resultats_jugadores!$A:$A,$A411,Resultats_jugadores!$B:$B,$C411))</f>
        <v/>
      </c>
      <c r="H411" s="3" t="str">
        <f t="shared" si="3"/>
        <v/>
      </c>
      <c r="I411" s="3" t="str">
        <f t="array" ref="I411">IF($C411="","",IFERROR(INDEX(Partits!$C:$C,MATCH($A411&amp;"_"&amp;$D411,Partits!$D:$D,0)),""))</f>
        <v/>
      </c>
      <c r="J411" s="3" t="str">
        <f t="shared" si="4"/>
        <v/>
      </c>
      <c r="K411" s="3" t="str">
        <f t="shared" si="5"/>
        <v/>
      </c>
      <c r="L411" s="3" t="str">
        <f t="shared" si="6"/>
        <v/>
      </c>
      <c r="M411" s="3" t="str">
        <f t="shared" si="7"/>
        <v/>
      </c>
    </row>
    <row r="412" ht="15.0" customHeight="1">
      <c r="A412" s="3" t="str">
        <f>IF(Equips_usuari!A412="","",Equips_usuari!A412)</f>
        <v/>
      </c>
      <c r="B412" s="3" t="str">
        <f>IF(Equips_usuari!B412="","",Equips_usuari!B412)</f>
        <v/>
      </c>
      <c r="C412" s="3" t="str">
        <f>IF(Equips_usuari!C412="","",Equips_usuari!C412)</f>
        <v/>
      </c>
      <c r="D412" s="3" t="str">
        <f>IF(Equips_usuari!D412="","",Equips_usuari!D412)</f>
        <v/>
      </c>
      <c r="E412" s="3" t="str">
        <f>IF(Equips_usuari!F412="","",Equips_usuari!F412)</f>
        <v/>
      </c>
      <c r="F412" s="3" t="str">
        <f>IF($C412="","",SUMIFS(Resultats_jugadores!$C:$C,Resultats_jugadores!$A:$A,$A412,Resultats_jugadores!$B:$B,$C412))</f>
        <v/>
      </c>
      <c r="G412" s="3" t="str">
        <f>IF($C412="","",SUMIFS(Resultats_jugadores!$D:$D,Resultats_jugadores!$A:$A,$A412,Resultats_jugadores!$B:$B,$C412))</f>
        <v/>
      </c>
      <c r="H412" s="3" t="str">
        <f t="shared" si="3"/>
        <v/>
      </c>
      <c r="I412" s="3" t="str">
        <f t="array" ref="I412">IF($C412="","",IFERROR(INDEX(Partits!$C:$C,MATCH($A412&amp;"_"&amp;$D412,Partits!$D:$D,0)),""))</f>
        <v/>
      </c>
      <c r="J412" s="3" t="str">
        <f t="shared" si="4"/>
        <v/>
      </c>
      <c r="K412" s="3" t="str">
        <f t="shared" si="5"/>
        <v/>
      </c>
      <c r="L412" s="3" t="str">
        <f t="shared" si="6"/>
        <v/>
      </c>
      <c r="M412" s="3" t="str">
        <f t="shared" si="7"/>
        <v/>
      </c>
    </row>
    <row r="413" ht="15.0" customHeight="1">
      <c r="A413" s="3" t="str">
        <f>IF(Equips_usuari!A413="","",Equips_usuari!A413)</f>
        <v/>
      </c>
      <c r="B413" s="3" t="str">
        <f>IF(Equips_usuari!B413="","",Equips_usuari!B413)</f>
        <v/>
      </c>
      <c r="C413" s="3" t="str">
        <f>IF(Equips_usuari!C413="","",Equips_usuari!C413)</f>
        <v/>
      </c>
      <c r="D413" s="3" t="str">
        <f>IF(Equips_usuari!D413="","",Equips_usuari!D413)</f>
        <v/>
      </c>
      <c r="E413" s="3" t="str">
        <f>IF(Equips_usuari!F413="","",Equips_usuari!F413)</f>
        <v/>
      </c>
      <c r="F413" s="3" t="str">
        <f>IF($C413="","",SUMIFS(Resultats_jugadores!$C:$C,Resultats_jugadores!$A:$A,$A413,Resultats_jugadores!$B:$B,$C413))</f>
        <v/>
      </c>
      <c r="G413" s="3" t="str">
        <f>IF($C413="","",SUMIFS(Resultats_jugadores!$D:$D,Resultats_jugadores!$A:$A,$A413,Resultats_jugadores!$B:$B,$C413))</f>
        <v/>
      </c>
      <c r="H413" s="3" t="str">
        <f t="shared" si="3"/>
        <v/>
      </c>
      <c r="I413" s="3" t="str">
        <f t="array" ref="I413">IF($C413="","",IFERROR(INDEX(Partits!$C:$C,MATCH($A413&amp;"_"&amp;$D413,Partits!$D:$D,0)),""))</f>
        <v/>
      </c>
      <c r="J413" s="3" t="str">
        <f t="shared" si="4"/>
        <v/>
      </c>
      <c r="K413" s="3" t="str">
        <f t="shared" si="5"/>
        <v/>
      </c>
      <c r="L413" s="3" t="str">
        <f t="shared" si="6"/>
        <v/>
      </c>
      <c r="M413" s="3" t="str">
        <f t="shared" si="7"/>
        <v/>
      </c>
    </row>
    <row r="414" ht="15.0" customHeight="1">
      <c r="A414" s="3" t="str">
        <f>IF(Equips_usuari!A414="","",Equips_usuari!A414)</f>
        <v/>
      </c>
      <c r="B414" s="3" t="str">
        <f>IF(Equips_usuari!B414="","",Equips_usuari!B414)</f>
        <v/>
      </c>
      <c r="C414" s="3" t="str">
        <f>IF(Equips_usuari!C414="","",Equips_usuari!C414)</f>
        <v/>
      </c>
      <c r="D414" s="3" t="str">
        <f>IF(Equips_usuari!D414="","",Equips_usuari!D414)</f>
        <v/>
      </c>
      <c r="E414" s="3" t="str">
        <f>IF(Equips_usuari!F414="","",Equips_usuari!F414)</f>
        <v/>
      </c>
      <c r="F414" s="3" t="str">
        <f>IF($C414="","",SUMIFS(Resultats_jugadores!$C:$C,Resultats_jugadores!$A:$A,$A414,Resultats_jugadores!$B:$B,$C414))</f>
        <v/>
      </c>
      <c r="G414" s="3" t="str">
        <f>IF($C414="","",SUMIFS(Resultats_jugadores!$D:$D,Resultats_jugadores!$A:$A,$A414,Resultats_jugadores!$B:$B,$C414))</f>
        <v/>
      </c>
      <c r="H414" s="3" t="str">
        <f t="shared" si="3"/>
        <v/>
      </c>
      <c r="I414" s="3" t="str">
        <f t="array" ref="I414">IF($C414="","",IFERROR(INDEX(Partits!$C:$C,MATCH($A414&amp;"_"&amp;$D414,Partits!$D:$D,0)),""))</f>
        <v/>
      </c>
      <c r="J414" s="3" t="str">
        <f t="shared" si="4"/>
        <v/>
      </c>
      <c r="K414" s="3" t="str">
        <f t="shared" si="5"/>
        <v/>
      </c>
      <c r="L414" s="3" t="str">
        <f t="shared" si="6"/>
        <v/>
      </c>
      <c r="M414" s="3" t="str">
        <f t="shared" si="7"/>
        <v/>
      </c>
    </row>
    <row r="415" ht="15.0" customHeight="1">
      <c r="A415" s="3" t="str">
        <f>IF(Equips_usuari!A415="","",Equips_usuari!A415)</f>
        <v/>
      </c>
      <c r="B415" s="3" t="str">
        <f>IF(Equips_usuari!B415="","",Equips_usuari!B415)</f>
        <v/>
      </c>
      <c r="C415" s="3" t="str">
        <f>IF(Equips_usuari!C415="","",Equips_usuari!C415)</f>
        <v/>
      </c>
      <c r="D415" s="3" t="str">
        <f>IF(Equips_usuari!D415="","",Equips_usuari!D415)</f>
        <v/>
      </c>
      <c r="E415" s="3" t="str">
        <f>IF(Equips_usuari!F415="","",Equips_usuari!F415)</f>
        <v/>
      </c>
      <c r="F415" s="3" t="str">
        <f>IF($C415="","",SUMIFS(Resultats_jugadores!$C:$C,Resultats_jugadores!$A:$A,$A415,Resultats_jugadores!$B:$B,$C415))</f>
        <v/>
      </c>
      <c r="G415" s="3" t="str">
        <f>IF($C415="","",SUMIFS(Resultats_jugadores!$D:$D,Resultats_jugadores!$A:$A,$A415,Resultats_jugadores!$B:$B,$C415))</f>
        <v/>
      </c>
      <c r="H415" s="3" t="str">
        <f t="shared" si="3"/>
        <v/>
      </c>
      <c r="I415" s="3" t="str">
        <f t="array" ref="I415">IF($C415="","",IFERROR(INDEX(Partits!$C:$C,MATCH($A415&amp;"_"&amp;$D415,Partits!$D:$D,0)),""))</f>
        <v/>
      </c>
      <c r="J415" s="3" t="str">
        <f t="shared" si="4"/>
        <v/>
      </c>
      <c r="K415" s="3" t="str">
        <f t="shared" si="5"/>
        <v/>
      </c>
      <c r="L415" s="3" t="str">
        <f t="shared" si="6"/>
        <v/>
      </c>
      <c r="M415" s="3" t="str">
        <f t="shared" si="7"/>
        <v/>
      </c>
    </row>
    <row r="416" ht="15.0" customHeight="1">
      <c r="A416" s="3" t="str">
        <f>IF(Equips_usuari!A416="","",Equips_usuari!A416)</f>
        <v/>
      </c>
      <c r="B416" s="3" t="str">
        <f>IF(Equips_usuari!B416="","",Equips_usuari!B416)</f>
        <v/>
      </c>
      <c r="C416" s="3" t="str">
        <f>IF(Equips_usuari!C416="","",Equips_usuari!C416)</f>
        <v/>
      </c>
      <c r="D416" s="3" t="str">
        <f>IF(Equips_usuari!D416="","",Equips_usuari!D416)</f>
        <v/>
      </c>
      <c r="E416" s="3" t="str">
        <f>IF(Equips_usuari!F416="","",Equips_usuari!F416)</f>
        <v/>
      </c>
      <c r="F416" s="3" t="str">
        <f>IF($C416="","",SUMIFS(Resultats_jugadores!$C:$C,Resultats_jugadores!$A:$A,$A416,Resultats_jugadores!$B:$B,$C416))</f>
        <v/>
      </c>
      <c r="G416" s="3" t="str">
        <f>IF($C416="","",SUMIFS(Resultats_jugadores!$D:$D,Resultats_jugadores!$A:$A,$A416,Resultats_jugadores!$B:$B,$C416))</f>
        <v/>
      </c>
      <c r="H416" s="3" t="str">
        <f t="shared" si="3"/>
        <v/>
      </c>
      <c r="I416" s="3" t="str">
        <f t="array" ref="I416">IF($C416="","",IFERROR(INDEX(Partits!$C:$C,MATCH($A416&amp;"_"&amp;$D416,Partits!$D:$D,0)),""))</f>
        <v/>
      </c>
      <c r="J416" s="3" t="str">
        <f t="shared" si="4"/>
        <v/>
      </c>
      <c r="K416" s="3" t="str">
        <f t="shared" si="5"/>
        <v/>
      </c>
      <c r="L416" s="3" t="str">
        <f t="shared" si="6"/>
        <v/>
      </c>
      <c r="M416" s="3" t="str">
        <f t="shared" si="7"/>
        <v/>
      </c>
    </row>
    <row r="417" ht="15.0" customHeight="1">
      <c r="A417" s="3" t="str">
        <f>IF(Equips_usuari!A417="","",Equips_usuari!A417)</f>
        <v/>
      </c>
      <c r="B417" s="3" t="str">
        <f>IF(Equips_usuari!B417="","",Equips_usuari!B417)</f>
        <v/>
      </c>
      <c r="C417" s="3" t="str">
        <f>IF(Equips_usuari!C417="","",Equips_usuari!C417)</f>
        <v/>
      </c>
      <c r="D417" s="3" t="str">
        <f>IF(Equips_usuari!D417="","",Equips_usuari!D417)</f>
        <v/>
      </c>
      <c r="E417" s="3" t="str">
        <f>IF(Equips_usuari!F417="","",Equips_usuari!F417)</f>
        <v/>
      </c>
      <c r="F417" s="3" t="str">
        <f>IF($C417="","",SUMIFS(Resultats_jugadores!$C:$C,Resultats_jugadores!$A:$A,$A417,Resultats_jugadores!$B:$B,$C417))</f>
        <v/>
      </c>
      <c r="G417" s="3" t="str">
        <f>IF($C417="","",SUMIFS(Resultats_jugadores!$D:$D,Resultats_jugadores!$A:$A,$A417,Resultats_jugadores!$B:$B,$C417))</f>
        <v/>
      </c>
      <c r="H417" s="3" t="str">
        <f t="shared" si="3"/>
        <v/>
      </c>
      <c r="I417" s="3" t="str">
        <f t="array" ref="I417">IF($C417="","",IFERROR(INDEX(Partits!$C:$C,MATCH($A417&amp;"_"&amp;$D417,Partits!$D:$D,0)),""))</f>
        <v/>
      </c>
      <c r="J417" s="3" t="str">
        <f t="shared" si="4"/>
        <v/>
      </c>
      <c r="K417" s="3" t="str">
        <f t="shared" si="5"/>
        <v/>
      </c>
      <c r="L417" s="3" t="str">
        <f t="shared" si="6"/>
        <v/>
      </c>
      <c r="M417" s="3" t="str">
        <f t="shared" si="7"/>
        <v/>
      </c>
    </row>
    <row r="418" ht="15.0" customHeight="1">
      <c r="A418" s="3" t="str">
        <f>IF(Equips_usuari!A418="","",Equips_usuari!A418)</f>
        <v/>
      </c>
      <c r="B418" s="3" t="str">
        <f>IF(Equips_usuari!B418="","",Equips_usuari!B418)</f>
        <v/>
      </c>
      <c r="C418" s="3" t="str">
        <f>IF(Equips_usuari!C418="","",Equips_usuari!C418)</f>
        <v/>
      </c>
      <c r="D418" s="3" t="str">
        <f>IF(Equips_usuari!D418="","",Equips_usuari!D418)</f>
        <v/>
      </c>
      <c r="E418" s="3" t="str">
        <f>IF(Equips_usuari!F418="","",Equips_usuari!F418)</f>
        <v/>
      </c>
      <c r="F418" s="3" t="str">
        <f>IF($C418="","",SUMIFS(Resultats_jugadores!$C:$C,Resultats_jugadores!$A:$A,$A418,Resultats_jugadores!$B:$B,$C418))</f>
        <v/>
      </c>
      <c r="G418" s="3" t="str">
        <f>IF($C418="","",SUMIFS(Resultats_jugadores!$D:$D,Resultats_jugadores!$A:$A,$A418,Resultats_jugadores!$B:$B,$C418))</f>
        <v/>
      </c>
      <c r="H418" s="3" t="str">
        <f t="shared" si="3"/>
        <v/>
      </c>
      <c r="I418" s="3" t="str">
        <f t="array" ref="I418">IF($C418="","",IFERROR(INDEX(Partits!$C:$C,MATCH($A418&amp;"_"&amp;$D418,Partits!$D:$D,0)),""))</f>
        <v/>
      </c>
      <c r="J418" s="3" t="str">
        <f t="shared" si="4"/>
        <v/>
      </c>
      <c r="K418" s="3" t="str">
        <f t="shared" si="5"/>
        <v/>
      </c>
      <c r="L418" s="3" t="str">
        <f t="shared" si="6"/>
        <v/>
      </c>
      <c r="M418" s="3" t="str">
        <f t="shared" si="7"/>
        <v/>
      </c>
    </row>
    <row r="419" ht="15.0" customHeight="1">
      <c r="A419" s="3" t="str">
        <f>IF(Equips_usuari!A419="","",Equips_usuari!A419)</f>
        <v/>
      </c>
      <c r="B419" s="3" t="str">
        <f>IF(Equips_usuari!B419="","",Equips_usuari!B419)</f>
        <v/>
      </c>
      <c r="C419" s="3" t="str">
        <f>IF(Equips_usuari!C419="","",Equips_usuari!C419)</f>
        <v/>
      </c>
      <c r="D419" s="3" t="str">
        <f>IF(Equips_usuari!D419="","",Equips_usuari!D419)</f>
        <v/>
      </c>
      <c r="E419" s="3" t="str">
        <f>IF(Equips_usuari!F419="","",Equips_usuari!F419)</f>
        <v/>
      </c>
      <c r="F419" s="3" t="str">
        <f>IF($C419="","",SUMIFS(Resultats_jugadores!$C:$C,Resultats_jugadores!$A:$A,$A419,Resultats_jugadores!$B:$B,$C419))</f>
        <v/>
      </c>
      <c r="G419" s="3" t="str">
        <f>IF($C419="","",SUMIFS(Resultats_jugadores!$D:$D,Resultats_jugadores!$A:$A,$A419,Resultats_jugadores!$B:$B,$C419))</f>
        <v/>
      </c>
      <c r="H419" s="3" t="str">
        <f t="shared" si="3"/>
        <v/>
      </c>
      <c r="I419" s="3" t="str">
        <f t="array" ref="I419">IF($C419="","",IFERROR(INDEX(Partits!$C:$C,MATCH($A419&amp;"_"&amp;$D419,Partits!$D:$D,0)),""))</f>
        <v/>
      </c>
      <c r="J419" s="3" t="str">
        <f t="shared" si="4"/>
        <v/>
      </c>
      <c r="K419" s="3" t="str">
        <f t="shared" si="5"/>
        <v/>
      </c>
      <c r="L419" s="3" t="str">
        <f t="shared" si="6"/>
        <v/>
      </c>
      <c r="M419" s="3" t="str">
        <f t="shared" si="7"/>
        <v/>
      </c>
    </row>
    <row r="420" ht="15.0" customHeight="1">
      <c r="A420" s="3" t="str">
        <f>IF(Equips_usuari!A420="","",Equips_usuari!A420)</f>
        <v/>
      </c>
      <c r="B420" s="3" t="str">
        <f>IF(Equips_usuari!B420="","",Equips_usuari!B420)</f>
        <v/>
      </c>
      <c r="C420" s="3" t="str">
        <f>IF(Equips_usuari!C420="","",Equips_usuari!C420)</f>
        <v/>
      </c>
      <c r="D420" s="3" t="str">
        <f>IF(Equips_usuari!D420="","",Equips_usuari!D420)</f>
        <v/>
      </c>
      <c r="E420" s="3" t="str">
        <f>IF(Equips_usuari!F420="","",Equips_usuari!F420)</f>
        <v/>
      </c>
      <c r="F420" s="3" t="str">
        <f>IF($C420="","",SUMIFS(Resultats_jugadores!$C:$C,Resultats_jugadores!$A:$A,$A420,Resultats_jugadores!$B:$B,$C420))</f>
        <v/>
      </c>
      <c r="G420" s="3" t="str">
        <f>IF($C420="","",SUMIFS(Resultats_jugadores!$D:$D,Resultats_jugadores!$A:$A,$A420,Resultats_jugadores!$B:$B,$C420))</f>
        <v/>
      </c>
      <c r="H420" s="3" t="str">
        <f t="shared" si="3"/>
        <v/>
      </c>
      <c r="I420" s="3" t="str">
        <f t="array" ref="I420">IF($C420="","",IFERROR(INDEX(Partits!$C:$C,MATCH($A420&amp;"_"&amp;$D420,Partits!$D:$D,0)),""))</f>
        <v/>
      </c>
      <c r="J420" s="3" t="str">
        <f t="shared" si="4"/>
        <v/>
      </c>
      <c r="K420" s="3" t="str">
        <f t="shared" si="5"/>
        <v/>
      </c>
      <c r="L420" s="3" t="str">
        <f t="shared" si="6"/>
        <v/>
      </c>
      <c r="M420" s="3" t="str">
        <f t="shared" si="7"/>
        <v/>
      </c>
    </row>
    <row r="421" ht="15.0" customHeight="1">
      <c r="A421" s="3" t="str">
        <f>IF(Equips_usuari!A421="","",Equips_usuari!A421)</f>
        <v/>
      </c>
      <c r="B421" s="3" t="str">
        <f>IF(Equips_usuari!B421="","",Equips_usuari!B421)</f>
        <v/>
      </c>
      <c r="C421" s="3" t="str">
        <f>IF(Equips_usuari!C421="","",Equips_usuari!C421)</f>
        <v/>
      </c>
      <c r="D421" s="3" t="str">
        <f>IF(Equips_usuari!D421="","",Equips_usuari!D421)</f>
        <v/>
      </c>
      <c r="E421" s="3" t="str">
        <f>IF(Equips_usuari!F421="","",Equips_usuari!F421)</f>
        <v/>
      </c>
      <c r="F421" s="3" t="str">
        <f>IF($C421="","",SUMIFS(Resultats_jugadores!$C:$C,Resultats_jugadores!$A:$A,$A421,Resultats_jugadores!$B:$B,$C421))</f>
        <v/>
      </c>
      <c r="G421" s="3" t="str">
        <f>IF($C421="","",SUMIFS(Resultats_jugadores!$D:$D,Resultats_jugadores!$A:$A,$A421,Resultats_jugadores!$B:$B,$C421))</f>
        <v/>
      </c>
      <c r="H421" s="3" t="str">
        <f t="shared" si="3"/>
        <v/>
      </c>
      <c r="I421" s="3" t="str">
        <f t="array" ref="I421">IF($C421="","",IFERROR(INDEX(Partits!$C:$C,MATCH($A421&amp;"_"&amp;$D421,Partits!$D:$D,0)),""))</f>
        <v/>
      </c>
      <c r="J421" s="3" t="str">
        <f t="shared" si="4"/>
        <v/>
      </c>
      <c r="K421" s="3" t="str">
        <f t="shared" si="5"/>
        <v/>
      </c>
      <c r="L421" s="3" t="str">
        <f t="shared" si="6"/>
        <v/>
      </c>
      <c r="M421" s="3" t="str">
        <f t="shared" si="7"/>
        <v/>
      </c>
    </row>
    <row r="422" ht="15.0" customHeight="1">
      <c r="A422" s="3" t="str">
        <f>IF(Equips_usuari!A422="","",Equips_usuari!A422)</f>
        <v/>
      </c>
      <c r="B422" s="3" t="str">
        <f>IF(Equips_usuari!B422="","",Equips_usuari!B422)</f>
        <v/>
      </c>
      <c r="C422" s="3" t="str">
        <f>IF(Equips_usuari!C422="","",Equips_usuari!C422)</f>
        <v/>
      </c>
      <c r="D422" s="3" t="str">
        <f>IF(Equips_usuari!D422="","",Equips_usuari!D422)</f>
        <v/>
      </c>
      <c r="E422" s="3" t="str">
        <f>IF(Equips_usuari!F422="","",Equips_usuari!F422)</f>
        <v/>
      </c>
      <c r="F422" s="3" t="str">
        <f>IF($C422="","",SUMIFS(Resultats_jugadores!$C:$C,Resultats_jugadores!$A:$A,$A422,Resultats_jugadores!$B:$B,$C422))</f>
        <v/>
      </c>
      <c r="G422" s="3" t="str">
        <f>IF($C422="","",SUMIFS(Resultats_jugadores!$D:$D,Resultats_jugadores!$A:$A,$A422,Resultats_jugadores!$B:$B,$C422))</f>
        <v/>
      </c>
      <c r="H422" s="3" t="str">
        <f t="shared" si="3"/>
        <v/>
      </c>
      <c r="I422" s="3" t="str">
        <f t="array" ref="I422">IF($C422="","",IFERROR(INDEX(Partits!$C:$C,MATCH($A422&amp;"_"&amp;$D422,Partits!$D:$D,0)),""))</f>
        <v/>
      </c>
      <c r="J422" s="3" t="str">
        <f t="shared" si="4"/>
        <v/>
      </c>
      <c r="K422" s="3" t="str">
        <f t="shared" si="5"/>
        <v/>
      </c>
      <c r="L422" s="3" t="str">
        <f t="shared" si="6"/>
        <v/>
      </c>
      <c r="M422" s="3" t="str">
        <f t="shared" si="7"/>
        <v/>
      </c>
    </row>
    <row r="423" ht="15.0" customHeight="1">
      <c r="A423" s="3" t="str">
        <f>IF(Equips_usuari!A423="","",Equips_usuari!A423)</f>
        <v/>
      </c>
      <c r="B423" s="3" t="str">
        <f>IF(Equips_usuari!B423="","",Equips_usuari!B423)</f>
        <v/>
      </c>
      <c r="C423" s="3" t="str">
        <f>IF(Equips_usuari!C423="","",Equips_usuari!C423)</f>
        <v/>
      </c>
      <c r="D423" s="3" t="str">
        <f>IF(Equips_usuari!D423="","",Equips_usuari!D423)</f>
        <v/>
      </c>
      <c r="E423" s="3" t="str">
        <f>IF(Equips_usuari!F423="","",Equips_usuari!F423)</f>
        <v/>
      </c>
      <c r="F423" s="3" t="str">
        <f>IF($C423="","",SUMIFS(Resultats_jugadores!$C:$C,Resultats_jugadores!$A:$A,$A423,Resultats_jugadores!$B:$B,$C423))</f>
        <v/>
      </c>
      <c r="G423" s="3" t="str">
        <f>IF($C423="","",SUMIFS(Resultats_jugadores!$D:$D,Resultats_jugadores!$A:$A,$A423,Resultats_jugadores!$B:$B,$C423))</f>
        <v/>
      </c>
      <c r="H423" s="3" t="str">
        <f t="shared" si="3"/>
        <v/>
      </c>
      <c r="I423" s="3" t="str">
        <f t="array" ref="I423">IF($C423="","",IFERROR(INDEX(Partits!$C:$C,MATCH($A423&amp;"_"&amp;$D423,Partits!$D:$D,0)),""))</f>
        <v/>
      </c>
      <c r="J423" s="3" t="str">
        <f t="shared" si="4"/>
        <v/>
      </c>
      <c r="K423" s="3" t="str">
        <f t="shared" si="5"/>
        <v/>
      </c>
      <c r="L423" s="3" t="str">
        <f t="shared" si="6"/>
        <v/>
      </c>
      <c r="M423" s="3" t="str">
        <f t="shared" si="7"/>
        <v/>
      </c>
    </row>
    <row r="424" ht="15.0" customHeight="1">
      <c r="A424" s="3" t="str">
        <f>IF(Equips_usuari!A424="","",Equips_usuari!A424)</f>
        <v/>
      </c>
      <c r="B424" s="3" t="str">
        <f>IF(Equips_usuari!B424="","",Equips_usuari!B424)</f>
        <v/>
      </c>
      <c r="C424" s="3" t="str">
        <f>IF(Equips_usuari!C424="","",Equips_usuari!C424)</f>
        <v/>
      </c>
      <c r="D424" s="3" t="str">
        <f>IF(Equips_usuari!D424="","",Equips_usuari!D424)</f>
        <v/>
      </c>
      <c r="E424" s="3" t="str">
        <f>IF(Equips_usuari!F424="","",Equips_usuari!F424)</f>
        <v/>
      </c>
      <c r="F424" s="3" t="str">
        <f>IF($C424="","",SUMIFS(Resultats_jugadores!$C:$C,Resultats_jugadores!$A:$A,$A424,Resultats_jugadores!$B:$B,$C424))</f>
        <v/>
      </c>
      <c r="G424" s="3" t="str">
        <f>IF($C424="","",SUMIFS(Resultats_jugadores!$D:$D,Resultats_jugadores!$A:$A,$A424,Resultats_jugadores!$B:$B,$C424))</f>
        <v/>
      </c>
      <c r="H424" s="3" t="str">
        <f t="shared" si="3"/>
        <v/>
      </c>
      <c r="I424" s="3" t="str">
        <f t="array" ref="I424">IF($C424="","",IFERROR(INDEX(Partits!$C:$C,MATCH($A424&amp;"_"&amp;$D424,Partits!$D:$D,0)),""))</f>
        <v/>
      </c>
      <c r="J424" s="3" t="str">
        <f t="shared" si="4"/>
        <v/>
      </c>
      <c r="K424" s="3" t="str">
        <f t="shared" si="5"/>
        <v/>
      </c>
      <c r="L424" s="3" t="str">
        <f t="shared" si="6"/>
        <v/>
      </c>
      <c r="M424" s="3" t="str">
        <f t="shared" si="7"/>
        <v/>
      </c>
    </row>
    <row r="425" ht="15.0" customHeight="1">
      <c r="A425" s="3" t="str">
        <f>IF(Equips_usuari!A425="","",Equips_usuari!A425)</f>
        <v/>
      </c>
      <c r="B425" s="3" t="str">
        <f>IF(Equips_usuari!B425="","",Equips_usuari!B425)</f>
        <v/>
      </c>
      <c r="C425" s="3" t="str">
        <f>IF(Equips_usuari!C425="","",Equips_usuari!C425)</f>
        <v/>
      </c>
      <c r="D425" s="3" t="str">
        <f>IF(Equips_usuari!D425="","",Equips_usuari!D425)</f>
        <v/>
      </c>
      <c r="E425" s="3" t="str">
        <f>IF(Equips_usuari!F425="","",Equips_usuari!F425)</f>
        <v/>
      </c>
      <c r="F425" s="3" t="str">
        <f>IF($C425="","",SUMIFS(Resultats_jugadores!$C:$C,Resultats_jugadores!$A:$A,$A425,Resultats_jugadores!$B:$B,$C425))</f>
        <v/>
      </c>
      <c r="G425" s="3" t="str">
        <f>IF($C425="","",SUMIFS(Resultats_jugadores!$D:$D,Resultats_jugadores!$A:$A,$A425,Resultats_jugadores!$B:$B,$C425))</f>
        <v/>
      </c>
      <c r="H425" s="3" t="str">
        <f t="shared" si="3"/>
        <v/>
      </c>
      <c r="I425" s="3" t="str">
        <f t="array" ref="I425">IF($C425="","",IFERROR(INDEX(Partits!$C:$C,MATCH($A425&amp;"_"&amp;$D425,Partits!$D:$D,0)),""))</f>
        <v/>
      </c>
      <c r="J425" s="3" t="str">
        <f t="shared" si="4"/>
        <v/>
      </c>
      <c r="K425" s="3" t="str">
        <f t="shared" si="5"/>
        <v/>
      </c>
      <c r="L425" s="3" t="str">
        <f t="shared" si="6"/>
        <v/>
      </c>
      <c r="M425" s="3" t="str">
        <f t="shared" si="7"/>
        <v/>
      </c>
    </row>
    <row r="426" ht="15.0" customHeight="1">
      <c r="A426" s="3" t="str">
        <f>IF(Equips_usuari!A426="","",Equips_usuari!A426)</f>
        <v/>
      </c>
      <c r="B426" s="3" t="str">
        <f>IF(Equips_usuari!B426="","",Equips_usuari!B426)</f>
        <v/>
      </c>
      <c r="C426" s="3" t="str">
        <f>IF(Equips_usuari!C426="","",Equips_usuari!C426)</f>
        <v/>
      </c>
      <c r="D426" s="3" t="str">
        <f>IF(Equips_usuari!D426="","",Equips_usuari!D426)</f>
        <v/>
      </c>
      <c r="E426" s="3" t="str">
        <f>IF(Equips_usuari!F426="","",Equips_usuari!F426)</f>
        <v/>
      </c>
      <c r="F426" s="3" t="str">
        <f>IF($C426="","",SUMIFS(Resultats_jugadores!$C:$C,Resultats_jugadores!$A:$A,$A426,Resultats_jugadores!$B:$B,$C426))</f>
        <v/>
      </c>
      <c r="G426" s="3" t="str">
        <f>IF($C426="","",SUMIFS(Resultats_jugadores!$D:$D,Resultats_jugadores!$A:$A,$A426,Resultats_jugadores!$B:$B,$C426))</f>
        <v/>
      </c>
      <c r="H426" s="3" t="str">
        <f t="shared" si="3"/>
        <v/>
      </c>
      <c r="I426" s="3" t="str">
        <f t="array" ref="I426">IF($C426="","",IFERROR(INDEX(Partits!$C:$C,MATCH($A426&amp;"_"&amp;$D426,Partits!$D:$D,0)),""))</f>
        <v/>
      </c>
      <c r="J426" s="3" t="str">
        <f t="shared" si="4"/>
        <v/>
      </c>
      <c r="K426" s="3" t="str">
        <f t="shared" si="5"/>
        <v/>
      </c>
      <c r="L426" s="3" t="str">
        <f t="shared" si="6"/>
        <v/>
      </c>
      <c r="M426" s="3" t="str">
        <f t="shared" si="7"/>
        <v/>
      </c>
    </row>
    <row r="427" ht="15.0" customHeight="1">
      <c r="A427" s="3" t="str">
        <f>IF(Equips_usuari!A427="","",Equips_usuari!A427)</f>
        <v/>
      </c>
      <c r="B427" s="3" t="str">
        <f>IF(Equips_usuari!B427="","",Equips_usuari!B427)</f>
        <v/>
      </c>
      <c r="C427" s="3" t="str">
        <f>IF(Equips_usuari!C427="","",Equips_usuari!C427)</f>
        <v/>
      </c>
      <c r="D427" s="3" t="str">
        <f>IF(Equips_usuari!D427="","",Equips_usuari!D427)</f>
        <v/>
      </c>
      <c r="E427" s="3" t="str">
        <f>IF(Equips_usuari!F427="","",Equips_usuari!F427)</f>
        <v/>
      </c>
      <c r="F427" s="3" t="str">
        <f>IF($C427="","",SUMIFS(Resultats_jugadores!$C:$C,Resultats_jugadores!$A:$A,$A427,Resultats_jugadores!$B:$B,$C427))</f>
        <v/>
      </c>
      <c r="G427" s="3" t="str">
        <f>IF($C427="","",SUMIFS(Resultats_jugadores!$D:$D,Resultats_jugadores!$A:$A,$A427,Resultats_jugadores!$B:$B,$C427))</f>
        <v/>
      </c>
      <c r="H427" s="3" t="str">
        <f t="shared" si="3"/>
        <v/>
      </c>
      <c r="I427" s="3" t="str">
        <f t="array" ref="I427">IF($C427="","",IFERROR(INDEX(Partits!$C:$C,MATCH($A427&amp;"_"&amp;$D427,Partits!$D:$D,0)),""))</f>
        <v/>
      </c>
      <c r="J427" s="3" t="str">
        <f t="shared" si="4"/>
        <v/>
      </c>
      <c r="K427" s="3" t="str">
        <f t="shared" si="5"/>
        <v/>
      </c>
      <c r="L427" s="3" t="str">
        <f t="shared" si="6"/>
        <v/>
      </c>
      <c r="M427" s="3" t="str">
        <f t="shared" si="7"/>
        <v/>
      </c>
    </row>
    <row r="428" ht="15.0" customHeight="1">
      <c r="A428" s="3" t="str">
        <f>IF(Equips_usuari!A428="","",Equips_usuari!A428)</f>
        <v/>
      </c>
      <c r="B428" s="3" t="str">
        <f>IF(Equips_usuari!B428="","",Equips_usuari!B428)</f>
        <v/>
      </c>
      <c r="C428" s="3" t="str">
        <f>IF(Equips_usuari!C428="","",Equips_usuari!C428)</f>
        <v/>
      </c>
      <c r="D428" s="3" t="str">
        <f>IF(Equips_usuari!D428="","",Equips_usuari!D428)</f>
        <v/>
      </c>
      <c r="E428" s="3" t="str">
        <f>IF(Equips_usuari!F428="","",Equips_usuari!F428)</f>
        <v/>
      </c>
      <c r="F428" s="3" t="str">
        <f>IF($C428="","",SUMIFS(Resultats_jugadores!$C:$C,Resultats_jugadores!$A:$A,$A428,Resultats_jugadores!$B:$B,$C428))</f>
        <v/>
      </c>
      <c r="G428" s="3" t="str">
        <f>IF($C428="","",SUMIFS(Resultats_jugadores!$D:$D,Resultats_jugadores!$A:$A,$A428,Resultats_jugadores!$B:$B,$C428))</f>
        <v/>
      </c>
      <c r="H428" s="3" t="str">
        <f t="shared" si="3"/>
        <v/>
      </c>
      <c r="I428" s="3" t="str">
        <f t="array" ref="I428">IF($C428="","",IFERROR(INDEX(Partits!$C:$C,MATCH($A428&amp;"_"&amp;$D428,Partits!$D:$D,0)),""))</f>
        <v/>
      </c>
      <c r="J428" s="3" t="str">
        <f t="shared" si="4"/>
        <v/>
      </c>
      <c r="K428" s="3" t="str">
        <f t="shared" si="5"/>
        <v/>
      </c>
      <c r="L428" s="3" t="str">
        <f t="shared" si="6"/>
        <v/>
      </c>
      <c r="M428" s="3" t="str">
        <f t="shared" si="7"/>
        <v/>
      </c>
    </row>
    <row r="429" ht="15.0" customHeight="1">
      <c r="A429" s="3" t="str">
        <f>IF(Equips_usuari!A429="","",Equips_usuari!A429)</f>
        <v/>
      </c>
      <c r="B429" s="3" t="str">
        <f>IF(Equips_usuari!B429="","",Equips_usuari!B429)</f>
        <v/>
      </c>
      <c r="C429" s="3" t="str">
        <f>IF(Equips_usuari!C429="","",Equips_usuari!C429)</f>
        <v/>
      </c>
      <c r="D429" s="3" t="str">
        <f>IF(Equips_usuari!D429="","",Equips_usuari!D429)</f>
        <v/>
      </c>
      <c r="E429" s="3" t="str">
        <f>IF(Equips_usuari!F429="","",Equips_usuari!F429)</f>
        <v/>
      </c>
      <c r="F429" s="3" t="str">
        <f>IF($C429="","",SUMIFS(Resultats_jugadores!$C:$C,Resultats_jugadores!$A:$A,$A429,Resultats_jugadores!$B:$B,$C429))</f>
        <v/>
      </c>
      <c r="G429" s="3" t="str">
        <f>IF($C429="","",SUMIFS(Resultats_jugadores!$D:$D,Resultats_jugadores!$A:$A,$A429,Resultats_jugadores!$B:$B,$C429))</f>
        <v/>
      </c>
      <c r="H429" s="3" t="str">
        <f t="shared" si="3"/>
        <v/>
      </c>
      <c r="I429" s="3" t="str">
        <f t="array" ref="I429">IF($C429="","",IFERROR(INDEX(Partits!$C:$C,MATCH($A429&amp;"_"&amp;$D429,Partits!$D:$D,0)),""))</f>
        <v/>
      </c>
      <c r="J429" s="3" t="str">
        <f t="shared" si="4"/>
        <v/>
      </c>
      <c r="K429" s="3" t="str">
        <f t="shared" si="5"/>
        <v/>
      </c>
      <c r="L429" s="3" t="str">
        <f t="shared" si="6"/>
        <v/>
      </c>
      <c r="M429" s="3" t="str">
        <f t="shared" si="7"/>
        <v/>
      </c>
    </row>
    <row r="430" ht="15.0" customHeight="1">
      <c r="A430" s="3" t="str">
        <f>IF(Equips_usuari!A430="","",Equips_usuari!A430)</f>
        <v/>
      </c>
      <c r="B430" s="3" t="str">
        <f>IF(Equips_usuari!B430="","",Equips_usuari!B430)</f>
        <v/>
      </c>
      <c r="C430" s="3" t="str">
        <f>IF(Equips_usuari!C430="","",Equips_usuari!C430)</f>
        <v/>
      </c>
      <c r="D430" s="3" t="str">
        <f>IF(Equips_usuari!D430="","",Equips_usuari!D430)</f>
        <v/>
      </c>
      <c r="E430" s="3" t="str">
        <f>IF(Equips_usuari!F430="","",Equips_usuari!F430)</f>
        <v/>
      </c>
      <c r="F430" s="3" t="str">
        <f>IF($C430="","",SUMIFS(Resultats_jugadores!$C:$C,Resultats_jugadores!$A:$A,$A430,Resultats_jugadores!$B:$B,$C430))</f>
        <v/>
      </c>
      <c r="G430" s="3" t="str">
        <f>IF($C430="","",SUMIFS(Resultats_jugadores!$D:$D,Resultats_jugadores!$A:$A,$A430,Resultats_jugadores!$B:$B,$C430))</f>
        <v/>
      </c>
      <c r="H430" s="3" t="str">
        <f t="shared" si="3"/>
        <v/>
      </c>
      <c r="I430" s="3" t="str">
        <f t="array" ref="I430">IF($C430="","",IFERROR(INDEX(Partits!$C:$C,MATCH($A430&amp;"_"&amp;$D430,Partits!$D:$D,0)),""))</f>
        <v/>
      </c>
      <c r="J430" s="3" t="str">
        <f t="shared" si="4"/>
        <v/>
      </c>
      <c r="K430" s="3" t="str">
        <f t="shared" si="5"/>
        <v/>
      </c>
      <c r="L430" s="3" t="str">
        <f t="shared" si="6"/>
        <v/>
      </c>
      <c r="M430" s="3" t="str">
        <f t="shared" si="7"/>
        <v/>
      </c>
    </row>
    <row r="431" ht="15.0" customHeight="1">
      <c r="A431" s="3" t="str">
        <f>IF(Equips_usuari!A431="","",Equips_usuari!A431)</f>
        <v/>
      </c>
      <c r="B431" s="3" t="str">
        <f>IF(Equips_usuari!B431="","",Equips_usuari!B431)</f>
        <v/>
      </c>
      <c r="C431" s="3" t="str">
        <f>IF(Equips_usuari!C431="","",Equips_usuari!C431)</f>
        <v/>
      </c>
      <c r="D431" s="3" t="str">
        <f>IF(Equips_usuari!D431="","",Equips_usuari!D431)</f>
        <v/>
      </c>
      <c r="E431" s="3" t="str">
        <f>IF(Equips_usuari!F431="","",Equips_usuari!F431)</f>
        <v/>
      </c>
      <c r="F431" s="3" t="str">
        <f>IF($C431="","",SUMIFS(Resultats_jugadores!$C:$C,Resultats_jugadores!$A:$A,$A431,Resultats_jugadores!$B:$B,$C431))</f>
        <v/>
      </c>
      <c r="G431" s="3" t="str">
        <f>IF($C431="","",SUMIFS(Resultats_jugadores!$D:$D,Resultats_jugadores!$A:$A,$A431,Resultats_jugadores!$B:$B,$C431))</f>
        <v/>
      </c>
      <c r="H431" s="3" t="str">
        <f t="shared" si="3"/>
        <v/>
      </c>
      <c r="I431" s="3" t="str">
        <f t="array" ref="I431">IF($C431="","",IFERROR(INDEX(Partits!$C:$C,MATCH($A431&amp;"_"&amp;$D431,Partits!$D:$D,0)),""))</f>
        <v/>
      </c>
      <c r="J431" s="3" t="str">
        <f t="shared" si="4"/>
        <v/>
      </c>
      <c r="K431" s="3" t="str">
        <f t="shared" si="5"/>
        <v/>
      </c>
      <c r="L431" s="3" t="str">
        <f t="shared" si="6"/>
        <v/>
      </c>
      <c r="M431" s="3" t="str">
        <f t="shared" si="7"/>
        <v/>
      </c>
    </row>
    <row r="432" ht="15.0" customHeight="1">
      <c r="A432" s="3" t="str">
        <f>IF(Equips_usuari!A432="","",Equips_usuari!A432)</f>
        <v/>
      </c>
      <c r="B432" s="3" t="str">
        <f>IF(Equips_usuari!B432="","",Equips_usuari!B432)</f>
        <v/>
      </c>
      <c r="C432" s="3" t="str">
        <f>IF(Equips_usuari!C432="","",Equips_usuari!C432)</f>
        <v/>
      </c>
      <c r="D432" s="3" t="str">
        <f>IF(Equips_usuari!D432="","",Equips_usuari!D432)</f>
        <v/>
      </c>
      <c r="E432" s="3" t="str">
        <f>IF(Equips_usuari!F432="","",Equips_usuari!F432)</f>
        <v/>
      </c>
      <c r="F432" s="3" t="str">
        <f>IF($C432="","",SUMIFS(Resultats_jugadores!$C:$C,Resultats_jugadores!$A:$A,$A432,Resultats_jugadores!$B:$B,$C432))</f>
        <v/>
      </c>
      <c r="G432" s="3" t="str">
        <f>IF($C432="","",SUMIFS(Resultats_jugadores!$D:$D,Resultats_jugadores!$A:$A,$A432,Resultats_jugadores!$B:$B,$C432))</f>
        <v/>
      </c>
      <c r="H432" s="3" t="str">
        <f t="shared" si="3"/>
        <v/>
      </c>
      <c r="I432" s="3" t="str">
        <f t="array" ref="I432">IF($C432="","",IFERROR(INDEX(Partits!$C:$C,MATCH($A432&amp;"_"&amp;$D432,Partits!$D:$D,0)),""))</f>
        <v/>
      </c>
      <c r="J432" s="3" t="str">
        <f t="shared" si="4"/>
        <v/>
      </c>
      <c r="K432" s="3" t="str">
        <f t="shared" si="5"/>
        <v/>
      </c>
      <c r="L432" s="3" t="str">
        <f t="shared" si="6"/>
        <v/>
      </c>
      <c r="M432" s="3" t="str">
        <f t="shared" si="7"/>
        <v/>
      </c>
    </row>
    <row r="433" ht="15.0" customHeight="1">
      <c r="A433" s="3" t="str">
        <f>IF(Equips_usuari!A433="","",Equips_usuari!A433)</f>
        <v/>
      </c>
      <c r="B433" s="3" t="str">
        <f>IF(Equips_usuari!B433="","",Equips_usuari!B433)</f>
        <v/>
      </c>
      <c r="C433" s="3" t="str">
        <f>IF(Equips_usuari!C433="","",Equips_usuari!C433)</f>
        <v/>
      </c>
      <c r="D433" s="3" t="str">
        <f>IF(Equips_usuari!D433="","",Equips_usuari!D433)</f>
        <v/>
      </c>
      <c r="E433" s="3" t="str">
        <f>IF(Equips_usuari!F433="","",Equips_usuari!F433)</f>
        <v/>
      </c>
      <c r="F433" s="3" t="str">
        <f>IF($C433="","",SUMIFS(Resultats_jugadores!$C:$C,Resultats_jugadores!$A:$A,$A433,Resultats_jugadores!$B:$B,$C433))</f>
        <v/>
      </c>
      <c r="G433" s="3" t="str">
        <f>IF($C433="","",SUMIFS(Resultats_jugadores!$D:$D,Resultats_jugadores!$A:$A,$A433,Resultats_jugadores!$B:$B,$C433))</f>
        <v/>
      </c>
      <c r="H433" s="3" t="str">
        <f t="shared" si="3"/>
        <v/>
      </c>
      <c r="I433" s="3" t="str">
        <f t="array" ref="I433">IF($C433="","",IFERROR(INDEX(Partits!$C:$C,MATCH($A433&amp;"_"&amp;$D433,Partits!$D:$D,0)),""))</f>
        <v/>
      </c>
      <c r="J433" s="3" t="str">
        <f t="shared" si="4"/>
        <v/>
      </c>
      <c r="K433" s="3" t="str">
        <f t="shared" si="5"/>
        <v/>
      </c>
      <c r="L433" s="3" t="str">
        <f t="shared" si="6"/>
        <v/>
      </c>
      <c r="M433" s="3" t="str">
        <f t="shared" si="7"/>
        <v/>
      </c>
    </row>
    <row r="434" ht="15.0" customHeight="1">
      <c r="A434" s="3" t="str">
        <f>IF(Equips_usuari!A434="","",Equips_usuari!A434)</f>
        <v/>
      </c>
      <c r="B434" s="3" t="str">
        <f>IF(Equips_usuari!B434="","",Equips_usuari!B434)</f>
        <v/>
      </c>
      <c r="C434" s="3" t="str">
        <f>IF(Equips_usuari!C434="","",Equips_usuari!C434)</f>
        <v/>
      </c>
      <c r="D434" s="3" t="str">
        <f>IF(Equips_usuari!D434="","",Equips_usuari!D434)</f>
        <v/>
      </c>
      <c r="E434" s="3" t="str">
        <f>IF(Equips_usuari!F434="","",Equips_usuari!F434)</f>
        <v/>
      </c>
      <c r="F434" s="3" t="str">
        <f>IF($C434="","",SUMIFS(Resultats_jugadores!$C:$C,Resultats_jugadores!$A:$A,$A434,Resultats_jugadores!$B:$B,$C434))</f>
        <v/>
      </c>
      <c r="G434" s="3" t="str">
        <f>IF($C434="","",SUMIFS(Resultats_jugadores!$D:$D,Resultats_jugadores!$A:$A,$A434,Resultats_jugadores!$B:$B,$C434))</f>
        <v/>
      </c>
      <c r="H434" s="3" t="str">
        <f t="shared" si="3"/>
        <v/>
      </c>
      <c r="I434" s="3" t="str">
        <f t="array" ref="I434">IF($C434="","",IFERROR(INDEX(Partits!$C:$C,MATCH($A434&amp;"_"&amp;$D434,Partits!$D:$D,0)),""))</f>
        <v/>
      </c>
      <c r="J434" s="3" t="str">
        <f t="shared" si="4"/>
        <v/>
      </c>
      <c r="K434" s="3" t="str">
        <f t="shared" si="5"/>
        <v/>
      </c>
      <c r="L434" s="3" t="str">
        <f t="shared" si="6"/>
        <v/>
      </c>
      <c r="M434" s="3" t="str">
        <f t="shared" si="7"/>
        <v/>
      </c>
    </row>
    <row r="435" ht="15.0" customHeight="1">
      <c r="A435" s="3" t="str">
        <f>IF(Equips_usuari!A435="","",Equips_usuari!A435)</f>
        <v/>
      </c>
      <c r="B435" s="3" t="str">
        <f>IF(Equips_usuari!B435="","",Equips_usuari!B435)</f>
        <v/>
      </c>
      <c r="C435" s="3" t="str">
        <f>IF(Equips_usuari!C435="","",Equips_usuari!C435)</f>
        <v/>
      </c>
      <c r="D435" s="3" t="str">
        <f>IF(Equips_usuari!D435="","",Equips_usuari!D435)</f>
        <v/>
      </c>
      <c r="E435" s="3" t="str">
        <f>IF(Equips_usuari!F435="","",Equips_usuari!F435)</f>
        <v/>
      </c>
      <c r="F435" s="3" t="str">
        <f>IF($C435="","",SUMIFS(Resultats_jugadores!$C:$C,Resultats_jugadores!$A:$A,$A435,Resultats_jugadores!$B:$B,$C435))</f>
        <v/>
      </c>
      <c r="G435" s="3" t="str">
        <f>IF($C435="","",SUMIFS(Resultats_jugadores!$D:$D,Resultats_jugadores!$A:$A,$A435,Resultats_jugadores!$B:$B,$C435))</f>
        <v/>
      </c>
      <c r="H435" s="3" t="str">
        <f t="shared" si="3"/>
        <v/>
      </c>
      <c r="I435" s="3" t="str">
        <f t="array" ref="I435">IF($C435="","",IFERROR(INDEX(Partits!$C:$C,MATCH($A435&amp;"_"&amp;$D435,Partits!$D:$D,0)),""))</f>
        <v/>
      </c>
      <c r="J435" s="3" t="str">
        <f t="shared" si="4"/>
        <v/>
      </c>
      <c r="K435" s="3" t="str">
        <f t="shared" si="5"/>
        <v/>
      </c>
      <c r="L435" s="3" t="str">
        <f t="shared" si="6"/>
        <v/>
      </c>
      <c r="M435" s="3" t="str">
        <f t="shared" si="7"/>
        <v/>
      </c>
    </row>
    <row r="436" ht="15.0" customHeight="1">
      <c r="A436" s="3" t="str">
        <f>IF(Equips_usuari!A436="","",Equips_usuari!A436)</f>
        <v/>
      </c>
      <c r="B436" s="3" t="str">
        <f>IF(Equips_usuari!B436="","",Equips_usuari!B436)</f>
        <v/>
      </c>
      <c r="C436" s="3" t="str">
        <f>IF(Equips_usuari!C436="","",Equips_usuari!C436)</f>
        <v/>
      </c>
      <c r="D436" s="3" t="str">
        <f>IF(Equips_usuari!D436="","",Equips_usuari!D436)</f>
        <v/>
      </c>
      <c r="E436" s="3" t="str">
        <f>IF(Equips_usuari!F436="","",Equips_usuari!F436)</f>
        <v/>
      </c>
      <c r="F436" s="3" t="str">
        <f>IF($C436="","",SUMIFS(Resultats_jugadores!$C:$C,Resultats_jugadores!$A:$A,$A436,Resultats_jugadores!$B:$B,$C436))</f>
        <v/>
      </c>
      <c r="G436" s="3" t="str">
        <f>IF($C436="","",SUMIFS(Resultats_jugadores!$D:$D,Resultats_jugadores!$A:$A,$A436,Resultats_jugadores!$B:$B,$C436))</f>
        <v/>
      </c>
      <c r="H436" s="3" t="str">
        <f t="shared" si="3"/>
        <v/>
      </c>
      <c r="I436" s="3" t="str">
        <f t="array" ref="I436">IF($C436="","",IFERROR(INDEX(Partits!$C:$C,MATCH($A436&amp;"_"&amp;$D436,Partits!$D:$D,0)),""))</f>
        <v/>
      </c>
      <c r="J436" s="3" t="str">
        <f t="shared" si="4"/>
        <v/>
      </c>
      <c r="K436" s="3" t="str">
        <f t="shared" si="5"/>
        <v/>
      </c>
      <c r="L436" s="3" t="str">
        <f t="shared" si="6"/>
        <v/>
      </c>
      <c r="M436" s="3" t="str">
        <f t="shared" si="7"/>
        <v/>
      </c>
    </row>
    <row r="437" ht="15.0" customHeight="1">
      <c r="A437" s="3" t="str">
        <f>IF(Equips_usuari!A437="","",Equips_usuari!A437)</f>
        <v/>
      </c>
      <c r="B437" s="3" t="str">
        <f>IF(Equips_usuari!B437="","",Equips_usuari!B437)</f>
        <v/>
      </c>
      <c r="C437" s="3" t="str">
        <f>IF(Equips_usuari!C437="","",Equips_usuari!C437)</f>
        <v/>
      </c>
      <c r="D437" s="3" t="str">
        <f>IF(Equips_usuari!D437="","",Equips_usuari!D437)</f>
        <v/>
      </c>
      <c r="E437" s="3" t="str">
        <f>IF(Equips_usuari!F437="","",Equips_usuari!F437)</f>
        <v/>
      </c>
      <c r="F437" s="3" t="str">
        <f>IF($C437="","",SUMIFS(Resultats_jugadores!$C:$C,Resultats_jugadores!$A:$A,$A437,Resultats_jugadores!$B:$B,$C437))</f>
        <v/>
      </c>
      <c r="G437" s="3" t="str">
        <f>IF($C437="","",SUMIFS(Resultats_jugadores!$D:$D,Resultats_jugadores!$A:$A,$A437,Resultats_jugadores!$B:$B,$C437))</f>
        <v/>
      </c>
      <c r="H437" s="3" t="str">
        <f t="shared" si="3"/>
        <v/>
      </c>
      <c r="I437" s="3" t="str">
        <f t="array" ref="I437">IF($C437="","",IFERROR(INDEX(Partits!$C:$C,MATCH($A437&amp;"_"&amp;$D437,Partits!$D:$D,0)),""))</f>
        <v/>
      </c>
      <c r="J437" s="3" t="str">
        <f t="shared" si="4"/>
        <v/>
      </c>
      <c r="K437" s="3" t="str">
        <f t="shared" si="5"/>
        <v/>
      </c>
      <c r="L437" s="3" t="str">
        <f t="shared" si="6"/>
        <v/>
      </c>
      <c r="M437" s="3" t="str">
        <f t="shared" si="7"/>
        <v/>
      </c>
    </row>
    <row r="438" ht="15.0" customHeight="1">
      <c r="A438" s="3" t="str">
        <f>IF(Equips_usuari!A438="","",Equips_usuari!A438)</f>
        <v/>
      </c>
      <c r="B438" s="3" t="str">
        <f>IF(Equips_usuari!B438="","",Equips_usuari!B438)</f>
        <v/>
      </c>
      <c r="C438" s="3" t="str">
        <f>IF(Equips_usuari!C438="","",Equips_usuari!C438)</f>
        <v/>
      </c>
      <c r="D438" s="3" t="str">
        <f>IF(Equips_usuari!D438="","",Equips_usuari!D438)</f>
        <v/>
      </c>
      <c r="E438" s="3" t="str">
        <f>IF(Equips_usuari!F438="","",Equips_usuari!F438)</f>
        <v/>
      </c>
      <c r="F438" s="3" t="str">
        <f>IF($C438="","",SUMIFS(Resultats_jugadores!$C:$C,Resultats_jugadores!$A:$A,$A438,Resultats_jugadores!$B:$B,$C438))</f>
        <v/>
      </c>
      <c r="G438" s="3" t="str">
        <f>IF($C438="","",SUMIFS(Resultats_jugadores!$D:$D,Resultats_jugadores!$A:$A,$A438,Resultats_jugadores!$B:$B,$C438))</f>
        <v/>
      </c>
      <c r="H438" s="3" t="str">
        <f t="shared" si="3"/>
        <v/>
      </c>
      <c r="I438" s="3" t="str">
        <f t="array" ref="I438">IF($C438="","",IFERROR(INDEX(Partits!$C:$C,MATCH($A438&amp;"_"&amp;$D438,Partits!$D:$D,0)),""))</f>
        <v/>
      </c>
      <c r="J438" s="3" t="str">
        <f t="shared" si="4"/>
        <v/>
      </c>
      <c r="K438" s="3" t="str">
        <f t="shared" si="5"/>
        <v/>
      </c>
      <c r="L438" s="3" t="str">
        <f t="shared" si="6"/>
        <v/>
      </c>
      <c r="M438" s="3" t="str">
        <f t="shared" si="7"/>
        <v/>
      </c>
    </row>
    <row r="439" ht="15.0" customHeight="1">
      <c r="A439" s="3" t="str">
        <f>IF(Equips_usuari!A439="","",Equips_usuari!A439)</f>
        <v/>
      </c>
      <c r="B439" s="3" t="str">
        <f>IF(Equips_usuari!B439="","",Equips_usuari!B439)</f>
        <v/>
      </c>
      <c r="C439" s="3" t="str">
        <f>IF(Equips_usuari!C439="","",Equips_usuari!C439)</f>
        <v/>
      </c>
      <c r="D439" s="3" t="str">
        <f>IF(Equips_usuari!D439="","",Equips_usuari!D439)</f>
        <v/>
      </c>
      <c r="E439" s="3" t="str">
        <f>IF(Equips_usuari!F439="","",Equips_usuari!F439)</f>
        <v/>
      </c>
      <c r="F439" s="3" t="str">
        <f>IF($C439="","",SUMIFS(Resultats_jugadores!$C:$C,Resultats_jugadores!$A:$A,$A439,Resultats_jugadores!$B:$B,$C439))</f>
        <v/>
      </c>
      <c r="G439" s="3" t="str">
        <f>IF($C439="","",SUMIFS(Resultats_jugadores!$D:$D,Resultats_jugadores!$A:$A,$A439,Resultats_jugadores!$B:$B,$C439))</f>
        <v/>
      </c>
      <c r="H439" s="3" t="str">
        <f t="shared" si="3"/>
        <v/>
      </c>
      <c r="I439" s="3" t="str">
        <f t="array" ref="I439">IF($C439="","",IFERROR(INDEX(Partits!$C:$C,MATCH($A439&amp;"_"&amp;$D439,Partits!$D:$D,0)),""))</f>
        <v/>
      </c>
      <c r="J439" s="3" t="str">
        <f t="shared" si="4"/>
        <v/>
      </c>
      <c r="K439" s="3" t="str">
        <f t="shared" si="5"/>
        <v/>
      </c>
      <c r="L439" s="3" t="str">
        <f t="shared" si="6"/>
        <v/>
      </c>
      <c r="M439" s="3" t="str">
        <f t="shared" si="7"/>
        <v/>
      </c>
    </row>
    <row r="440" ht="15.0" customHeight="1">
      <c r="A440" s="3" t="str">
        <f>IF(Equips_usuari!A440="","",Equips_usuari!A440)</f>
        <v/>
      </c>
      <c r="B440" s="3" t="str">
        <f>IF(Equips_usuari!B440="","",Equips_usuari!B440)</f>
        <v/>
      </c>
      <c r="C440" s="3" t="str">
        <f>IF(Equips_usuari!C440="","",Equips_usuari!C440)</f>
        <v/>
      </c>
      <c r="D440" s="3" t="str">
        <f>IF(Equips_usuari!D440="","",Equips_usuari!D440)</f>
        <v/>
      </c>
      <c r="E440" s="3" t="str">
        <f>IF(Equips_usuari!F440="","",Equips_usuari!F440)</f>
        <v/>
      </c>
      <c r="F440" s="3" t="str">
        <f>IF($C440="","",SUMIFS(Resultats_jugadores!$C:$C,Resultats_jugadores!$A:$A,$A440,Resultats_jugadores!$B:$B,$C440))</f>
        <v/>
      </c>
      <c r="G440" s="3" t="str">
        <f>IF($C440="","",SUMIFS(Resultats_jugadores!$D:$D,Resultats_jugadores!$A:$A,$A440,Resultats_jugadores!$B:$B,$C440))</f>
        <v/>
      </c>
      <c r="H440" s="3" t="str">
        <f t="shared" si="3"/>
        <v/>
      </c>
      <c r="I440" s="3" t="str">
        <f t="array" ref="I440">IF($C440="","",IFERROR(INDEX(Partits!$C:$C,MATCH($A440&amp;"_"&amp;$D440,Partits!$D:$D,0)),""))</f>
        <v/>
      </c>
      <c r="J440" s="3" t="str">
        <f t="shared" si="4"/>
        <v/>
      </c>
      <c r="K440" s="3" t="str">
        <f t="shared" si="5"/>
        <v/>
      </c>
      <c r="L440" s="3" t="str">
        <f t="shared" si="6"/>
        <v/>
      </c>
      <c r="M440" s="3" t="str">
        <f t="shared" si="7"/>
        <v/>
      </c>
    </row>
    <row r="441" ht="15.0" customHeight="1">
      <c r="A441" s="3" t="str">
        <f>IF(Equips_usuari!A441="","",Equips_usuari!A441)</f>
        <v/>
      </c>
      <c r="B441" s="3" t="str">
        <f>IF(Equips_usuari!B441="","",Equips_usuari!B441)</f>
        <v/>
      </c>
      <c r="C441" s="3" t="str">
        <f>IF(Equips_usuari!C441="","",Equips_usuari!C441)</f>
        <v/>
      </c>
      <c r="D441" s="3" t="str">
        <f>IF(Equips_usuari!D441="","",Equips_usuari!D441)</f>
        <v/>
      </c>
      <c r="E441" s="3" t="str">
        <f>IF(Equips_usuari!F441="","",Equips_usuari!F441)</f>
        <v/>
      </c>
      <c r="F441" s="3" t="str">
        <f>IF($C441="","",SUMIFS(Resultats_jugadores!$C:$C,Resultats_jugadores!$A:$A,$A441,Resultats_jugadores!$B:$B,$C441))</f>
        <v/>
      </c>
      <c r="G441" s="3" t="str">
        <f>IF($C441="","",SUMIFS(Resultats_jugadores!$D:$D,Resultats_jugadores!$A:$A,$A441,Resultats_jugadores!$B:$B,$C441))</f>
        <v/>
      </c>
      <c r="H441" s="3" t="str">
        <f t="shared" si="3"/>
        <v/>
      </c>
      <c r="I441" s="3" t="str">
        <f t="array" ref="I441">IF($C441="","",IFERROR(INDEX(Partits!$C:$C,MATCH($A441&amp;"_"&amp;$D441,Partits!$D:$D,0)),""))</f>
        <v/>
      </c>
      <c r="J441" s="3" t="str">
        <f t="shared" si="4"/>
        <v/>
      </c>
      <c r="K441" s="3" t="str">
        <f t="shared" si="5"/>
        <v/>
      </c>
      <c r="L441" s="3" t="str">
        <f t="shared" si="6"/>
        <v/>
      </c>
      <c r="M441" s="3" t="str">
        <f t="shared" si="7"/>
        <v/>
      </c>
    </row>
    <row r="442" ht="15.0" customHeight="1">
      <c r="A442" s="3" t="str">
        <f>IF(Equips_usuari!A442="","",Equips_usuari!A442)</f>
        <v/>
      </c>
      <c r="B442" s="3" t="str">
        <f>IF(Equips_usuari!B442="","",Equips_usuari!B442)</f>
        <v/>
      </c>
      <c r="C442" s="3" t="str">
        <f>IF(Equips_usuari!C442="","",Equips_usuari!C442)</f>
        <v/>
      </c>
      <c r="D442" s="3" t="str">
        <f>IF(Equips_usuari!D442="","",Equips_usuari!D442)</f>
        <v/>
      </c>
      <c r="E442" s="3" t="str">
        <f>IF(Equips_usuari!F442="","",Equips_usuari!F442)</f>
        <v/>
      </c>
      <c r="F442" s="3" t="str">
        <f>IF($C442="","",SUMIFS(Resultats_jugadores!$C:$C,Resultats_jugadores!$A:$A,$A442,Resultats_jugadores!$B:$B,$C442))</f>
        <v/>
      </c>
      <c r="G442" s="3" t="str">
        <f>IF($C442="","",SUMIFS(Resultats_jugadores!$D:$D,Resultats_jugadores!$A:$A,$A442,Resultats_jugadores!$B:$B,$C442))</f>
        <v/>
      </c>
      <c r="H442" s="3" t="str">
        <f t="shared" si="3"/>
        <v/>
      </c>
      <c r="I442" s="3" t="str">
        <f t="array" ref="I442">IF($C442="","",IFERROR(INDEX(Partits!$C:$C,MATCH($A442&amp;"_"&amp;$D442,Partits!$D:$D,0)),""))</f>
        <v/>
      </c>
      <c r="J442" s="3" t="str">
        <f t="shared" si="4"/>
        <v/>
      </c>
      <c r="K442" s="3" t="str">
        <f t="shared" si="5"/>
        <v/>
      </c>
      <c r="L442" s="3" t="str">
        <f t="shared" si="6"/>
        <v/>
      </c>
      <c r="M442" s="3" t="str">
        <f t="shared" si="7"/>
        <v/>
      </c>
    </row>
    <row r="443" ht="15.0" customHeight="1">
      <c r="A443" s="3" t="str">
        <f>IF(Equips_usuari!A443="","",Equips_usuari!A443)</f>
        <v/>
      </c>
      <c r="B443" s="3" t="str">
        <f>IF(Equips_usuari!B443="","",Equips_usuari!B443)</f>
        <v/>
      </c>
      <c r="C443" s="3" t="str">
        <f>IF(Equips_usuari!C443="","",Equips_usuari!C443)</f>
        <v/>
      </c>
      <c r="D443" s="3" t="str">
        <f>IF(Equips_usuari!D443="","",Equips_usuari!D443)</f>
        <v/>
      </c>
      <c r="E443" s="3" t="str">
        <f>IF(Equips_usuari!F443="","",Equips_usuari!F443)</f>
        <v/>
      </c>
      <c r="F443" s="3" t="str">
        <f>IF($C443="","",SUMIFS(Resultats_jugadores!$C:$C,Resultats_jugadores!$A:$A,$A443,Resultats_jugadores!$B:$B,$C443))</f>
        <v/>
      </c>
      <c r="G443" s="3" t="str">
        <f>IF($C443="","",SUMIFS(Resultats_jugadores!$D:$D,Resultats_jugadores!$A:$A,$A443,Resultats_jugadores!$B:$B,$C443))</f>
        <v/>
      </c>
      <c r="H443" s="3" t="str">
        <f t="shared" si="3"/>
        <v/>
      </c>
      <c r="I443" s="3" t="str">
        <f t="array" ref="I443">IF($C443="","",IFERROR(INDEX(Partits!$C:$C,MATCH($A443&amp;"_"&amp;$D443,Partits!$D:$D,0)),""))</f>
        <v/>
      </c>
      <c r="J443" s="3" t="str">
        <f t="shared" si="4"/>
        <v/>
      </c>
      <c r="K443" s="3" t="str">
        <f t="shared" si="5"/>
        <v/>
      </c>
      <c r="L443" s="3" t="str">
        <f t="shared" si="6"/>
        <v/>
      </c>
      <c r="M443" s="3" t="str">
        <f t="shared" si="7"/>
        <v/>
      </c>
    </row>
    <row r="444" ht="15.0" customHeight="1">
      <c r="A444" s="3" t="str">
        <f>IF(Equips_usuari!A444="","",Equips_usuari!A444)</f>
        <v/>
      </c>
      <c r="B444" s="3" t="str">
        <f>IF(Equips_usuari!B444="","",Equips_usuari!B444)</f>
        <v/>
      </c>
      <c r="C444" s="3" t="str">
        <f>IF(Equips_usuari!C444="","",Equips_usuari!C444)</f>
        <v/>
      </c>
      <c r="D444" s="3" t="str">
        <f>IF(Equips_usuari!D444="","",Equips_usuari!D444)</f>
        <v/>
      </c>
      <c r="E444" s="3" t="str">
        <f>IF(Equips_usuari!F444="","",Equips_usuari!F444)</f>
        <v/>
      </c>
      <c r="F444" s="3" t="str">
        <f>IF($C444="","",SUMIFS(Resultats_jugadores!$C:$C,Resultats_jugadores!$A:$A,$A444,Resultats_jugadores!$B:$B,$C444))</f>
        <v/>
      </c>
      <c r="G444" s="3" t="str">
        <f>IF($C444="","",SUMIFS(Resultats_jugadores!$D:$D,Resultats_jugadores!$A:$A,$A444,Resultats_jugadores!$B:$B,$C444))</f>
        <v/>
      </c>
      <c r="H444" s="3" t="str">
        <f t="shared" si="3"/>
        <v/>
      </c>
      <c r="I444" s="3" t="str">
        <f t="array" ref="I444">IF($C444="","",IFERROR(INDEX(Partits!$C:$C,MATCH($A444&amp;"_"&amp;$D444,Partits!$D:$D,0)),""))</f>
        <v/>
      </c>
      <c r="J444" s="3" t="str">
        <f t="shared" si="4"/>
        <v/>
      </c>
      <c r="K444" s="3" t="str">
        <f t="shared" si="5"/>
        <v/>
      </c>
      <c r="L444" s="3" t="str">
        <f t="shared" si="6"/>
        <v/>
      </c>
      <c r="M444" s="3" t="str">
        <f t="shared" si="7"/>
        <v/>
      </c>
    </row>
    <row r="445" ht="15.0" customHeight="1">
      <c r="A445" s="3" t="str">
        <f>IF(Equips_usuari!A445="","",Equips_usuari!A445)</f>
        <v/>
      </c>
      <c r="B445" s="3" t="str">
        <f>IF(Equips_usuari!B445="","",Equips_usuari!B445)</f>
        <v/>
      </c>
      <c r="C445" s="3" t="str">
        <f>IF(Equips_usuari!C445="","",Equips_usuari!C445)</f>
        <v/>
      </c>
      <c r="D445" s="3" t="str">
        <f>IF(Equips_usuari!D445="","",Equips_usuari!D445)</f>
        <v/>
      </c>
      <c r="E445" s="3" t="str">
        <f>IF(Equips_usuari!F445="","",Equips_usuari!F445)</f>
        <v/>
      </c>
      <c r="F445" s="3" t="str">
        <f>IF($C445="","",SUMIFS(Resultats_jugadores!$C:$C,Resultats_jugadores!$A:$A,$A445,Resultats_jugadores!$B:$B,$C445))</f>
        <v/>
      </c>
      <c r="G445" s="3" t="str">
        <f>IF($C445="","",SUMIFS(Resultats_jugadores!$D:$D,Resultats_jugadores!$A:$A,$A445,Resultats_jugadores!$B:$B,$C445))</f>
        <v/>
      </c>
      <c r="H445" s="3" t="str">
        <f t="shared" si="3"/>
        <v/>
      </c>
      <c r="I445" s="3" t="str">
        <f t="array" ref="I445">IF($C445="","",IFERROR(INDEX(Partits!$C:$C,MATCH($A445&amp;"_"&amp;$D445,Partits!$D:$D,0)),""))</f>
        <v/>
      </c>
      <c r="J445" s="3" t="str">
        <f t="shared" si="4"/>
        <v/>
      </c>
      <c r="K445" s="3" t="str">
        <f t="shared" si="5"/>
        <v/>
      </c>
      <c r="L445" s="3" t="str">
        <f t="shared" si="6"/>
        <v/>
      </c>
      <c r="M445" s="3" t="str">
        <f t="shared" si="7"/>
        <v/>
      </c>
    </row>
    <row r="446" ht="15.0" customHeight="1">
      <c r="A446" s="3" t="str">
        <f>IF(Equips_usuari!A446="","",Equips_usuari!A446)</f>
        <v/>
      </c>
      <c r="B446" s="3" t="str">
        <f>IF(Equips_usuari!B446="","",Equips_usuari!B446)</f>
        <v/>
      </c>
      <c r="C446" s="3" t="str">
        <f>IF(Equips_usuari!C446="","",Equips_usuari!C446)</f>
        <v/>
      </c>
      <c r="D446" s="3" t="str">
        <f>IF(Equips_usuari!D446="","",Equips_usuari!D446)</f>
        <v/>
      </c>
      <c r="E446" s="3" t="str">
        <f>IF(Equips_usuari!F446="","",Equips_usuari!F446)</f>
        <v/>
      </c>
      <c r="F446" s="3" t="str">
        <f>IF($C446="","",SUMIFS(Resultats_jugadores!$C:$C,Resultats_jugadores!$A:$A,$A446,Resultats_jugadores!$B:$B,$C446))</f>
        <v/>
      </c>
      <c r="G446" s="3" t="str">
        <f>IF($C446="","",SUMIFS(Resultats_jugadores!$D:$D,Resultats_jugadores!$A:$A,$A446,Resultats_jugadores!$B:$B,$C446))</f>
        <v/>
      </c>
      <c r="H446" s="3" t="str">
        <f t="shared" si="3"/>
        <v/>
      </c>
      <c r="I446" s="3" t="str">
        <f t="array" ref="I446">IF($C446="","",IFERROR(INDEX(Partits!$C:$C,MATCH($A446&amp;"_"&amp;$D446,Partits!$D:$D,0)),""))</f>
        <v/>
      </c>
      <c r="J446" s="3" t="str">
        <f t="shared" si="4"/>
        <v/>
      </c>
      <c r="K446" s="3" t="str">
        <f t="shared" si="5"/>
        <v/>
      </c>
      <c r="L446" s="3" t="str">
        <f t="shared" si="6"/>
        <v/>
      </c>
      <c r="M446" s="3" t="str">
        <f t="shared" si="7"/>
        <v/>
      </c>
    </row>
    <row r="447" ht="15.0" customHeight="1">
      <c r="A447" s="3" t="str">
        <f>IF(Equips_usuari!A447="","",Equips_usuari!A447)</f>
        <v/>
      </c>
      <c r="B447" s="3" t="str">
        <f>IF(Equips_usuari!B447="","",Equips_usuari!B447)</f>
        <v/>
      </c>
      <c r="C447" s="3" t="str">
        <f>IF(Equips_usuari!C447="","",Equips_usuari!C447)</f>
        <v/>
      </c>
      <c r="D447" s="3" t="str">
        <f>IF(Equips_usuari!D447="","",Equips_usuari!D447)</f>
        <v/>
      </c>
      <c r="E447" s="3" t="str">
        <f>IF(Equips_usuari!F447="","",Equips_usuari!F447)</f>
        <v/>
      </c>
      <c r="F447" s="3" t="str">
        <f>IF($C447="","",SUMIFS(Resultats_jugadores!$C:$C,Resultats_jugadores!$A:$A,$A447,Resultats_jugadores!$B:$B,$C447))</f>
        <v/>
      </c>
      <c r="G447" s="3" t="str">
        <f>IF($C447="","",SUMIFS(Resultats_jugadores!$D:$D,Resultats_jugadores!$A:$A,$A447,Resultats_jugadores!$B:$B,$C447))</f>
        <v/>
      </c>
      <c r="H447" s="3" t="str">
        <f t="shared" si="3"/>
        <v/>
      </c>
      <c r="I447" s="3" t="str">
        <f t="array" ref="I447">IF($C447="","",IFERROR(INDEX(Partits!$C:$C,MATCH($A447&amp;"_"&amp;$D447,Partits!$D:$D,0)),""))</f>
        <v/>
      </c>
      <c r="J447" s="3" t="str">
        <f t="shared" si="4"/>
        <v/>
      </c>
      <c r="K447" s="3" t="str">
        <f t="shared" si="5"/>
        <v/>
      </c>
      <c r="L447" s="3" t="str">
        <f t="shared" si="6"/>
        <v/>
      </c>
      <c r="M447" s="3" t="str">
        <f t="shared" si="7"/>
        <v/>
      </c>
    </row>
    <row r="448" ht="15.0" customHeight="1">
      <c r="A448" s="3" t="str">
        <f>IF(Equips_usuari!A448="","",Equips_usuari!A448)</f>
        <v/>
      </c>
      <c r="B448" s="3" t="str">
        <f>IF(Equips_usuari!B448="","",Equips_usuari!B448)</f>
        <v/>
      </c>
      <c r="C448" s="3" t="str">
        <f>IF(Equips_usuari!C448="","",Equips_usuari!C448)</f>
        <v/>
      </c>
      <c r="D448" s="3" t="str">
        <f>IF(Equips_usuari!D448="","",Equips_usuari!D448)</f>
        <v/>
      </c>
      <c r="E448" s="3" t="str">
        <f>IF(Equips_usuari!F448="","",Equips_usuari!F448)</f>
        <v/>
      </c>
      <c r="F448" s="3" t="str">
        <f>IF($C448="","",SUMIFS(Resultats_jugadores!$C:$C,Resultats_jugadores!$A:$A,$A448,Resultats_jugadores!$B:$B,$C448))</f>
        <v/>
      </c>
      <c r="G448" s="3" t="str">
        <f>IF($C448="","",SUMIFS(Resultats_jugadores!$D:$D,Resultats_jugadores!$A:$A,$A448,Resultats_jugadores!$B:$B,$C448))</f>
        <v/>
      </c>
      <c r="H448" s="3" t="str">
        <f t="shared" si="3"/>
        <v/>
      </c>
      <c r="I448" s="3" t="str">
        <f t="array" ref="I448">IF($C448="","",IFERROR(INDEX(Partits!$C:$C,MATCH($A448&amp;"_"&amp;$D448,Partits!$D:$D,0)),""))</f>
        <v/>
      </c>
      <c r="J448" s="3" t="str">
        <f t="shared" si="4"/>
        <v/>
      </c>
      <c r="K448" s="3" t="str">
        <f t="shared" si="5"/>
        <v/>
      </c>
      <c r="L448" s="3" t="str">
        <f t="shared" si="6"/>
        <v/>
      </c>
      <c r="M448" s="3" t="str">
        <f t="shared" si="7"/>
        <v/>
      </c>
    </row>
    <row r="449" ht="15.0" customHeight="1">
      <c r="A449" s="3" t="str">
        <f>IF(Equips_usuari!A449="","",Equips_usuari!A449)</f>
        <v/>
      </c>
      <c r="B449" s="3" t="str">
        <f>IF(Equips_usuari!B449="","",Equips_usuari!B449)</f>
        <v/>
      </c>
      <c r="C449" s="3" t="str">
        <f>IF(Equips_usuari!C449="","",Equips_usuari!C449)</f>
        <v/>
      </c>
      <c r="D449" s="3" t="str">
        <f>IF(Equips_usuari!D449="","",Equips_usuari!D449)</f>
        <v/>
      </c>
      <c r="E449" s="3" t="str">
        <f>IF(Equips_usuari!F449="","",Equips_usuari!F449)</f>
        <v/>
      </c>
      <c r="F449" s="3" t="str">
        <f>IF($C449="","",SUMIFS(Resultats_jugadores!$C:$C,Resultats_jugadores!$A:$A,$A449,Resultats_jugadores!$B:$B,$C449))</f>
        <v/>
      </c>
      <c r="G449" s="3" t="str">
        <f>IF($C449="","",SUMIFS(Resultats_jugadores!$D:$D,Resultats_jugadores!$A:$A,$A449,Resultats_jugadores!$B:$B,$C449))</f>
        <v/>
      </c>
      <c r="H449" s="3" t="str">
        <f t="shared" si="3"/>
        <v/>
      </c>
      <c r="I449" s="3" t="str">
        <f t="array" ref="I449">IF($C449="","",IFERROR(INDEX(Partits!$C:$C,MATCH($A449&amp;"_"&amp;$D449,Partits!$D:$D,0)),""))</f>
        <v/>
      </c>
      <c r="J449" s="3" t="str">
        <f t="shared" si="4"/>
        <v/>
      </c>
      <c r="K449" s="3" t="str">
        <f t="shared" si="5"/>
        <v/>
      </c>
      <c r="L449" s="3" t="str">
        <f t="shared" si="6"/>
        <v/>
      </c>
      <c r="M449" s="3" t="str">
        <f t="shared" si="7"/>
        <v/>
      </c>
    </row>
    <row r="450" ht="15.0" customHeight="1">
      <c r="A450" s="3" t="str">
        <f>IF(Equips_usuari!A450="","",Equips_usuari!A450)</f>
        <v/>
      </c>
      <c r="B450" s="3" t="str">
        <f>IF(Equips_usuari!B450="","",Equips_usuari!B450)</f>
        <v/>
      </c>
      <c r="C450" s="3" t="str">
        <f>IF(Equips_usuari!C450="","",Equips_usuari!C450)</f>
        <v/>
      </c>
      <c r="D450" s="3" t="str">
        <f>IF(Equips_usuari!D450="","",Equips_usuari!D450)</f>
        <v/>
      </c>
      <c r="E450" s="3" t="str">
        <f>IF(Equips_usuari!F450="","",Equips_usuari!F450)</f>
        <v/>
      </c>
      <c r="F450" s="3" t="str">
        <f>IF($C450="","",SUMIFS(Resultats_jugadores!$C:$C,Resultats_jugadores!$A:$A,$A450,Resultats_jugadores!$B:$B,$C450))</f>
        <v/>
      </c>
      <c r="G450" s="3" t="str">
        <f>IF($C450="","",SUMIFS(Resultats_jugadores!$D:$D,Resultats_jugadores!$A:$A,$A450,Resultats_jugadores!$B:$B,$C450))</f>
        <v/>
      </c>
      <c r="H450" s="3" t="str">
        <f t="shared" si="3"/>
        <v/>
      </c>
      <c r="I450" s="3" t="str">
        <f t="array" ref="I450">IF($C450="","",IFERROR(INDEX(Partits!$C:$C,MATCH($A450&amp;"_"&amp;$D450,Partits!$D:$D,0)),""))</f>
        <v/>
      </c>
      <c r="J450" s="3" t="str">
        <f t="shared" si="4"/>
        <v/>
      </c>
      <c r="K450" s="3" t="str">
        <f t="shared" si="5"/>
        <v/>
      </c>
      <c r="L450" s="3" t="str">
        <f t="shared" si="6"/>
        <v/>
      </c>
      <c r="M450" s="3" t="str">
        <f t="shared" si="7"/>
        <v/>
      </c>
    </row>
    <row r="451" ht="15.0" customHeight="1">
      <c r="A451" s="3" t="str">
        <f>IF(Equips_usuari!A451="","",Equips_usuari!A451)</f>
        <v/>
      </c>
      <c r="B451" s="3" t="str">
        <f>IF(Equips_usuari!B451="","",Equips_usuari!B451)</f>
        <v/>
      </c>
      <c r="C451" s="3" t="str">
        <f>IF(Equips_usuari!C451="","",Equips_usuari!C451)</f>
        <v/>
      </c>
      <c r="D451" s="3" t="str">
        <f>IF(Equips_usuari!D451="","",Equips_usuari!D451)</f>
        <v/>
      </c>
      <c r="E451" s="3" t="str">
        <f>IF(Equips_usuari!F451="","",Equips_usuari!F451)</f>
        <v/>
      </c>
      <c r="F451" s="3" t="str">
        <f>IF($C451="","",SUMIFS(Resultats_jugadores!$C:$C,Resultats_jugadores!$A:$A,$A451,Resultats_jugadores!$B:$B,$C451))</f>
        <v/>
      </c>
      <c r="G451" s="3" t="str">
        <f>IF($C451="","",SUMIFS(Resultats_jugadores!$D:$D,Resultats_jugadores!$A:$A,$A451,Resultats_jugadores!$B:$B,$C451))</f>
        <v/>
      </c>
      <c r="H451" s="3" t="str">
        <f t="shared" si="3"/>
        <v/>
      </c>
      <c r="I451" s="3" t="str">
        <f t="array" ref="I451">IF($C451="","",IFERROR(INDEX(Partits!$C:$C,MATCH($A451&amp;"_"&amp;$D451,Partits!$D:$D,0)),""))</f>
        <v/>
      </c>
      <c r="J451" s="3" t="str">
        <f t="shared" si="4"/>
        <v/>
      </c>
      <c r="K451" s="3" t="str">
        <f t="shared" si="5"/>
        <v/>
      </c>
      <c r="L451" s="3" t="str">
        <f t="shared" si="6"/>
        <v/>
      </c>
      <c r="M451" s="3" t="str">
        <f t="shared" si="7"/>
        <v/>
      </c>
    </row>
    <row r="452" ht="15.0" customHeight="1">
      <c r="A452" s="3" t="str">
        <f>IF(Equips_usuari!A452="","",Equips_usuari!A452)</f>
        <v/>
      </c>
      <c r="B452" s="3" t="str">
        <f>IF(Equips_usuari!B452="","",Equips_usuari!B452)</f>
        <v/>
      </c>
      <c r="C452" s="3" t="str">
        <f>IF(Equips_usuari!C452="","",Equips_usuari!C452)</f>
        <v/>
      </c>
      <c r="D452" s="3" t="str">
        <f>IF(Equips_usuari!D452="","",Equips_usuari!D452)</f>
        <v/>
      </c>
      <c r="E452" s="3" t="str">
        <f>IF(Equips_usuari!F452="","",Equips_usuari!F452)</f>
        <v/>
      </c>
      <c r="F452" s="3" t="str">
        <f>IF($C452="","",SUMIFS(Resultats_jugadores!$C:$C,Resultats_jugadores!$A:$A,$A452,Resultats_jugadores!$B:$B,$C452))</f>
        <v/>
      </c>
      <c r="G452" s="3" t="str">
        <f>IF($C452="","",SUMIFS(Resultats_jugadores!$D:$D,Resultats_jugadores!$A:$A,$A452,Resultats_jugadores!$B:$B,$C452))</f>
        <v/>
      </c>
      <c r="H452" s="3" t="str">
        <f t="shared" si="3"/>
        <v/>
      </c>
      <c r="I452" s="3" t="str">
        <f t="array" ref="I452">IF($C452="","",IFERROR(INDEX(Partits!$C:$C,MATCH($A452&amp;"_"&amp;$D452,Partits!$D:$D,0)),""))</f>
        <v/>
      </c>
      <c r="J452" s="3" t="str">
        <f t="shared" si="4"/>
        <v/>
      </c>
      <c r="K452" s="3" t="str">
        <f t="shared" si="5"/>
        <v/>
      </c>
      <c r="L452" s="3" t="str">
        <f t="shared" si="6"/>
        <v/>
      </c>
      <c r="M452" s="3" t="str">
        <f t="shared" si="7"/>
        <v/>
      </c>
    </row>
    <row r="453" ht="15.0" customHeight="1">
      <c r="A453" s="3" t="str">
        <f>IF(Equips_usuari!A453="","",Equips_usuari!A453)</f>
        <v/>
      </c>
      <c r="B453" s="3" t="str">
        <f>IF(Equips_usuari!B453="","",Equips_usuari!B453)</f>
        <v/>
      </c>
      <c r="C453" s="3" t="str">
        <f>IF(Equips_usuari!C453="","",Equips_usuari!C453)</f>
        <v/>
      </c>
      <c r="D453" s="3" t="str">
        <f>IF(Equips_usuari!D453="","",Equips_usuari!D453)</f>
        <v/>
      </c>
      <c r="E453" s="3" t="str">
        <f>IF(Equips_usuari!F453="","",Equips_usuari!F453)</f>
        <v/>
      </c>
      <c r="F453" s="3" t="str">
        <f>IF($C453="","",SUMIFS(Resultats_jugadores!$C:$C,Resultats_jugadores!$A:$A,$A453,Resultats_jugadores!$B:$B,$C453))</f>
        <v/>
      </c>
      <c r="G453" s="3" t="str">
        <f>IF($C453="","",SUMIFS(Resultats_jugadores!$D:$D,Resultats_jugadores!$A:$A,$A453,Resultats_jugadores!$B:$B,$C453))</f>
        <v/>
      </c>
      <c r="H453" s="3" t="str">
        <f t="shared" si="3"/>
        <v/>
      </c>
      <c r="I453" s="3" t="str">
        <f t="array" ref="I453">IF($C453="","",IFERROR(INDEX(Partits!$C:$C,MATCH($A453&amp;"_"&amp;$D453,Partits!$D:$D,0)),""))</f>
        <v/>
      </c>
      <c r="J453" s="3" t="str">
        <f t="shared" si="4"/>
        <v/>
      </c>
      <c r="K453" s="3" t="str">
        <f t="shared" si="5"/>
        <v/>
      </c>
      <c r="L453" s="3" t="str">
        <f t="shared" si="6"/>
        <v/>
      </c>
      <c r="M453" s="3" t="str">
        <f t="shared" si="7"/>
        <v/>
      </c>
    </row>
    <row r="454" ht="15.0" customHeight="1">
      <c r="A454" s="3" t="str">
        <f>IF(Equips_usuari!A454="","",Equips_usuari!A454)</f>
        <v/>
      </c>
      <c r="B454" s="3" t="str">
        <f>IF(Equips_usuari!B454="","",Equips_usuari!B454)</f>
        <v/>
      </c>
      <c r="C454" s="3" t="str">
        <f>IF(Equips_usuari!C454="","",Equips_usuari!C454)</f>
        <v/>
      </c>
      <c r="D454" s="3" t="str">
        <f>IF(Equips_usuari!D454="","",Equips_usuari!D454)</f>
        <v/>
      </c>
      <c r="E454" s="3" t="str">
        <f>IF(Equips_usuari!F454="","",Equips_usuari!F454)</f>
        <v/>
      </c>
      <c r="F454" s="3" t="str">
        <f>IF($C454="","",SUMIFS(Resultats_jugadores!$C:$C,Resultats_jugadores!$A:$A,$A454,Resultats_jugadores!$B:$B,$C454))</f>
        <v/>
      </c>
      <c r="G454" s="3" t="str">
        <f>IF($C454="","",SUMIFS(Resultats_jugadores!$D:$D,Resultats_jugadores!$A:$A,$A454,Resultats_jugadores!$B:$B,$C454))</f>
        <v/>
      </c>
      <c r="H454" s="3" t="str">
        <f t="shared" si="3"/>
        <v/>
      </c>
      <c r="I454" s="3" t="str">
        <f t="array" ref="I454">IF($C454="","",IFERROR(INDEX(Partits!$C:$C,MATCH($A454&amp;"_"&amp;$D454,Partits!$D:$D,0)),""))</f>
        <v/>
      </c>
      <c r="J454" s="3" t="str">
        <f t="shared" si="4"/>
        <v/>
      </c>
      <c r="K454" s="3" t="str">
        <f t="shared" si="5"/>
        <v/>
      </c>
      <c r="L454" s="3" t="str">
        <f t="shared" si="6"/>
        <v/>
      </c>
      <c r="M454" s="3" t="str">
        <f t="shared" si="7"/>
        <v/>
      </c>
    </row>
    <row r="455" ht="15.0" customHeight="1">
      <c r="A455" s="3" t="str">
        <f>IF(Equips_usuari!A455="","",Equips_usuari!A455)</f>
        <v/>
      </c>
      <c r="B455" s="3" t="str">
        <f>IF(Equips_usuari!B455="","",Equips_usuari!B455)</f>
        <v/>
      </c>
      <c r="C455" s="3" t="str">
        <f>IF(Equips_usuari!C455="","",Equips_usuari!C455)</f>
        <v/>
      </c>
      <c r="D455" s="3" t="str">
        <f>IF(Equips_usuari!D455="","",Equips_usuari!D455)</f>
        <v/>
      </c>
      <c r="E455" s="3" t="str">
        <f>IF(Equips_usuari!F455="","",Equips_usuari!F455)</f>
        <v/>
      </c>
      <c r="F455" s="3" t="str">
        <f>IF($C455="","",SUMIFS(Resultats_jugadores!$C:$C,Resultats_jugadores!$A:$A,$A455,Resultats_jugadores!$B:$B,$C455))</f>
        <v/>
      </c>
      <c r="G455" s="3" t="str">
        <f>IF($C455="","",SUMIFS(Resultats_jugadores!$D:$D,Resultats_jugadores!$A:$A,$A455,Resultats_jugadores!$B:$B,$C455))</f>
        <v/>
      </c>
      <c r="H455" s="3" t="str">
        <f t="shared" si="3"/>
        <v/>
      </c>
      <c r="I455" s="3" t="str">
        <f t="array" ref="I455">IF($C455="","",IFERROR(INDEX(Partits!$C:$C,MATCH($A455&amp;"_"&amp;$D455,Partits!$D:$D,0)),""))</f>
        <v/>
      </c>
      <c r="J455" s="3" t="str">
        <f t="shared" si="4"/>
        <v/>
      </c>
      <c r="K455" s="3" t="str">
        <f t="shared" si="5"/>
        <v/>
      </c>
      <c r="L455" s="3" t="str">
        <f t="shared" si="6"/>
        <v/>
      </c>
      <c r="M455" s="3" t="str">
        <f t="shared" si="7"/>
        <v/>
      </c>
    </row>
    <row r="456" ht="15.0" customHeight="1">
      <c r="A456" s="3" t="str">
        <f>IF(Equips_usuari!A456="","",Equips_usuari!A456)</f>
        <v/>
      </c>
      <c r="B456" s="3" t="str">
        <f>IF(Equips_usuari!B456="","",Equips_usuari!B456)</f>
        <v/>
      </c>
      <c r="C456" s="3" t="str">
        <f>IF(Equips_usuari!C456="","",Equips_usuari!C456)</f>
        <v/>
      </c>
      <c r="D456" s="3" t="str">
        <f>IF(Equips_usuari!D456="","",Equips_usuari!D456)</f>
        <v/>
      </c>
      <c r="E456" s="3" t="str">
        <f>IF(Equips_usuari!F456="","",Equips_usuari!F456)</f>
        <v/>
      </c>
      <c r="F456" s="3" t="str">
        <f>IF($C456="","",SUMIFS(Resultats_jugadores!$C:$C,Resultats_jugadores!$A:$A,$A456,Resultats_jugadores!$B:$B,$C456))</f>
        <v/>
      </c>
      <c r="G456" s="3" t="str">
        <f>IF($C456="","",SUMIFS(Resultats_jugadores!$D:$D,Resultats_jugadores!$A:$A,$A456,Resultats_jugadores!$B:$B,$C456))</f>
        <v/>
      </c>
      <c r="H456" s="3" t="str">
        <f t="shared" si="3"/>
        <v/>
      </c>
      <c r="I456" s="3" t="str">
        <f t="array" ref="I456">IF($C456="","",IFERROR(INDEX(Partits!$C:$C,MATCH($A456&amp;"_"&amp;$D456,Partits!$D:$D,0)),""))</f>
        <v/>
      </c>
      <c r="J456" s="3" t="str">
        <f t="shared" si="4"/>
        <v/>
      </c>
      <c r="K456" s="3" t="str">
        <f t="shared" si="5"/>
        <v/>
      </c>
      <c r="L456" s="3" t="str">
        <f t="shared" si="6"/>
        <v/>
      </c>
      <c r="M456" s="3" t="str">
        <f t="shared" si="7"/>
        <v/>
      </c>
    </row>
    <row r="457" ht="15.0" customHeight="1">
      <c r="A457" s="3" t="str">
        <f>IF(Equips_usuari!A457="","",Equips_usuari!A457)</f>
        <v/>
      </c>
      <c r="B457" s="3" t="str">
        <f>IF(Equips_usuari!B457="","",Equips_usuari!B457)</f>
        <v/>
      </c>
      <c r="C457" s="3" t="str">
        <f>IF(Equips_usuari!C457="","",Equips_usuari!C457)</f>
        <v/>
      </c>
      <c r="D457" s="3" t="str">
        <f>IF(Equips_usuari!D457="","",Equips_usuari!D457)</f>
        <v/>
      </c>
      <c r="E457" s="3" t="str">
        <f>IF(Equips_usuari!F457="","",Equips_usuari!F457)</f>
        <v/>
      </c>
      <c r="F457" s="3" t="str">
        <f>IF($C457="","",SUMIFS(Resultats_jugadores!$C:$C,Resultats_jugadores!$A:$A,$A457,Resultats_jugadores!$B:$B,$C457))</f>
        <v/>
      </c>
      <c r="G457" s="3" t="str">
        <f>IF($C457="","",SUMIFS(Resultats_jugadores!$D:$D,Resultats_jugadores!$A:$A,$A457,Resultats_jugadores!$B:$B,$C457))</f>
        <v/>
      </c>
      <c r="H457" s="3" t="str">
        <f t="shared" si="3"/>
        <v/>
      </c>
      <c r="I457" s="3" t="str">
        <f t="array" ref="I457">IF($C457="","",IFERROR(INDEX(Partits!$C:$C,MATCH($A457&amp;"_"&amp;$D457,Partits!$D:$D,0)),""))</f>
        <v/>
      </c>
      <c r="J457" s="3" t="str">
        <f t="shared" si="4"/>
        <v/>
      </c>
      <c r="K457" s="3" t="str">
        <f t="shared" si="5"/>
        <v/>
      </c>
      <c r="L457" s="3" t="str">
        <f t="shared" si="6"/>
        <v/>
      </c>
      <c r="M457" s="3" t="str">
        <f t="shared" si="7"/>
        <v/>
      </c>
    </row>
    <row r="458" ht="15.0" customHeight="1">
      <c r="A458" s="3" t="str">
        <f>IF(Equips_usuari!A458="","",Equips_usuari!A458)</f>
        <v/>
      </c>
      <c r="B458" s="3" t="str">
        <f>IF(Equips_usuari!B458="","",Equips_usuari!B458)</f>
        <v/>
      </c>
      <c r="C458" s="3" t="str">
        <f>IF(Equips_usuari!C458="","",Equips_usuari!C458)</f>
        <v/>
      </c>
      <c r="D458" s="3" t="str">
        <f>IF(Equips_usuari!D458="","",Equips_usuari!D458)</f>
        <v/>
      </c>
      <c r="E458" s="3" t="str">
        <f>IF(Equips_usuari!F458="","",Equips_usuari!F458)</f>
        <v/>
      </c>
      <c r="F458" s="3" t="str">
        <f>IF($C458="","",SUMIFS(Resultats_jugadores!$C:$C,Resultats_jugadores!$A:$A,$A458,Resultats_jugadores!$B:$B,$C458))</f>
        <v/>
      </c>
      <c r="G458" s="3" t="str">
        <f>IF($C458="","",SUMIFS(Resultats_jugadores!$D:$D,Resultats_jugadores!$A:$A,$A458,Resultats_jugadores!$B:$B,$C458))</f>
        <v/>
      </c>
      <c r="H458" s="3" t="str">
        <f t="shared" si="3"/>
        <v/>
      </c>
      <c r="I458" s="3" t="str">
        <f t="array" ref="I458">IF($C458="","",IFERROR(INDEX(Partits!$C:$C,MATCH($A458&amp;"_"&amp;$D458,Partits!$D:$D,0)),""))</f>
        <v/>
      </c>
      <c r="J458" s="3" t="str">
        <f t="shared" si="4"/>
        <v/>
      </c>
      <c r="K458" s="3" t="str">
        <f t="shared" si="5"/>
        <v/>
      </c>
      <c r="L458" s="3" t="str">
        <f t="shared" si="6"/>
        <v/>
      </c>
      <c r="M458" s="3" t="str">
        <f t="shared" si="7"/>
        <v/>
      </c>
    </row>
    <row r="459" ht="15.0" customHeight="1">
      <c r="A459" s="3" t="str">
        <f>IF(Equips_usuari!A459="","",Equips_usuari!A459)</f>
        <v/>
      </c>
      <c r="B459" s="3" t="str">
        <f>IF(Equips_usuari!B459="","",Equips_usuari!B459)</f>
        <v/>
      </c>
      <c r="C459" s="3" t="str">
        <f>IF(Equips_usuari!C459="","",Equips_usuari!C459)</f>
        <v/>
      </c>
      <c r="D459" s="3" t="str">
        <f>IF(Equips_usuari!D459="","",Equips_usuari!D459)</f>
        <v/>
      </c>
      <c r="E459" s="3" t="str">
        <f>IF(Equips_usuari!F459="","",Equips_usuari!F459)</f>
        <v/>
      </c>
      <c r="F459" s="3" t="str">
        <f>IF($C459="","",SUMIFS(Resultats_jugadores!$C:$C,Resultats_jugadores!$A:$A,$A459,Resultats_jugadores!$B:$B,$C459))</f>
        <v/>
      </c>
      <c r="G459" s="3" t="str">
        <f>IF($C459="","",SUMIFS(Resultats_jugadores!$D:$D,Resultats_jugadores!$A:$A,$A459,Resultats_jugadores!$B:$B,$C459))</f>
        <v/>
      </c>
      <c r="H459" s="3" t="str">
        <f t="shared" si="3"/>
        <v/>
      </c>
      <c r="I459" s="3" t="str">
        <f t="array" ref="I459">IF($C459="","",IFERROR(INDEX(Partits!$C:$C,MATCH($A459&amp;"_"&amp;$D459,Partits!$D:$D,0)),""))</f>
        <v/>
      </c>
      <c r="J459" s="3" t="str">
        <f t="shared" si="4"/>
        <v/>
      </c>
      <c r="K459" s="3" t="str">
        <f t="shared" si="5"/>
        <v/>
      </c>
      <c r="L459" s="3" t="str">
        <f t="shared" si="6"/>
        <v/>
      </c>
      <c r="M459" s="3" t="str">
        <f t="shared" si="7"/>
        <v/>
      </c>
    </row>
    <row r="460" ht="15.0" customHeight="1">
      <c r="A460" s="3" t="str">
        <f>IF(Equips_usuari!A460="","",Equips_usuari!A460)</f>
        <v/>
      </c>
      <c r="B460" s="3" t="str">
        <f>IF(Equips_usuari!B460="","",Equips_usuari!B460)</f>
        <v/>
      </c>
      <c r="C460" s="3" t="str">
        <f>IF(Equips_usuari!C460="","",Equips_usuari!C460)</f>
        <v/>
      </c>
      <c r="D460" s="3" t="str">
        <f>IF(Equips_usuari!D460="","",Equips_usuari!D460)</f>
        <v/>
      </c>
      <c r="E460" s="3" t="str">
        <f>IF(Equips_usuari!F460="","",Equips_usuari!F460)</f>
        <v/>
      </c>
      <c r="F460" s="3" t="str">
        <f>IF($C460="","",SUMIFS(Resultats_jugadores!$C:$C,Resultats_jugadores!$A:$A,$A460,Resultats_jugadores!$B:$B,$C460))</f>
        <v/>
      </c>
      <c r="G460" s="3" t="str">
        <f>IF($C460="","",SUMIFS(Resultats_jugadores!$D:$D,Resultats_jugadores!$A:$A,$A460,Resultats_jugadores!$B:$B,$C460))</f>
        <v/>
      </c>
      <c r="H460" s="3" t="str">
        <f t="shared" si="3"/>
        <v/>
      </c>
      <c r="I460" s="3" t="str">
        <f t="array" ref="I460">IF($C460="","",IFERROR(INDEX(Partits!$C:$C,MATCH($A460&amp;"_"&amp;$D460,Partits!$D:$D,0)),""))</f>
        <v/>
      </c>
      <c r="J460" s="3" t="str">
        <f t="shared" si="4"/>
        <v/>
      </c>
      <c r="K460" s="3" t="str">
        <f t="shared" si="5"/>
        <v/>
      </c>
      <c r="L460" s="3" t="str">
        <f t="shared" si="6"/>
        <v/>
      </c>
      <c r="M460" s="3" t="str">
        <f t="shared" si="7"/>
        <v/>
      </c>
    </row>
    <row r="461" ht="15.0" customHeight="1">
      <c r="A461" s="3" t="str">
        <f>IF(Equips_usuari!A461="","",Equips_usuari!A461)</f>
        <v/>
      </c>
      <c r="B461" s="3" t="str">
        <f>IF(Equips_usuari!B461="","",Equips_usuari!B461)</f>
        <v/>
      </c>
      <c r="C461" s="3" t="str">
        <f>IF(Equips_usuari!C461="","",Equips_usuari!C461)</f>
        <v/>
      </c>
      <c r="D461" s="3" t="str">
        <f>IF(Equips_usuari!D461="","",Equips_usuari!D461)</f>
        <v/>
      </c>
      <c r="E461" s="3" t="str">
        <f>IF(Equips_usuari!F461="","",Equips_usuari!F461)</f>
        <v/>
      </c>
      <c r="F461" s="3" t="str">
        <f>IF($C461="","",SUMIFS(Resultats_jugadores!$C:$C,Resultats_jugadores!$A:$A,$A461,Resultats_jugadores!$B:$B,$C461))</f>
        <v/>
      </c>
      <c r="G461" s="3" t="str">
        <f>IF($C461="","",SUMIFS(Resultats_jugadores!$D:$D,Resultats_jugadores!$A:$A,$A461,Resultats_jugadores!$B:$B,$C461))</f>
        <v/>
      </c>
      <c r="H461" s="3" t="str">
        <f t="shared" si="3"/>
        <v/>
      </c>
      <c r="I461" s="3" t="str">
        <f t="array" ref="I461">IF($C461="","",IFERROR(INDEX(Partits!$C:$C,MATCH($A461&amp;"_"&amp;$D461,Partits!$D:$D,0)),""))</f>
        <v/>
      </c>
      <c r="J461" s="3" t="str">
        <f t="shared" si="4"/>
        <v/>
      </c>
      <c r="K461" s="3" t="str">
        <f t="shared" si="5"/>
        <v/>
      </c>
      <c r="L461" s="3" t="str">
        <f t="shared" si="6"/>
        <v/>
      </c>
      <c r="M461" s="3" t="str">
        <f t="shared" si="7"/>
        <v/>
      </c>
    </row>
    <row r="462" ht="15.0" customHeight="1">
      <c r="A462" s="3" t="str">
        <f>IF(Equips_usuari!A462="","",Equips_usuari!A462)</f>
        <v/>
      </c>
      <c r="B462" s="3" t="str">
        <f>IF(Equips_usuari!B462="","",Equips_usuari!B462)</f>
        <v/>
      </c>
      <c r="C462" s="3" t="str">
        <f>IF(Equips_usuari!C462="","",Equips_usuari!C462)</f>
        <v/>
      </c>
      <c r="D462" s="3" t="str">
        <f>IF(Equips_usuari!D462="","",Equips_usuari!D462)</f>
        <v/>
      </c>
      <c r="E462" s="3" t="str">
        <f>IF(Equips_usuari!F462="","",Equips_usuari!F462)</f>
        <v/>
      </c>
      <c r="F462" s="3" t="str">
        <f>IF($C462="","",SUMIFS(Resultats_jugadores!$C:$C,Resultats_jugadores!$A:$A,$A462,Resultats_jugadores!$B:$B,$C462))</f>
        <v/>
      </c>
      <c r="G462" s="3" t="str">
        <f>IF($C462="","",SUMIFS(Resultats_jugadores!$D:$D,Resultats_jugadores!$A:$A,$A462,Resultats_jugadores!$B:$B,$C462))</f>
        <v/>
      </c>
      <c r="H462" s="3" t="str">
        <f t="shared" si="3"/>
        <v/>
      </c>
      <c r="I462" s="3" t="str">
        <f t="array" ref="I462">IF($C462="","",IFERROR(INDEX(Partits!$C:$C,MATCH($A462&amp;"_"&amp;$D462,Partits!$D:$D,0)),""))</f>
        <v/>
      </c>
      <c r="J462" s="3" t="str">
        <f t="shared" si="4"/>
        <v/>
      </c>
      <c r="K462" s="3" t="str">
        <f t="shared" si="5"/>
        <v/>
      </c>
      <c r="L462" s="3" t="str">
        <f t="shared" si="6"/>
        <v/>
      </c>
      <c r="M462" s="3" t="str">
        <f t="shared" si="7"/>
        <v/>
      </c>
    </row>
    <row r="463" ht="15.0" customHeight="1">
      <c r="A463" s="3" t="str">
        <f>IF(Equips_usuari!A463="","",Equips_usuari!A463)</f>
        <v/>
      </c>
      <c r="B463" s="3" t="str">
        <f>IF(Equips_usuari!B463="","",Equips_usuari!B463)</f>
        <v/>
      </c>
      <c r="C463" s="3" t="str">
        <f>IF(Equips_usuari!C463="","",Equips_usuari!C463)</f>
        <v/>
      </c>
      <c r="D463" s="3" t="str">
        <f>IF(Equips_usuari!D463="","",Equips_usuari!D463)</f>
        <v/>
      </c>
      <c r="E463" s="3" t="str">
        <f>IF(Equips_usuari!F463="","",Equips_usuari!F463)</f>
        <v/>
      </c>
      <c r="F463" s="3" t="str">
        <f>IF($C463="","",SUMIFS(Resultats_jugadores!$C:$C,Resultats_jugadores!$A:$A,$A463,Resultats_jugadores!$B:$B,$C463))</f>
        <v/>
      </c>
      <c r="G463" s="3" t="str">
        <f>IF($C463="","",SUMIFS(Resultats_jugadores!$D:$D,Resultats_jugadores!$A:$A,$A463,Resultats_jugadores!$B:$B,$C463))</f>
        <v/>
      </c>
      <c r="H463" s="3" t="str">
        <f t="shared" si="3"/>
        <v/>
      </c>
      <c r="I463" s="3" t="str">
        <f t="array" ref="I463">IF($C463="","",IFERROR(INDEX(Partits!$C:$C,MATCH($A463&amp;"_"&amp;$D463,Partits!$D:$D,0)),""))</f>
        <v/>
      </c>
      <c r="J463" s="3" t="str">
        <f t="shared" si="4"/>
        <v/>
      </c>
      <c r="K463" s="3" t="str">
        <f t="shared" si="5"/>
        <v/>
      </c>
      <c r="L463" s="3" t="str">
        <f t="shared" si="6"/>
        <v/>
      </c>
      <c r="M463" s="3" t="str">
        <f t="shared" si="7"/>
        <v/>
      </c>
    </row>
    <row r="464" ht="15.0" customHeight="1">
      <c r="A464" s="3" t="str">
        <f>IF(Equips_usuari!A464="","",Equips_usuari!A464)</f>
        <v/>
      </c>
      <c r="B464" s="3" t="str">
        <f>IF(Equips_usuari!B464="","",Equips_usuari!B464)</f>
        <v/>
      </c>
      <c r="C464" s="3" t="str">
        <f>IF(Equips_usuari!C464="","",Equips_usuari!C464)</f>
        <v/>
      </c>
      <c r="D464" s="3" t="str">
        <f>IF(Equips_usuari!D464="","",Equips_usuari!D464)</f>
        <v/>
      </c>
      <c r="E464" s="3" t="str">
        <f>IF(Equips_usuari!F464="","",Equips_usuari!F464)</f>
        <v/>
      </c>
      <c r="F464" s="3" t="str">
        <f>IF($C464="","",SUMIFS(Resultats_jugadores!$C:$C,Resultats_jugadores!$A:$A,$A464,Resultats_jugadores!$B:$B,$C464))</f>
        <v/>
      </c>
      <c r="G464" s="3" t="str">
        <f>IF($C464="","",SUMIFS(Resultats_jugadores!$D:$D,Resultats_jugadores!$A:$A,$A464,Resultats_jugadores!$B:$B,$C464))</f>
        <v/>
      </c>
      <c r="H464" s="3" t="str">
        <f t="shared" si="3"/>
        <v/>
      </c>
      <c r="I464" s="3" t="str">
        <f t="array" ref="I464">IF($C464="","",IFERROR(INDEX(Partits!$C:$C,MATCH($A464&amp;"_"&amp;$D464,Partits!$D:$D,0)),""))</f>
        <v/>
      </c>
      <c r="J464" s="3" t="str">
        <f t="shared" si="4"/>
        <v/>
      </c>
      <c r="K464" s="3" t="str">
        <f t="shared" si="5"/>
        <v/>
      </c>
      <c r="L464" s="3" t="str">
        <f t="shared" si="6"/>
        <v/>
      </c>
      <c r="M464" s="3" t="str">
        <f t="shared" si="7"/>
        <v/>
      </c>
    </row>
    <row r="465" ht="15.0" customHeight="1">
      <c r="A465" s="3" t="str">
        <f>IF(Equips_usuari!A465="","",Equips_usuari!A465)</f>
        <v/>
      </c>
      <c r="B465" s="3" t="str">
        <f>IF(Equips_usuari!B465="","",Equips_usuari!B465)</f>
        <v/>
      </c>
      <c r="C465" s="3" t="str">
        <f>IF(Equips_usuari!C465="","",Equips_usuari!C465)</f>
        <v/>
      </c>
      <c r="D465" s="3" t="str">
        <f>IF(Equips_usuari!D465="","",Equips_usuari!D465)</f>
        <v/>
      </c>
      <c r="E465" s="3" t="str">
        <f>IF(Equips_usuari!F465="","",Equips_usuari!F465)</f>
        <v/>
      </c>
      <c r="F465" s="3" t="str">
        <f>IF($C465="","",SUMIFS(Resultats_jugadores!$C:$C,Resultats_jugadores!$A:$A,$A465,Resultats_jugadores!$B:$B,$C465))</f>
        <v/>
      </c>
      <c r="G465" s="3" t="str">
        <f>IF($C465="","",SUMIFS(Resultats_jugadores!$D:$D,Resultats_jugadores!$A:$A,$A465,Resultats_jugadores!$B:$B,$C465))</f>
        <v/>
      </c>
      <c r="H465" s="3" t="str">
        <f t="shared" si="3"/>
        <v/>
      </c>
      <c r="I465" s="3" t="str">
        <f t="array" ref="I465">IF($C465="","",IFERROR(INDEX(Partits!$C:$C,MATCH($A465&amp;"_"&amp;$D465,Partits!$D:$D,0)),""))</f>
        <v/>
      </c>
      <c r="J465" s="3" t="str">
        <f t="shared" si="4"/>
        <v/>
      </c>
      <c r="K465" s="3" t="str">
        <f t="shared" si="5"/>
        <v/>
      </c>
      <c r="L465" s="3" t="str">
        <f t="shared" si="6"/>
        <v/>
      </c>
      <c r="M465" s="3" t="str">
        <f t="shared" si="7"/>
        <v/>
      </c>
    </row>
    <row r="466" ht="15.0" customHeight="1">
      <c r="A466" s="3" t="str">
        <f>IF(Equips_usuari!A466="","",Equips_usuari!A466)</f>
        <v/>
      </c>
      <c r="B466" s="3" t="str">
        <f>IF(Equips_usuari!B466="","",Equips_usuari!B466)</f>
        <v/>
      </c>
      <c r="C466" s="3" t="str">
        <f>IF(Equips_usuari!C466="","",Equips_usuari!C466)</f>
        <v/>
      </c>
      <c r="D466" s="3" t="str">
        <f>IF(Equips_usuari!D466="","",Equips_usuari!D466)</f>
        <v/>
      </c>
      <c r="E466" s="3" t="str">
        <f>IF(Equips_usuari!F466="","",Equips_usuari!F466)</f>
        <v/>
      </c>
      <c r="F466" s="3" t="str">
        <f>IF($C466="","",SUMIFS(Resultats_jugadores!$C:$C,Resultats_jugadores!$A:$A,$A466,Resultats_jugadores!$B:$B,$C466))</f>
        <v/>
      </c>
      <c r="G466" s="3" t="str">
        <f>IF($C466="","",SUMIFS(Resultats_jugadores!$D:$D,Resultats_jugadores!$A:$A,$A466,Resultats_jugadores!$B:$B,$C466))</f>
        <v/>
      </c>
      <c r="H466" s="3" t="str">
        <f t="shared" si="3"/>
        <v/>
      </c>
      <c r="I466" s="3" t="str">
        <f t="array" ref="I466">IF($C466="","",IFERROR(INDEX(Partits!$C:$C,MATCH($A466&amp;"_"&amp;$D466,Partits!$D:$D,0)),""))</f>
        <v/>
      </c>
      <c r="J466" s="3" t="str">
        <f t="shared" si="4"/>
        <v/>
      </c>
      <c r="K466" s="3" t="str">
        <f t="shared" si="5"/>
        <v/>
      </c>
      <c r="L466" s="3" t="str">
        <f t="shared" si="6"/>
        <v/>
      </c>
      <c r="M466" s="3" t="str">
        <f t="shared" si="7"/>
        <v/>
      </c>
    </row>
    <row r="467" ht="15.0" customHeight="1">
      <c r="A467" s="3" t="str">
        <f>IF(Equips_usuari!A467="","",Equips_usuari!A467)</f>
        <v/>
      </c>
      <c r="B467" s="3" t="str">
        <f>IF(Equips_usuari!B467="","",Equips_usuari!B467)</f>
        <v/>
      </c>
      <c r="C467" s="3" t="str">
        <f>IF(Equips_usuari!C467="","",Equips_usuari!C467)</f>
        <v/>
      </c>
      <c r="D467" s="3" t="str">
        <f>IF(Equips_usuari!D467="","",Equips_usuari!D467)</f>
        <v/>
      </c>
      <c r="E467" s="3" t="str">
        <f>IF(Equips_usuari!F467="","",Equips_usuari!F467)</f>
        <v/>
      </c>
      <c r="F467" s="3" t="str">
        <f>IF($C467="","",SUMIFS(Resultats_jugadores!$C:$C,Resultats_jugadores!$A:$A,$A467,Resultats_jugadores!$B:$B,$C467))</f>
        <v/>
      </c>
      <c r="G467" s="3" t="str">
        <f>IF($C467="","",SUMIFS(Resultats_jugadores!$D:$D,Resultats_jugadores!$A:$A,$A467,Resultats_jugadores!$B:$B,$C467))</f>
        <v/>
      </c>
      <c r="H467" s="3" t="str">
        <f t="shared" si="3"/>
        <v/>
      </c>
      <c r="I467" s="3" t="str">
        <f t="array" ref="I467">IF($C467="","",IFERROR(INDEX(Partits!$C:$C,MATCH($A467&amp;"_"&amp;$D467,Partits!$D:$D,0)),""))</f>
        <v/>
      </c>
      <c r="J467" s="3" t="str">
        <f t="shared" si="4"/>
        <v/>
      </c>
      <c r="K467" s="3" t="str">
        <f t="shared" si="5"/>
        <v/>
      </c>
      <c r="L467" s="3" t="str">
        <f t="shared" si="6"/>
        <v/>
      </c>
      <c r="M467" s="3" t="str">
        <f t="shared" si="7"/>
        <v/>
      </c>
    </row>
    <row r="468" ht="15.0" customHeight="1">
      <c r="A468" s="3" t="str">
        <f>IF(Equips_usuari!A468="","",Equips_usuari!A468)</f>
        <v/>
      </c>
      <c r="B468" s="3" t="str">
        <f>IF(Equips_usuari!B468="","",Equips_usuari!B468)</f>
        <v/>
      </c>
      <c r="C468" s="3" t="str">
        <f>IF(Equips_usuari!C468="","",Equips_usuari!C468)</f>
        <v/>
      </c>
      <c r="D468" s="3" t="str">
        <f>IF(Equips_usuari!D468="","",Equips_usuari!D468)</f>
        <v/>
      </c>
      <c r="E468" s="3" t="str">
        <f>IF(Equips_usuari!F468="","",Equips_usuari!F468)</f>
        <v/>
      </c>
      <c r="F468" s="3" t="str">
        <f>IF($C468="","",SUMIFS(Resultats_jugadores!$C:$C,Resultats_jugadores!$A:$A,$A468,Resultats_jugadores!$B:$B,$C468))</f>
        <v/>
      </c>
      <c r="G468" s="3" t="str">
        <f>IF($C468="","",SUMIFS(Resultats_jugadores!$D:$D,Resultats_jugadores!$A:$A,$A468,Resultats_jugadores!$B:$B,$C468))</f>
        <v/>
      </c>
      <c r="H468" s="3" t="str">
        <f t="shared" si="3"/>
        <v/>
      </c>
      <c r="I468" s="3" t="str">
        <f t="array" ref="I468">IF($C468="","",IFERROR(INDEX(Partits!$C:$C,MATCH($A468&amp;"_"&amp;$D468,Partits!$D:$D,0)),""))</f>
        <v/>
      </c>
      <c r="J468" s="3" t="str">
        <f t="shared" si="4"/>
        <v/>
      </c>
      <c r="K468" s="3" t="str">
        <f t="shared" si="5"/>
        <v/>
      </c>
      <c r="L468" s="3" t="str">
        <f t="shared" si="6"/>
        <v/>
      </c>
      <c r="M468" s="3" t="str">
        <f t="shared" si="7"/>
        <v/>
      </c>
    </row>
    <row r="469" ht="15.0" customHeight="1">
      <c r="A469" s="3" t="str">
        <f>IF(Equips_usuari!A469="","",Equips_usuari!A469)</f>
        <v/>
      </c>
      <c r="B469" s="3" t="str">
        <f>IF(Equips_usuari!B469="","",Equips_usuari!B469)</f>
        <v/>
      </c>
      <c r="C469" s="3" t="str">
        <f>IF(Equips_usuari!C469="","",Equips_usuari!C469)</f>
        <v/>
      </c>
      <c r="D469" s="3" t="str">
        <f>IF(Equips_usuari!D469="","",Equips_usuari!D469)</f>
        <v/>
      </c>
      <c r="E469" s="3" t="str">
        <f>IF(Equips_usuari!F469="","",Equips_usuari!F469)</f>
        <v/>
      </c>
      <c r="F469" s="3" t="str">
        <f>IF($C469="","",SUMIFS(Resultats_jugadores!$C:$C,Resultats_jugadores!$A:$A,$A469,Resultats_jugadores!$B:$B,$C469))</f>
        <v/>
      </c>
      <c r="G469" s="3" t="str">
        <f>IF($C469="","",SUMIFS(Resultats_jugadores!$D:$D,Resultats_jugadores!$A:$A,$A469,Resultats_jugadores!$B:$B,$C469))</f>
        <v/>
      </c>
      <c r="H469" s="3" t="str">
        <f t="shared" si="3"/>
        <v/>
      </c>
      <c r="I469" s="3" t="str">
        <f t="array" ref="I469">IF($C469="","",IFERROR(INDEX(Partits!$C:$C,MATCH($A469&amp;"_"&amp;$D469,Partits!$D:$D,0)),""))</f>
        <v/>
      </c>
      <c r="J469" s="3" t="str">
        <f t="shared" si="4"/>
        <v/>
      </c>
      <c r="K469" s="3" t="str">
        <f t="shared" si="5"/>
        <v/>
      </c>
      <c r="L469" s="3" t="str">
        <f t="shared" si="6"/>
        <v/>
      </c>
      <c r="M469" s="3" t="str">
        <f t="shared" si="7"/>
        <v/>
      </c>
    </row>
    <row r="470" ht="15.0" customHeight="1">
      <c r="A470" s="3" t="str">
        <f>IF(Equips_usuari!A470="","",Equips_usuari!A470)</f>
        <v/>
      </c>
      <c r="B470" s="3" t="str">
        <f>IF(Equips_usuari!B470="","",Equips_usuari!B470)</f>
        <v/>
      </c>
      <c r="C470" s="3" t="str">
        <f>IF(Equips_usuari!C470="","",Equips_usuari!C470)</f>
        <v/>
      </c>
      <c r="D470" s="3" t="str">
        <f>IF(Equips_usuari!D470="","",Equips_usuari!D470)</f>
        <v/>
      </c>
      <c r="E470" s="3" t="str">
        <f>IF(Equips_usuari!F470="","",Equips_usuari!F470)</f>
        <v/>
      </c>
      <c r="F470" s="3" t="str">
        <f>IF($C470="","",SUMIFS(Resultats_jugadores!$C:$C,Resultats_jugadores!$A:$A,$A470,Resultats_jugadores!$B:$B,$C470))</f>
        <v/>
      </c>
      <c r="G470" s="3" t="str">
        <f>IF($C470="","",SUMIFS(Resultats_jugadores!$D:$D,Resultats_jugadores!$A:$A,$A470,Resultats_jugadores!$B:$B,$C470))</f>
        <v/>
      </c>
      <c r="H470" s="3" t="str">
        <f t="shared" si="3"/>
        <v/>
      </c>
      <c r="I470" s="3" t="str">
        <f t="array" ref="I470">IF($C470="","",IFERROR(INDEX(Partits!$C:$C,MATCH($A470&amp;"_"&amp;$D470,Partits!$D:$D,0)),""))</f>
        <v/>
      </c>
      <c r="J470" s="3" t="str">
        <f t="shared" si="4"/>
        <v/>
      </c>
      <c r="K470" s="3" t="str">
        <f t="shared" si="5"/>
        <v/>
      </c>
      <c r="L470" s="3" t="str">
        <f t="shared" si="6"/>
        <v/>
      </c>
      <c r="M470" s="3" t="str">
        <f t="shared" si="7"/>
        <v/>
      </c>
    </row>
    <row r="471" ht="15.0" customHeight="1">
      <c r="A471" s="3" t="str">
        <f>IF(Equips_usuari!A471="","",Equips_usuari!A471)</f>
        <v/>
      </c>
      <c r="B471" s="3" t="str">
        <f>IF(Equips_usuari!B471="","",Equips_usuari!B471)</f>
        <v/>
      </c>
      <c r="C471" s="3" t="str">
        <f>IF(Equips_usuari!C471="","",Equips_usuari!C471)</f>
        <v/>
      </c>
      <c r="D471" s="3" t="str">
        <f>IF(Equips_usuari!D471="","",Equips_usuari!D471)</f>
        <v/>
      </c>
      <c r="E471" s="3" t="str">
        <f>IF(Equips_usuari!F471="","",Equips_usuari!F471)</f>
        <v/>
      </c>
      <c r="F471" s="3" t="str">
        <f>IF($C471="","",SUMIFS(Resultats_jugadores!$C:$C,Resultats_jugadores!$A:$A,$A471,Resultats_jugadores!$B:$B,$C471))</f>
        <v/>
      </c>
      <c r="G471" s="3" t="str">
        <f>IF($C471="","",SUMIFS(Resultats_jugadores!$D:$D,Resultats_jugadores!$A:$A,$A471,Resultats_jugadores!$B:$B,$C471))</f>
        <v/>
      </c>
      <c r="H471" s="3" t="str">
        <f t="shared" si="3"/>
        <v/>
      </c>
      <c r="I471" s="3" t="str">
        <f t="array" ref="I471">IF($C471="","",IFERROR(INDEX(Partits!$C:$C,MATCH($A471&amp;"_"&amp;$D471,Partits!$D:$D,0)),""))</f>
        <v/>
      </c>
      <c r="J471" s="3" t="str">
        <f t="shared" si="4"/>
        <v/>
      </c>
      <c r="K471" s="3" t="str">
        <f t="shared" si="5"/>
        <v/>
      </c>
      <c r="L471" s="3" t="str">
        <f t="shared" si="6"/>
        <v/>
      </c>
      <c r="M471" s="3" t="str">
        <f t="shared" si="7"/>
        <v/>
      </c>
    </row>
    <row r="472" ht="15.0" customHeight="1">
      <c r="A472" s="3" t="str">
        <f>IF(Equips_usuari!A472="","",Equips_usuari!A472)</f>
        <v/>
      </c>
      <c r="B472" s="3" t="str">
        <f>IF(Equips_usuari!B472="","",Equips_usuari!B472)</f>
        <v/>
      </c>
      <c r="C472" s="3" t="str">
        <f>IF(Equips_usuari!C472="","",Equips_usuari!C472)</f>
        <v/>
      </c>
      <c r="D472" s="3" t="str">
        <f>IF(Equips_usuari!D472="","",Equips_usuari!D472)</f>
        <v/>
      </c>
      <c r="E472" s="3" t="str">
        <f>IF(Equips_usuari!F472="","",Equips_usuari!F472)</f>
        <v/>
      </c>
      <c r="F472" s="3" t="str">
        <f>IF($C472="","",SUMIFS(Resultats_jugadores!$C:$C,Resultats_jugadores!$A:$A,$A472,Resultats_jugadores!$B:$B,$C472))</f>
        <v/>
      </c>
      <c r="G472" s="3" t="str">
        <f>IF($C472="","",SUMIFS(Resultats_jugadores!$D:$D,Resultats_jugadores!$A:$A,$A472,Resultats_jugadores!$B:$B,$C472))</f>
        <v/>
      </c>
      <c r="H472" s="3" t="str">
        <f t="shared" si="3"/>
        <v/>
      </c>
      <c r="I472" s="3" t="str">
        <f t="array" ref="I472">IF($C472="","",IFERROR(INDEX(Partits!$C:$C,MATCH($A472&amp;"_"&amp;$D472,Partits!$D:$D,0)),""))</f>
        <v/>
      </c>
      <c r="J472" s="3" t="str">
        <f t="shared" si="4"/>
        <v/>
      </c>
      <c r="K472" s="3" t="str">
        <f t="shared" si="5"/>
        <v/>
      </c>
      <c r="L472" s="3" t="str">
        <f t="shared" si="6"/>
        <v/>
      </c>
      <c r="M472" s="3" t="str">
        <f t="shared" si="7"/>
        <v/>
      </c>
    </row>
    <row r="473" ht="15.0" customHeight="1">
      <c r="A473" s="3" t="str">
        <f>IF(Equips_usuari!A473="","",Equips_usuari!A473)</f>
        <v/>
      </c>
      <c r="B473" s="3" t="str">
        <f>IF(Equips_usuari!B473="","",Equips_usuari!B473)</f>
        <v/>
      </c>
      <c r="C473" s="3" t="str">
        <f>IF(Equips_usuari!C473="","",Equips_usuari!C473)</f>
        <v/>
      </c>
      <c r="D473" s="3" t="str">
        <f>IF(Equips_usuari!D473="","",Equips_usuari!D473)</f>
        <v/>
      </c>
      <c r="E473" s="3" t="str">
        <f>IF(Equips_usuari!F473="","",Equips_usuari!F473)</f>
        <v/>
      </c>
      <c r="F473" s="3" t="str">
        <f>IF($C473="","",SUMIFS(Resultats_jugadores!$C:$C,Resultats_jugadores!$A:$A,$A473,Resultats_jugadores!$B:$B,$C473))</f>
        <v/>
      </c>
      <c r="G473" s="3" t="str">
        <f>IF($C473="","",SUMIFS(Resultats_jugadores!$D:$D,Resultats_jugadores!$A:$A,$A473,Resultats_jugadores!$B:$B,$C473))</f>
        <v/>
      </c>
      <c r="H473" s="3" t="str">
        <f t="shared" si="3"/>
        <v/>
      </c>
      <c r="I473" s="3" t="str">
        <f t="array" ref="I473">IF($C473="","",IFERROR(INDEX(Partits!$C:$C,MATCH($A473&amp;"_"&amp;$D473,Partits!$D:$D,0)),""))</f>
        <v/>
      </c>
      <c r="J473" s="3" t="str">
        <f t="shared" si="4"/>
        <v/>
      </c>
      <c r="K473" s="3" t="str">
        <f t="shared" si="5"/>
        <v/>
      </c>
      <c r="L473" s="3" t="str">
        <f t="shared" si="6"/>
        <v/>
      </c>
      <c r="M473" s="3" t="str">
        <f t="shared" si="7"/>
        <v/>
      </c>
    </row>
    <row r="474" ht="15.0" customHeight="1">
      <c r="A474" s="3" t="str">
        <f>IF(Equips_usuari!A474="","",Equips_usuari!A474)</f>
        <v/>
      </c>
      <c r="B474" s="3" t="str">
        <f>IF(Equips_usuari!B474="","",Equips_usuari!B474)</f>
        <v/>
      </c>
      <c r="C474" s="3" t="str">
        <f>IF(Equips_usuari!C474="","",Equips_usuari!C474)</f>
        <v/>
      </c>
      <c r="D474" s="3" t="str">
        <f>IF(Equips_usuari!D474="","",Equips_usuari!D474)</f>
        <v/>
      </c>
      <c r="E474" s="3" t="str">
        <f>IF(Equips_usuari!F474="","",Equips_usuari!F474)</f>
        <v/>
      </c>
      <c r="F474" s="3" t="str">
        <f>IF($C474="","",SUMIFS(Resultats_jugadores!$C:$C,Resultats_jugadores!$A:$A,$A474,Resultats_jugadores!$B:$B,$C474))</f>
        <v/>
      </c>
      <c r="G474" s="3" t="str">
        <f>IF($C474="","",SUMIFS(Resultats_jugadores!$D:$D,Resultats_jugadores!$A:$A,$A474,Resultats_jugadores!$B:$B,$C474))</f>
        <v/>
      </c>
      <c r="H474" s="3" t="str">
        <f t="shared" si="3"/>
        <v/>
      </c>
      <c r="I474" s="3" t="str">
        <f t="array" ref="I474">IF($C474="","",IFERROR(INDEX(Partits!$C:$C,MATCH($A474&amp;"_"&amp;$D474,Partits!$D:$D,0)),""))</f>
        <v/>
      </c>
      <c r="J474" s="3" t="str">
        <f t="shared" si="4"/>
        <v/>
      </c>
      <c r="K474" s="3" t="str">
        <f t="shared" si="5"/>
        <v/>
      </c>
      <c r="L474" s="3" t="str">
        <f t="shared" si="6"/>
        <v/>
      </c>
      <c r="M474" s="3" t="str">
        <f t="shared" si="7"/>
        <v/>
      </c>
    </row>
    <row r="475" ht="15.0" customHeight="1">
      <c r="A475" s="3" t="str">
        <f>IF(Equips_usuari!A475="","",Equips_usuari!A475)</f>
        <v/>
      </c>
      <c r="B475" s="3" t="str">
        <f>IF(Equips_usuari!B475="","",Equips_usuari!B475)</f>
        <v/>
      </c>
      <c r="C475" s="3" t="str">
        <f>IF(Equips_usuari!C475="","",Equips_usuari!C475)</f>
        <v/>
      </c>
      <c r="D475" s="3" t="str">
        <f>IF(Equips_usuari!D475="","",Equips_usuari!D475)</f>
        <v/>
      </c>
      <c r="E475" s="3" t="str">
        <f>IF(Equips_usuari!F475="","",Equips_usuari!F475)</f>
        <v/>
      </c>
      <c r="F475" s="3" t="str">
        <f>IF($C475="","",SUMIFS(Resultats_jugadores!$C:$C,Resultats_jugadores!$A:$A,$A475,Resultats_jugadores!$B:$B,$C475))</f>
        <v/>
      </c>
      <c r="G475" s="3" t="str">
        <f>IF($C475="","",SUMIFS(Resultats_jugadores!$D:$D,Resultats_jugadores!$A:$A,$A475,Resultats_jugadores!$B:$B,$C475))</f>
        <v/>
      </c>
      <c r="H475" s="3" t="str">
        <f t="shared" si="3"/>
        <v/>
      </c>
      <c r="I475" s="3" t="str">
        <f t="array" ref="I475">IF($C475="","",IFERROR(INDEX(Partits!$C:$C,MATCH($A475&amp;"_"&amp;$D475,Partits!$D:$D,0)),""))</f>
        <v/>
      </c>
      <c r="J475" s="3" t="str">
        <f t="shared" si="4"/>
        <v/>
      </c>
      <c r="K475" s="3" t="str">
        <f t="shared" si="5"/>
        <v/>
      </c>
      <c r="L475" s="3" t="str">
        <f t="shared" si="6"/>
        <v/>
      </c>
      <c r="M475" s="3" t="str">
        <f t="shared" si="7"/>
        <v/>
      </c>
    </row>
    <row r="476" ht="15.0" customHeight="1">
      <c r="A476" s="3" t="str">
        <f>IF(Equips_usuari!A476="","",Equips_usuari!A476)</f>
        <v/>
      </c>
      <c r="B476" s="3" t="str">
        <f>IF(Equips_usuari!B476="","",Equips_usuari!B476)</f>
        <v/>
      </c>
      <c r="C476" s="3" t="str">
        <f>IF(Equips_usuari!C476="","",Equips_usuari!C476)</f>
        <v/>
      </c>
      <c r="D476" s="3" t="str">
        <f>IF(Equips_usuari!D476="","",Equips_usuari!D476)</f>
        <v/>
      </c>
      <c r="E476" s="3" t="str">
        <f>IF(Equips_usuari!F476="","",Equips_usuari!F476)</f>
        <v/>
      </c>
      <c r="F476" s="3" t="str">
        <f>IF($C476="","",SUMIFS(Resultats_jugadores!$C:$C,Resultats_jugadores!$A:$A,$A476,Resultats_jugadores!$B:$B,$C476))</f>
        <v/>
      </c>
      <c r="G476" s="3" t="str">
        <f>IF($C476="","",SUMIFS(Resultats_jugadores!$D:$D,Resultats_jugadores!$A:$A,$A476,Resultats_jugadores!$B:$B,$C476))</f>
        <v/>
      </c>
      <c r="H476" s="3" t="str">
        <f t="shared" si="3"/>
        <v/>
      </c>
      <c r="I476" s="3" t="str">
        <f t="array" ref="I476">IF($C476="","",IFERROR(INDEX(Partits!$C:$C,MATCH($A476&amp;"_"&amp;$D476,Partits!$D:$D,0)),""))</f>
        <v/>
      </c>
      <c r="J476" s="3" t="str">
        <f t="shared" si="4"/>
        <v/>
      </c>
      <c r="K476" s="3" t="str">
        <f t="shared" si="5"/>
        <v/>
      </c>
      <c r="L476" s="3" t="str">
        <f t="shared" si="6"/>
        <v/>
      </c>
      <c r="M476" s="3" t="str">
        <f t="shared" si="7"/>
        <v/>
      </c>
    </row>
    <row r="477" ht="15.0" customHeight="1">
      <c r="A477" s="3" t="str">
        <f>IF(Equips_usuari!A477="","",Equips_usuari!A477)</f>
        <v/>
      </c>
      <c r="B477" s="3" t="str">
        <f>IF(Equips_usuari!B477="","",Equips_usuari!B477)</f>
        <v/>
      </c>
      <c r="C477" s="3" t="str">
        <f>IF(Equips_usuari!C477="","",Equips_usuari!C477)</f>
        <v/>
      </c>
      <c r="D477" s="3" t="str">
        <f>IF(Equips_usuari!D477="","",Equips_usuari!D477)</f>
        <v/>
      </c>
      <c r="E477" s="3" t="str">
        <f>IF(Equips_usuari!F477="","",Equips_usuari!F477)</f>
        <v/>
      </c>
      <c r="F477" s="3" t="str">
        <f>IF($C477="","",SUMIFS(Resultats_jugadores!$C:$C,Resultats_jugadores!$A:$A,$A477,Resultats_jugadores!$B:$B,$C477))</f>
        <v/>
      </c>
      <c r="G477" s="3" t="str">
        <f>IF($C477="","",SUMIFS(Resultats_jugadores!$D:$D,Resultats_jugadores!$A:$A,$A477,Resultats_jugadores!$B:$B,$C477))</f>
        <v/>
      </c>
      <c r="H477" s="3" t="str">
        <f t="shared" si="3"/>
        <v/>
      </c>
      <c r="I477" s="3" t="str">
        <f t="array" ref="I477">IF($C477="","",IFERROR(INDEX(Partits!$C:$C,MATCH($A477&amp;"_"&amp;$D477,Partits!$D:$D,0)),""))</f>
        <v/>
      </c>
      <c r="J477" s="3" t="str">
        <f t="shared" si="4"/>
        <v/>
      </c>
      <c r="K477" s="3" t="str">
        <f t="shared" si="5"/>
        <v/>
      </c>
      <c r="L477" s="3" t="str">
        <f t="shared" si="6"/>
        <v/>
      </c>
      <c r="M477" s="3" t="str">
        <f t="shared" si="7"/>
        <v/>
      </c>
    </row>
    <row r="478" ht="15.0" customHeight="1">
      <c r="A478" s="3" t="str">
        <f>IF(Equips_usuari!A478="","",Equips_usuari!A478)</f>
        <v/>
      </c>
      <c r="B478" s="3" t="str">
        <f>IF(Equips_usuari!B478="","",Equips_usuari!B478)</f>
        <v/>
      </c>
      <c r="C478" s="3" t="str">
        <f>IF(Equips_usuari!C478="","",Equips_usuari!C478)</f>
        <v/>
      </c>
      <c r="D478" s="3" t="str">
        <f>IF(Equips_usuari!D478="","",Equips_usuari!D478)</f>
        <v/>
      </c>
      <c r="E478" s="3" t="str">
        <f>IF(Equips_usuari!F478="","",Equips_usuari!F478)</f>
        <v/>
      </c>
      <c r="F478" s="3" t="str">
        <f>IF($C478="","",SUMIFS(Resultats_jugadores!$C:$C,Resultats_jugadores!$A:$A,$A478,Resultats_jugadores!$B:$B,$C478))</f>
        <v/>
      </c>
      <c r="G478" s="3" t="str">
        <f>IF($C478="","",SUMIFS(Resultats_jugadores!$D:$D,Resultats_jugadores!$A:$A,$A478,Resultats_jugadores!$B:$B,$C478))</f>
        <v/>
      </c>
      <c r="H478" s="3" t="str">
        <f t="shared" si="3"/>
        <v/>
      </c>
      <c r="I478" s="3" t="str">
        <f t="array" ref="I478">IF($C478="","",IFERROR(INDEX(Partits!$C:$C,MATCH($A478&amp;"_"&amp;$D478,Partits!$D:$D,0)),""))</f>
        <v/>
      </c>
      <c r="J478" s="3" t="str">
        <f t="shared" si="4"/>
        <v/>
      </c>
      <c r="K478" s="3" t="str">
        <f t="shared" si="5"/>
        <v/>
      </c>
      <c r="L478" s="3" t="str">
        <f t="shared" si="6"/>
        <v/>
      </c>
      <c r="M478" s="3" t="str">
        <f t="shared" si="7"/>
        <v/>
      </c>
    </row>
    <row r="479" ht="15.0" customHeight="1">
      <c r="A479" s="3" t="str">
        <f>IF(Equips_usuari!A479="","",Equips_usuari!A479)</f>
        <v/>
      </c>
      <c r="B479" s="3" t="str">
        <f>IF(Equips_usuari!B479="","",Equips_usuari!B479)</f>
        <v/>
      </c>
      <c r="C479" s="3" t="str">
        <f>IF(Equips_usuari!C479="","",Equips_usuari!C479)</f>
        <v/>
      </c>
      <c r="D479" s="3" t="str">
        <f>IF(Equips_usuari!D479="","",Equips_usuari!D479)</f>
        <v/>
      </c>
      <c r="E479" s="3" t="str">
        <f>IF(Equips_usuari!F479="","",Equips_usuari!F479)</f>
        <v/>
      </c>
      <c r="F479" s="3" t="str">
        <f>IF($C479="","",SUMIFS(Resultats_jugadores!$C:$C,Resultats_jugadores!$A:$A,$A479,Resultats_jugadores!$B:$B,$C479))</f>
        <v/>
      </c>
      <c r="G479" s="3" t="str">
        <f>IF($C479="","",SUMIFS(Resultats_jugadores!$D:$D,Resultats_jugadores!$A:$A,$A479,Resultats_jugadores!$B:$B,$C479))</f>
        <v/>
      </c>
      <c r="H479" s="3" t="str">
        <f t="shared" si="3"/>
        <v/>
      </c>
      <c r="I479" s="3" t="str">
        <f t="array" ref="I479">IF($C479="","",IFERROR(INDEX(Partits!$C:$C,MATCH($A479&amp;"_"&amp;$D479,Partits!$D:$D,0)),""))</f>
        <v/>
      </c>
      <c r="J479" s="3" t="str">
        <f t="shared" si="4"/>
        <v/>
      </c>
      <c r="K479" s="3" t="str">
        <f t="shared" si="5"/>
        <v/>
      </c>
      <c r="L479" s="3" t="str">
        <f t="shared" si="6"/>
        <v/>
      </c>
      <c r="M479" s="3" t="str">
        <f t="shared" si="7"/>
        <v/>
      </c>
    </row>
    <row r="480" ht="15.0" customHeight="1">
      <c r="A480" s="3" t="str">
        <f>IF(Equips_usuari!A480="","",Equips_usuari!A480)</f>
        <v/>
      </c>
      <c r="B480" s="3" t="str">
        <f>IF(Equips_usuari!B480="","",Equips_usuari!B480)</f>
        <v/>
      </c>
      <c r="C480" s="3" t="str">
        <f>IF(Equips_usuari!C480="","",Equips_usuari!C480)</f>
        <v/>
      </c>
      <c r="D480" s="3" t="str">
        <f>IF(Equips_usuari!D480="","",Equips_usuari!D480)</f>
        <v/>
      </c>
      <c r="E480" s="3" t="str">
        <f>IF(Equips_usuari!F480="","",Equips_usuari!F480)</f>
        <v/>
      </c>
      <c r="F480" s="3" t="str">
        <f>IF($C480="","",SUMIFS(Resultats_jugadores!$C:$C,Resultats_jugadores!$A:$A,$A480,Resultats_jugadores!$B:$B,$C480))</f>
        <v/>
      </c>
      <c r="G480" s="3" t="str">
        <f>IF($C480="","",SUMIFS(Resultats_jugadores!$D:$D,Resultats_jugadores!$A:$A,$A480,Resultats_jugadores!$B:$B,$C480))</f>
        <v/>
      </c>
      <c r="H480" s="3" t="str">
        <f t="shared" si="3"/>
        <v/>
      </c>
      <c r="I480" s="3" t="str">
        <f t="array" ref="I480">IF($C480="","",IFERROR(INDEX(Partits!$C:$C,MATCH($A480&amp;"_"&amp;$D480,Partits!$D:$D,0)),""))</f>
        <v/>
      </c>
      <c r="J480" s="3" t="str">
        <f t="shared" si="4"/>
        <v/>
      </c>
      <c r="K480" s="3" t="str">
        <f t="shared" si="5"/>
        <v/>
      </c>
      <c r="L480" s="3" t="str">
        <f t="shared" si="6"/>
        <v/>
      </c>
      <c r="M480" s="3" t="str">
        <f t="shared" si="7"/>
        <v/>
      </c>
    </row>
    <row r="481" ht="15.0" customHeight="1">
      <c r="A481" s="3" t="str">
        <f>IF(Equips_usuari!A481="","",Equips_usuari!A481)</f>
        <v/>
      </c>
      <c r="B481" s="3" t="str">
        <f>IF(Equips_usuari!B481="","",Equips_usuari!B481)</f>
        <v/>
      </c>
      <c r="C481" s="3" t="str">
        <f>IF(Equips_usuari!C481="","",Equips_usuari!C481)</f>
        <v/>
      </c>
      <c r="D481" s="3" t="str">
        <f>IF(Equips_usuari!D481="","",Equips_usuari!D481)</f>
        <v/>
      </c>
      <c r="E481" s="3" t="str">
        <f>IF(Equips_usuari!F481="","",Equips_usuari!F481)</f>
        <v/>
      </c>
      <c r="F481" s="3" t="str">
        <f>IF($C481="","",SUMIFS(Resultats_jugadores!$C:$C,Resultats_jugadores!$A:$A,$A481,Resultats_jugadores!$B:$B,$C481))</f>
        <v/>
      </c>
      <c r="G481" s="3" t="str">
        <f>IF($C481="","",SUMIFS(Resultats_jugadores!$D:$D,Resultats_jugadores!$A:$A,$A481,Resultats_jugadores!$B:$B,$C481))</f>
        <v/>
      </c>
      <c r="H481" s="3" t="str">
        <f t="shared" si="3"/>
        <v/>
      </c>
      <c r="I481" s="3" t="str">
        <f t="array" ref="I481">IF($C481="","",IFERROR(INDEX(Partits!$C:$C,MATCH($A481&amp;"_"&amp;$D481,Partits!$D:$D,0)),""))</f>
        <v/>
      </c>
      <c r="J481" s="3" t="str">
        <f t="shared" si="4"/>
        <v/>
      </c>
      <c r="K481" s="3" t="str">
        <f t="shared" si="5"/>
        <v/>
      </c>
      <c r="L481" s="3" t="str">
        <f t="shared" si="6"/>
        <v/>
      </c>
      <c r="M481" s="3" t="str">
        <f t="shared" si="7"/>
        <v/>
      </c>
    </row>
    <row r="482" ht="15.0" customHeight="1">
      <c r="A482" s="3" t="str">
        <f>IF(Equips_usuari!A482="","",Equips_usuari!A482)</f>
        <v/>
      </c>
      <c r="B482" s="3" t="str">
        <f>IF(Equips_usuari!B482="","",Equips_usuari!B482)</f>
        <v/>
      </c>
      <c r="C482" s="3" t="str">
        <f>IF(Equips_usuari!C482="","",Equips_usuari!C482)</f>
        <v/>
      </c>
      <c r="D482" s="3" t="str">
        <f>IF(Equips_usuari!D482="","",Equips_usuari!D482)</f>
        <v/>
      </c>
      <c r="E482" s="3" t="str">
        <f>IF(Equips_usuari!F482="","",Equips_usuari!F482)</f>
        <v/>
      </c>
      <c r="F482" s="3" t="str">
        <f>IF($C482="","",SUMIFS(Resultats_jugadores!$C:$C,Resultats_jugadores!$A:$A,$A482,Resultats_jugadores!$B:$B,$C482))</f>
        <v/>
      </c>
      <c r="G482" s="3" t="str">
        <f>IF($C482="","",SUMIFS(Resultats_jugadores!$D:$D,Resultats_jugadores!$A:$A,$A482,Resultats_jugadores!$B:$B,$C482))</f>
        <v/>
      </c>
      <c r="H482" s="3" t="str">
        <f t="shared" si="3"/>
        <v/>
      </c>
      <c r="I482" s="3" t="str">
        <f t="array" ref="I482">IF($C482="","",IFERROR(INDEX(Partits!$C:$C,MATCH($A482&amp;"_"&amp;$D482,Partits!$D:$D,0)),""))</f>
        <v/>
      </c>
      <c r="J482" s="3" t="str">
        <f t="shared" si="4"/>
        <v/>
      </c>
      <c r="K482" s="3" t="str">
        <f t="shared" si="5"/>
        <v/>
      </c>
      <c r="L482" s="3" t="str">
        <f t="shared" si="6"/>
        <v/>
      </c>
      <c r="M482" s="3" t="str">
        <f t="shared" si="7"/>
        <v/>
      </c>
    </row>
    <row r="483" ht="15.0" customHeight="1">
      <c r="A483" s="3" t="str">
        <f>IF(Equips_usuari!A483="","",Equips_usuari!A483)</f>
        <v/>
      </c>
      <c r="B483" s="3" t="str">
        <f>IF(Equips_usuari!B483="","",Equips_usuari!B483)</f>
        <v/>
      </c>
      <c r="C483" s="3" t="str">
        <f>IF(Equips_usuari!C483="","",Equips_usuari!C483)</f>
        <v/>
      </c>
      <c r="D483" s="3" t="str">
        <f>IF(Equips_usuari!D483="","",Equips_usuari!D483)</f>
        <v/>
      </c>
      <c r="E483" s="3" t="str">
        <f>IF(Equips_usuari!F483="","",Equips_usuari!F483)</f>
        <v/>
      </c>
      <c r="F483" s="3" t="str">
        <f>IF($C483="","",SUMIFS(Resultats_jugadores!$C:$C,Resultats_jugadores!$A:$A,$A483,Resultats_jugadores!$B:$B,$C483))</f>
        <v/>
      </c>
      <c r="G483" s="3" t="str">
        <f>IF($C483="","",SUMIFS(Resultats_jugadores!$D:$D,Resultats_jugadores!$A:$A,$A483,Resultats_jugadores!$B:$B,$C483))</f>
        <v/>
      </c>
      <c r="H483" s="3" t="str">
        <f t="shared" si="3"/>
        <v/>
      </c>
      <c r="I483" s="3" t="str">
        <f t="array" ref="I483">IF($C483="","",IFERROR(INDEX(Partits!$C:$C,MATCH($A483&amp;"_"&amp;$D483,Partits!$D:$D,0)),""))</f>
        <v/>
      </c>
      <c r="J483" s="3" t="str">
        <f t="shared" si="4"/>
        <v/>
      </c>
      <c r="K483" s="3" t="str">
        <f t="shared" si="5"/>
        <v/>
      </c>
      <c r="L483" s="3" t="str">
        <f t="shared" si="6"/>
        <v/>
      </c>
      <c r="M483" s="3" t="str">
        <f t="shared" si="7"/>
        <v/>
      </c>
    </row>
    <row r="484" ht="15.0" customHeight="1">
      <c r="A484" s="3" t="str">
        <f>IF(Equips_usuari!A484="","",Equips_usuari!A484)</f>
        <v/>
      </c>
      <c r="B484" s="3" t="str">
        <f>IF(Equips_usuari!B484="","",Equips_usuari!B484)</f>
        <v/>
      </c>
      <c r="C484" s="3" t="str">
        <f>IF(Equips_usuari!C484="","",Equips_usuari!C484)</f>
        <v/>
      </c>
      <c r="D484" s="3" t="str">
        <f>IF(Equips_usuari!D484="","",Equips_usuari!D484)</f>
        <v/>
      </c>
      <c r="E484" s="3" t="str">
        <f>IF(Equips_usuari!F484="","",Equips_usuari!F484)</f>
        <v/>
      </c>
      <c r="F484" s="3" t="str">
        <f>IF($C484="","",SUMIFS(Resultats_jugadores!$C:$C,Resultats_jugadores!$A:$A,$A484,Resultats_jugadores!$B:$B,$C484))</f>
        <v/>
      </c>
      <c r="G484" s="3" t="str">
        <f>IF($C484="","",SUMIFS(Resultats_jugadores!$D:$D,Resultats_jugadores!$A:$A,$A484,Resultats_jugadores!$B:$B,$C484))</f>
        <v/>
      </c>
      <c r="H484" s="3" t="str">
        <f t="shared" si="3"/>
        <v/>
      </c>
      <c r="I484" s="3" t="str">
        <f t="array" ref="I484">IF($C484="","",IFERROR(INDEX(Partits!$C:$C,MATCH($A484&amp;"_"&amp;$D484,Partits!$D:$D,0)),""))</f>
        <v/>
      </c>
      <c r="J484" s="3" t="str">
        <f t="shared" si="4"/>
        <v/>
      </c>
      <c r="K484" s="3" t="str">
        <f t="shared" si="5"/>
        <v/>
      </c>
      <c r="L484" s="3" t="str">
        <f t="shared" si="6"/>
        <v/>
      </c>
      <c r="M484" s="3" t="str">
        <f t="shared" si="7"/>
        <v/>
      </c>
    </row>
    <row r="485" ht="15.0" customHeight="1">
      <c r="A485" s="3" t="str">
        <f>IF(Equips_usuari!A485="","",Equips_usuari!A485)</f>
        <v/>
      </c>
      <c r="B485" s="3" t="str">
        <f>IF(Equips_usuari!B485="","",Equips_usuari!B485)</f>
        <v/>
      </c>
      <c r="C485" s="3" t="str">
        <f>IF(Equips_usuari!C485="","",Equips_usuari!C485)</f>
        <v/>
      </c>
      <c r="D485" s="3" t="str">
        <f>IF(Equips_usuari!D485="","",Equips_usuari!D485)</f>
        <v/>
      </c>
      <c r="E485" s="3" t="str">
        <f>IF(Equips_usuari!F485="","",Equips_usuari!F485)</f>
        <v/>
      </c>
      <c r="F485" s="3" t="str">
        <f>IF($C485="","",SUMIFS(Resultats_jugadores!$C:$C,Resultats_jugadores!$A:$A,$A485,Resultats_jugadores!$B:$B,$C485))</f>
        <v/>
      </c>
      <c r="G485" s="3" t="str">
        <f>IF($C485="","",SUMIFS(Resultats_jugadores!$D:$D,Resultats_jugadores!$A:$A,$A485,Resultats_jugadores!$B:$B,$C485))</f>
        <v/>
      </c>
      <c r="H485" s="3" t="str">
        <f t="shared" si="3"/>
        <v/>
      </c>
      <c r="I485" s="3" t="str">
        <f t="array" ref="I485">IF($C485="","",IFERROR(INDEX(Partits!$C:$C,MATCH($A485&amp;"_"&amp;$D485,Partits!$D:$D,0)),""))</f>
        <v/>
      </c>
      <c r="J485" s="3" t="str">
        <f t="shared" si="4"/>
        <v/>
      </c>
      <c r="K485" s="3" t="str">
        <f t="shared" si="5"/>
        <v/>
      </c>
      <c r="L485" s="3" t="str">
        <f t="shared" si="6"/>
        <v/>
      </c>
      <c r="M485" s="3" t="str">
        <f t="shared" si="7"/>
        <v/>
      </c>
    </row>
    <row r="486" ht="15.0" customHeight="1">
      <c r="A486" s="3" t="str">
        <f>IF(Equips_usuari!A486="","",Equips_usuari!A486)</f>
        <v/>
      </c>
      <c r="B486" s="3" t="str">
        <f>IF(Equips_usuari!B486="","",Equips_usuari!B486)</f>
        <v/>
      </c>
      <c r="C486" s="3" t="str">
        <f>IF(Equips_usuari!C486="","",Equips_usuari!C486)</f>
        <v/>
      </c>
      <c r="D486" s="3" t="str">
        <f>IF(Equips_usuari!D486="","",Equips_usuari!D486)</f>
        <v/>
      </c>
      <c r="E486" s="3" t="str">
        <f>IF(Equips_usuari!F486="","",Equips_usuari!F486)</f>
        <v/>
      </c>
      <c r="F486" s="3" t="str">
        <f>IF($C486="","",SUMIFS(Resultats_jugadores!$C:$C,Resultats_jugadores!$A:$A,$A486,Resultats_jugadores!$B:$B,$C486))</f>
        <v/>
      </c>
      <c r="G486" s="3" t="str">
        <f>IF($C486="","",SUMIFS(Resultats_jugadores!$D:$D,Resultats_jugadores!$A:$A,$A486,Resultats_jugadores!$B:$B,$C486))</f>
        <v/>
      </c>
      <c r="H486" s="3" t="str">
        <f t="shared" si="3"/>
        <v/>
      </c>
      <c r="I486" s="3" t="str">
        <f t="array" ref="I486">IF($C486="","",IFERROR(INDEX(Partits!$C:$C,MATCH($A486&amp;"_"&amp;$D486,Partits!$D:$D,0)),""))</f>
        <v/>
      </c>
      <c r="J486" s="3" t="str">
        <f t="shared" si="4"/>
        <v/>
      </c>
      <c r="K486" s="3" t="str">
        <f t="shared" si="5"/>
        <v/>
      </c>
      <c r="L486" s="3" t="str">
        <f t="shared" si="6"/>
        <v/>
      </c>
      <c r="M486" s="3" t="str">
        <f t="shared" si="7"/>
        <v/>
      </c>
    </row>
    <row r="487" ht="15.0" customHeight="1">
      <c r="A487" s="3" t="str">
        <f>IF(Equips_usuari!A487="","",Equips_usuari!A487)</f>
        <v/>
      </c>
      <c r="B487" s="3" t="str">
        <f>IF(Equips_usuari!B487="","",Equips_usuari!B487)</f>
        <v/>
      </c>
      <c r="C487" s="3" t="str">
        <f>IF(Equips_usuari!C487="","",Equips_usuari!C487)</f>
        <v/>
      </c>
      <c r="D487" s="3" t="str">
        <f>IF(Equips_usuari!D487="","",Equips_usuari!D487)</f>
        <v/>
      </c>
      <c r="E487" s="3" t="str">
        <f>IF(Equips_usuari!F487="","",Equips_usuari!F487)</f>
        <v/>
      </c>
      <c r="F487" s="3" t="str">
        <f>IF($C487="","",SUMIFS(Resultats_jugadores!$C:$C,Resultats_jugadores!$A:$A,$A487,Resultats_jugadores!$B:$B,$C487))</f>
        <v/>
      </c>
      <c r="G487" s="3" t="str">
        <f>IF($C487="","",SUMIFS(Resultats_jugadores!$D:$D,Resultats_jugadores!$A:$A,$A487,Resultats_jugadores!$B:$B,$C487))</f>
        <v/>
      </c>
      <c r="H487" s="3" t="str">
        <f t="shared" si="3"/>
        <v/>
      </c>
      <c r="I487" s="3" t="str">
        <f t="array" ref="I487">IF($C487="","",IFERROR(INDEX(Partits!$C:$C,MATCH($A487&amp;"_"&amp;$D487,Partits!$D:$D,0)),""))</f>
        <v/>
      </c>
      <c r="J487" s="3" t="str">
        <f t="shared" si="4"/>
        <v/>
      </c>
      <c r="K487" s="3" t="str">
        <f t="shared" si="5"/>
        <v/>
      </c>
      <c r="L487" s="3" t="str">
        <f t="shared" si="6"/>
        <v/>
      </c>
      <c r="M487" s="3" t="str">
        <f t="shared" si="7"/>
        <v/>
      </c>
    </row>
    <row r="488" ht="15.0" customHeight="1">
      <c r="A488" s="3" t="str">
        <f>IF(Equips_usuari!A488="","",Equips_usuari!A488)</f>
        <v/>
      </c>
      <c r="B488" s="3" t="str">
        <f>IF(Equips_usuari!B488="","",Equips_usuari!B488)</f>
        <v/>
      </c>
      <c r="C488" s="3" t="str">
        <f>IF(Equips_usuari!C488="","",Equips_usuari!C488)</f>
        <v/>
      </c>
      <c r="D488" s="3" t="str">
        <f>IF(Equips_usuari!D488="","",Equips_usuari!D488)</f>
        <v/>
      </c>
      <c r="E488" s="3" t="str">
        <f>IF(Equips_usuari!F488="","",Equips_usuari!F488)</f>
        <v/>
      </c>
      <c r="F488" s="3" t="str">
        <f>IF($C488="","",SUMIFS(Resultats_jugadores!$C:$C,Resultats_jugadores!$A:$A,$A488,Resultats_jugadores!$B:$B,$C488))</f>
        <v/>
      </c>
      <c r="G488" s="3" t="str">
        <f>IF($C488="","",SUMIFS(Resultats_jugadores!$D:$D,Resultats_jugadores!$A:$A,$A488,Resultats_jugadores!$B:$B,$C488))</f>
        <v/>
      </c>
      <c r="H488" s="3" t="str">
        <f t="shared" si="3"/>
        <v/>
      </c>
      <c r="I488" s="3" t="str">
        <f t="array" ref="I488">IF($C488="","",IFERROR(INDEX(Partits!$C:$C,MATCH($A488&amp;"_"&amp;$D488,Partits!$D:$D,0)),""))</f>
        <v/>
      </c>
      <c r="J488" s="3" t="str">
        <f t="shared" si="4"/>
        <v/>
      </c>
      <c r="K488" s="3" t="str">
        <f t="shared" si="5"/>
        <v/>
      </c>
      <c r="L488" s="3" t="str">
        <f t="shared" si="6"/>
        <v/>
      </c>
      <c r="M488" s="3" t="str">
        <f t="shared" si="7"/>
        <v/>
      </c>
    </row>
    <row r="489" ht="15.0" customHeight="1">
      <c r="A489" s="3" t="str">
        <f>IF(Equips_usuari!A489="","",Equips_usuari!A489)</f>
        <v/>
      </c>
      <c r="B489" s="3" t="str">
        <f>IF(Equips_usuari!B489="","",Equips_usuari!B489)</f>
        <v/>
      </c>
      <c r="C489" s="3" t="str">
        <f>IF(Equips_usuari!C489="","",Equips_usuari!C489)</f>
        <v/>
      </c>
      <c r="D489" s="3" t="str">
        <f>IF(Equips_usuari!D489="","",Equips_usuari!D489)</f>
        <v/>
      </c>
      <c r="E489" s="3" t="str">
        <f>IF(Equips_usuari!F489="","",Equips_usuari!F489)</f>
        <v/>
      </c>
      <c r="F489" s="3" t="str">
        <f>IF($C489="","",SUMIFS(Resultats_jugadores!$C:$C,Resultats_jugadores!$A:$A,$A489,Resultats_jugadores!$B:$B,$C489))</f>
        <v/>
      </c>
      <c r="G489" s="3" t="str">
        <f>IF($C489="","",SUMIFS(Resultats_jugadores!$D:$D,Resultats_jugadores!$A:$A,$A489,Resultats_jugadores!$B:$B,$C489))</f>
        <v/>
      </c>
      <c r="H489" s="3" t="str">
        <f t="shared" si="3"/>
        <v/>
      </c>
      <c r="I489" s="3" t="str">
        <f t="array" ref="I489">IF($C489="","",IFERROR(INDEX(Partits!$C:$C,MATCH($A489&amp;"_"&amp;$D489,Partits!$D:$D,0)),""))</f>
        <v/>
      </c>
      <c r="J489" s="3" t="str">
        <f t="shared" si="4"/>
        <v/>
      </c>
      <c r="K489" s="3" t="str">
        <f t="shared" si="5"/>
        <v/>
      </c>
      <c r="L489" s="3" t="str">
        <f t="shared" si="6"/>
        <v/>
      </c>
      <c r="M489" s="3" t="str">
        <f t="shared" si="7"/>
        <v/>
      </c>
    </row>
    <row r="490" ht="15.0" customHeight="1">
      <c r="A490" s="3" t="str">
        <f>IF(Equips_usuari!A490="","",Equips_usuari!A490)</f>
        <v/>
      </c>
      <c r="B490" s="3" t="str">
        <f>IF(Equips_usuari!B490="","",Equips_usuari!B490)</f>
        <v/>
      </c>
      <c r="C490" s="3" t="str">
        <f>IF(Equips_usuari!C490="","",Equips_usuari!C490)</f>
        <v/>
      </c>
      <c r="D490" s="3" t="str">
        <f>IF(Equips_usuari!D490="","",Equips_usuari!D490)</f>
        <v/>
      </c>
      <c r="E490" s="3" t="str">
        <f>IF(Equips_usuari!F490="","",Equips_usuari!F490)</f>
        <v/>
      </c>
      <c r="F490" s="3" t="str">
        <f>IF($C490="","",SUMIFS(Resultats_jugadores!$C:$C,Resultats_jugadores!$A:$A,$A490,Resultats_jugadores!$B:$B,$C490))</f>
        <v/>
      </c>
      <c r="G490" s="3" t="str">
        <f>IF($C490="","",SUMIFS(Resultats_jugadores!$D:$D,Resultats_jugadores!$A:$A,$A490,Resultats_jugadores!$B:$B,$C490))</f>
        <v/>
      </c>
      <c r="H490" s="3" t="str">
        <f t="shared" si="3"/>
        <v/>
      </c>
      <c r="I490" s="3" t="str">
        <f t="array" ref="I490">IF($C490="","",IFERROR(INDEX(Partits!$C:$C,MATCH($A490&amp;"_"&amp;$D490,Partits!$D:$D,0)),""))</f>
        <v/>
      </c>
      <c r="J490" s="3" t="str">
        <f t="shared" si="4"/>
        <v/>
      </c>
      <c r="K490" s="3" t="str">
        <f t="shared" si="5"/>
        <v/>
      </c>
      <c r="L490" s="3" t="str">
        <f t="shared" si="6"/>
        <v/>
      </c>
      <c r="M490" s="3" t="str">
        <f t="shared" si="7"/>
        <v/>
      </c>
    </row>
    <row r="491" ht="15.0" customHeight="1">
      <c r="A491" s="3" t="str">
        <f>IF(Equips_usuari!A491="","",Equips_usuari!A491)</f>
        <v/>
      </c>
      <c r="B491" s="3" t="str">
        <f>IF(Equips_usuari!B491="","",Equips_usuari!B491)</f>
        <v/>
      </c>
      <c r="C491" s="3" t="str">
        <f>IF(Equips_usuari!C491="","",Equips_usuari!C491)</f>
        <v/>
      </c>
      <c r="D491" s="3" t="str">
        <f>IF(Equips_usuari!D491="","",Equips_usuari!D491)</f>
        <v/>
      </c>
      <c r="E491" s="3" t="str">
        <f>IF(Equips_usuari!F491="","",Equips_usuari!F491)</f>
        <v/>
      </c>
      <c r="F491" s="3" t="str">
        <f>IF($C491="","",SUMIFS(Resultats_jugadores!$C:$C,Resultats_jugadores!$A:$A,$A491,Resultats_jugadores!$B:$B,$C491))</f>
        <v/>
      </c>
      <c r="G491" s="3" t="str">
        <f>IF($C491="","",SUMIFS(Resultats_jugadores!$D:$D,Resultats_jugadores!$A:$A,$A491,Resultats_jugadores!$B:$B,$C491))</f>
        <v/>
      </c>
      <c r="H491" s="3" t="str">
        <f t="shared" si="3"/>
        <v/>
      </c>
      <c r="I491" s="3" t="str">
        <f t="array" ref="I491">IF($C491="","",IFERROR(INDEX(Partits!$C:$C,MATCH($A491&amp;"_"&amp;$D491,Partits!$D:$D,0)),""))</f>
        <v/>
      </c>
      <c r="J491" s="3" t="str">
        <f t="shared" si="4"/>
        <v/>
      </c>
      <c r="K491" s="3" t="str">
        <f t="shared" si="5"/>
        <v/>
      </c>
      <c r="L491" s="3" t="str">
        <f t="shared" si="6"/>
        <v/>
      </c>
      <c r="M491" s="3" t="str">
        <f t="shared" si="7"/>
        <v/>
      </c>
    </row>
    <row r="492" ht="15.0" customHeight="1">
      <c r="A492" s="3" t="str">
        <f>IF(Equips_usuari!A492="","",Equips_usuari!A492)</f>
        <v/>
      </c>
      <c r="B492" s="3" t="str">
        <f>IF(Equips_usuari!B492="","",Equips_usuari!B492)</f>
        <v/>
      </c>
      <c r="C492" s="3" t="str">
        <f>IF(Equips_usuari!C492="","",Equips_usuari!C492)</f>
        <v/>
      </c>
      <c r="D492" s="3" t="str">
        <f>IF(Equips_usuari!D492="","",Equips_usuari!D492)</f>
        <v/>
      </c>
      <c r="E492" s="3" t="str">
        <f>IF(Equips_usuari!F492="","",Equips_usuari!F492)</f>
        <v/>
      </c>
      <c r="F492" s="3" t="str">
        <f>IF($C492="","",SUMIFS(Resultats_jugadores!$C:$C,Resultats_jugadores!$A:$A,$A492,Resultats_jugadores!$B:$B,$C492))</f>
        <v/>
      </c>
      <c r="G492" s="3" t="str">
        <f>IF($C492="","",SUMIFS(Resultats_jugadores!$D:$D,Resultats_jugadores!$A:$A,$A492,Resultats_jugadores!$B:$B,$C492))</f>
        <v/>
      </c>
      <c r="H492" s="3" t="str">
        <f t="shared" si="3"/>
        <v/>
      </c>
      <c r="I492" s="3" t="str">
        <f t="array" ref="I492">IF($C492="","",IFERROR(INDEX(Partits!$C:$C,MATCH($A492&amp;"_"&amp;$D492,Partits!$D:$D,0)),""))</f>
        <v/>
      </c>
      <c r="J492" s="3" t="str">
        <f t="shared" si="4"/>
        <v/>
      </c>
      <c r="K492" s="3" t="str">
        <f t="shared" si="5"/>
        <v/>
      </c>
      <c r="L492" s="3" t="str">
        <f t="shared" si="6"/>
        <v/>
      </c>
      <c r="M492" s="3" t="str">
        <f t="shared" si="7"/>
        <v/>
      </c>
    </row>
    <row r="493" ht="15.0" customHeight="1">
      <c r="A493" s="3" t="str">
        <f>IF(Equips_usuari!A493="","",Equips_usuari!A493)</f>
        <v/>
      </c>
      <c r="B493" s="3" t="str">
        <f>IF(Equips_usuari!B493="","",Equips_usuari!B493)</f>
        <v/>
      </c>
      <c r="C493" s="3" t="str">
        <f>IF(Equips_usuari!C493="","",Equips_usuari!C493)</f>
        <v/>
      </c>
      <c r="D493" s="3" t="str">
        <f>IF(Equips_usuari!D493="","",Equips_usuari!D493)</f>
        <v/>
      </c>
      <c r="E493" s="3" t="str">
        <f>IF(Equips_usuari!F493="","",Equips_usuari!F493)</f>
        <v/>
      </c>
      <c r="F493" s="3" t="str">
        <f>IF($C493="","",SUMIFS(Resultats_jugadores!$C:$C,Resultats_jugadores!$A:$A,$A493,Resultats_jugadores!$B:$B,$C493))</f>
        <v/>
      </c>
      <c r="G493" s="3" t="str">
        <f>IF($C493="","",SUMIFS(Resultats_jugadores!$D:$D,Resultats_jugadores!$A:$A,$A493,Resultats_jugadores!$B:$B,$C493))</f>
        <v/>
      </c>
      <c r="H493" s="3" t="str">
        <f t="shared" si="3"/>
        <v/>
      </c>
      <c r="I493" s="3" t="str">
        <f t="array" ref="I493">IF($C493="","",IFERROR(INDEX(Partits!$C:$C,MATCH($A493&amp;"_"&amp;$D493,Partits!$D:$D,0)),""))</f>
        <v/>
      </c>
      <c r="J493" s="3" t="str">
        <f t="shared" si="4"/>
        <v/>
      </c>
      <c r="K493" s="3" t="str">
        <f t="shared" si="5"/>
        <v/>
      </c>
      <c r="L493" s="3" t="str">
        <f t="shared" si="6"/>
        <v/>
      </c>
      <c r="M493" s="3" t="str">
        <f t="shared" si="7"/>
        <v/>
      </c>
    </row>
    <row r="494" ht="15.0" customHeight="1">
      <c r="A494" s="3" t="str">
        <f>IF(Equips_usuari!A494="","",Equips_usuari!A494)</f>
        <v/>
      </c>
      <c r="B494" s="3" t="str">
        <f>IF(Equips_usuari!B494="","",Equips_usuari!B494)</f>
        <v/>
      </c>
      <c r="C494" s="3" t="str">
        <f>IF(Equips_usuari!C494="","",Equips_usuari!C494)</f>
        <v/>
      </c>
      <c r="D494" s="3" t="str">
        <f>IF(Equips_usuari!D494="","",Equips_usuari!D494)</f>
        <v/>
      </c>
      <c r="E494" s="3" t="str">
        <f>IF(Equips_usuari!F494="","",Equips_usuari!F494)</f>
        <v/>
      </c>
      <c r="F494" s="3" t="str">
        <f>IF($C494="","",SUMIFS(Resultats_jugadores!$C:$C,Resultats_jugadores!$A:$A,$A494,Resultats_jugadores!$B:$B,$C494))</f>
        <v/>
      </c>
      <c r="G494" s="3" t="str">
        <f>IF($C494="","",SUMIFS(Resultats_jugadores!$D:$D,Resultats_jugadores!$A:$A,$A494,Resultats_jugadores!$B:$B,$C494))</f>
        <v/>
      </c>
      <c r="H494" s="3" t="str">
        <f t="shared" si="3"/>
        <v/>
      </c>
      <c r="I494" s="3" t="str">
        <f t="array" ref="I494">IF($C494="","",IFERROR(INDEX(Partits!$C:$C,MATCH($A494&amp;"_"&amp;$D494,Partits!$D:$D,0)),""))</f>
        <v/>
      </c>
      <c r="J494" s="3" t="str">
        <f t="shared" si="4"/>
        <v/>
      </c>
      <c r="K494" s="3" t="str">
        <f t="shared" si="5"/>
        <v/>
      </c>
      <c r="L494" s="3" t="str">
        <f t="shared" si="6"/>
        <v/>
      </c>
      <c r="M494" s="3" t="str">
        <f t="shared" si="7"/>
        <v/>
      </c>
    </row>
    <row r="495" ht="15.0" customHeight="1">
      <c r="A495" s="3" t="str">
        <f>IF(Equips_usuari!A495="","",Equips_usuari!A495)</f>
        <v/>
      </c>
      <c r="B495" s="3" t="str">
        <f>IF(Equips_usuari!B495="","",Equips_usuari!B495)</f>
        <v/>
      </c>
      <c r="C495" s="3" t="str">
        <f>IF(Equips_usuari!C495="","",Equips_usuari!C495)</f>
        <v/>
      </c>
      <c r="D495" s="3" t="str">
        <f>IF(Equips_usuari!D495="","",Equips_usuari!D495)</f>
        <v/>
      </c>
      <c r="E495" s="3" t="str">
        <f>IF(Equips_usuari!F495="","",Equips_usuari!F495)</f>
        <v/>
      </c>
      <c r="F495" s="3" t="str">
        <f>IF($C495="","",SUMIFS(Resultats_jugadores!$C:$C,Resultats_jugadores!$A:$A,$A495,Resultats_jugadores!$B:$B,$C495))</f>
        <v/>
      </c>
      <c r="G495" s="3" t="str">
        <f>IF($C495="","",SUMIFS(Resultats_jugadores!$D:$D,Resultats_jugadores!$A:$A,$A495,Resultats_jugadores!$B:$B,$C495))</f>
        <v/>
      </c>
      <c r="H495" s="3" t="str">
        <f t="shared" si="3"/>
        <v/>
      </c>
      <c r="I495" s="3" t="str">
        <f t="array" ref="I495">IF($C495="","",IFERROR(INDEX(Partits!$C:$C,MATCH($A495&amp;"_"&amp;$D495,Partits!$D:$D,0)),""))</f>
        <v/>
      </c>
      <c r="J495" s="3" t="str">
        <f t="shared" si="4"/>
        <v/>
      </c>
      <c r="K495" s="3" t="str">
        <f t="shared" si="5"/>
        <v/>
      </c>
      <c r="L495" s="3" t="str">
        <f t="shared" si="6"/>
        <v/>
      </c>
      <c r="M495" s="3" t="str">
        <f t="shared" si="7"/>
        <v/>
      </c>
    </row>
    <row r="496" ht="15.0" customHeight="1">
      <c r="A496" s="3" t="str">
        <f>IF(Equips_usuari!A496="","",Equips_usuari!A496)</f>
        <v/>
      </c>
      <c r="B496" s="3" t="str">
        <f>IF(Equips_usuari!B496="","",Equips_usuari!B496)</f>
        <v/>
      </c>
      <c r="C496" s="3" t="str">
        <f>IF(Equips_usuari!C496="","",Equips_usuari!C496)</f>
        <v/>
      </c>
      <c r="D496" s="3" t="str">
        <f>IF(Equips_usuari!D496="","",Equips_usuari!D496)</f>
        <v/>
      </c>
      <c r="E496" s="3" t="str">
        <f>IF(Equips_usuari!F496="","",Equips_usuari!F496)</f>
        <v/>
      </c>
      <c r="F496" s="3" t="str">
        <f>IF($C496="","",SUMIFS(Resultats_jugadores!$C:$C,Resultats_jugadores!$A:$A,$A496,Resultats_jugadores!$B:$B,$C496))</f>
        <v/>
      </c>
      <c r="G496" s="3" t="str">
        <f>IF($C496="","",SUMIFS(Resultats_jugadores!$D:$D,Resultats_jugadores!$A:$A,$A496,Resultats_jugadores!$B:$B,$C496))</f>
        <v/>
      </c>
      <c r="H496" s="3" t="str">
        <f t="shared" si="3"/>
        <v/>
      </c>
      <c r="I496" s="3" t="str">
        <f t="array" ref="I496">IF($C496="","",IFERROR(INDEX(Partits!$C:$C,MATCH($A496&amp;"_"&amp;$D496,Partits!$D:$D,0)),""))</f>
        <v/>
      </c>
      <c r="J496" s="3" t="str">
        <f t="shared" si="4"/>
        <v/>
      </c>
      <c r="K496" s="3" t="str">
        <f t="shared" si="5"/>
        <v/>
      </c>
      <c r="L496" s="3" t="str">
        <f t="shared" si="6"/>
        <v/>
      </c>
      <c r="M496" s="3" t="str">
        <f t="shared" si="7"/>
        <v/>
      </c>
    </row>
    <row r="497" ht="15.0" customHeight="1">
      <c r="A497" s="3" t="str">
        <f>IF(Equips_usuari!A497="","",Equips_usuari!A497)</f>
        <v/>
      </c>
      <c r="B497" s="3" t="str">
        <f>IF(Equips_usuari!B497="","",Equips_usuari!B497)</f>
        <v/>
      </c>
      <c r="C497" s="3" t="str">
        <f>IF(Equips_usuari!C497="","",Equips_usuari!C497)</f>
        <v/>
      </c>
      <c r="D497" s="3" t="str">
        <f>IF(Equips_usuari!D497="","",Equips_usuari!D497)</f>
        <v/>
      </c>
      <c r="E497" s="3" t="str">
        <f>IF(Equips_usuari!F497="","",Equips_usuari!F497)</f>
        <v/>
      </c>
      <c r="F497" s="3" t="str">
        <f>IF($C497="","",SUMIFS(Resultats_jugadores!$C:$C,Resultats_jugadores!$A:$A,$A497,Resultats_jugadores!$B:$B,$C497))</f>
        <v/>
      </c>
      <c r="G497" s="3" t="str">
        <f>IF($C497="","",SUMIFS(Resultats_jugadores!$D:$D,Resultats_jugadores!$A:$A,$A497,Resultats_jugadores!$B:$B,$C497))</f>
        <v/>
      </c>
      <c r="H497" s="3" t="str">
        <f t="shared" si="3"/>
        <v/>
      </c>
      <c r="I497" s="3" t="str">
        <f t="array" ref="I497">IF($C497="","",IFERROR(INDEX(Partits!$C:$C,MATCH($A497&amp;"_"&amp;$D497,Partits!$D:$D,0)),""))</f>
        <v/>
      </c>
      <c r="J497" s="3" t="str">
        <f t="shared" si="4"/>
        <v/>
      </c>
      <c r="K497" s="3" t="str">
        <f t="shared" si="5"/>
        <v/>
      </c>
      <c r="L497" s="3" t="str">
        <f t="shared" si="6"/>
        <v/>
      </c>
      <c r="M497" s="3" t="str">
        <f t="shared" si="7"/>
        <v/>
      </c>
    </row>
    <row r="498" ht="15.0" customHeight="1">
      <c r="A498" s="3" t="str">
        <f>IF(Equips_usuari!A498="","",Equips_usuari!A498)</f>
        <v/>
      </c>
      <c r="B498" s="3" t="str">
        <f>IF(Equips_usuari!B498="","",Equips_usuari!B498)</f>
        <v/>
      </c>
      <c r="C498" s="3" t="str">
        <f>IF(Equips_usuari!C498="","",Equips_usuari!C498)</f>
        <v/>
      </c>
      <c r="D498" s="3" t="str">
        <f>IF(Equips_usuari!D498="","",Equips_usuari!D498)</f>
        <v/>
      </c>
      <c r="E498" s="3" t="str">
        <f>IF(Equips_usuari!F498="","",Equips_usuari!F498)</f>
        <v/>
      </c>
      <c r="F498" s="3" t="str">
        <f>IF($C498="","",SUMIFS(Resultats_jugadores!$C:$C,Resultats_jugadores!$A:$A,$A498,Resultats_jugadores!$B:$B,$C498))</f>
        <v/>
      </c>
      <c r="G498" s="3" t="str">
        <f>IF($C498="","",SUMIFS(Resultats_jugadores!$D:$D,Resultats_jugadores!$A:$A,$A498,Resultats_jugadores!$B:$B,$C498))</f>
        <v/>
      </c>
      <c r="H498" s="3" t="str">
        <f t="shared" si="3"/>
        <v/>
      </c>
      <c r="I498" s="3" t="str">
        <f t="array" ref="I498">IF($C498="","",IFERROR(INDEX(Partits!$C:$C,MATCH($A498&amp;"_"&amp;$D498,Partits!$D:$D,0)),""))</f>
        <v/>
      </c>
      <c r="J498" s="3" t="str">
        <f t="shared" si="4"/>
        <v/>
      </c>
      <c r="K498" s="3" t="str">
        <f t="shared" si="5"/>
        <v/>
      </c>
      <c r="L498" s="3" t="str">
        <f t="shared" si="6"/>
        <v/>
      </c>
      <c r="M498" s="3" t="str">
        <f t="shared" si="7"/>
        <v/>
      </c>
    </row>
    <row r="499" ht="15.0" customHeight="1">
      <c r="A499" s="3" t="str">
        <f>IF(Equips_usuari!A499="","",Equips_usuari!A499)</f>
        <v/>
      </c>
      <c r="B499" s="3" t="str">
        <f>IF(Equips_usuari!B499="","",Equips_usuari!B499)</f>
        <v/>
      </c>
      <c r="C499" s="3" t="str">
        <f>IF(Equips_usuari!C499="","",Equips_usuari!C499)</f>
        <v/>
      </c>
      <c r="D499" s="3" t="str">
        <f>IF(Equips_usuari!D499="","",Equips_usuari!D499)</f>
        <v/>
      </c>
      <c r="E499" s="3" t="str">
        <f>IF(Equips_usuari!F499="","",Equips_usuari!F499)</f>
        <v/>
      </c>
      <c r="F499" s="3" t="str">
        <f>IF($C499="","",SUMIFS(Resultats_jugadores!$C:$C,Resultats_jugadores!$A:$A,$A499,Resultats_jugadores!$B:$B,$C499))</f>
        <v/>
      </c>
      <c r="G499" s="3" t="str">
        <f>IF($C499="","",SUMIFS(Resultats_jugadores!$D:$D,Resultats_jugadores!$A:$A,$A499,Resultats_jugadores!$B:$B,$C499))</f>
        <v/>
      </c>
      <c r="H499" s="3" t="str">
        <f t="shared" si="3"/>
        <v/>
      </c>
      <c r="I499" s="3" t="str">
        <f t="array" ref="I499">IF($C499="","",IFERROR(INDEX(Partits!$C:$C,MATCH($A499&amp;"_"&amp;$D499,Partits!$D:$D,0)),""))</f>
        <v/>
      </c>
      <c r="J499" s="3" t="str">
        <f t="shared" si="4"/>
        <v/>
      </c>
      <c r="K499" s="3" t="str">
        <f t="shared" si="5"/>
        <v/>
      </c>
      <c r="L499" s="3" t="str">
        <f t="shared" si="6"/>
        <v/>
      </c>
      <c r="M499" s="3" t="str">
        <f t="shared" si="7"/>
        <v/>
      </c>
    </row>
    <row r="500" ht="15.0" customHeight="1">
      <c r="A500" s="3" t="str">
        <f>IF(Equips_usuari!A500="","",Equips_usuari!A500)</f>
        <v/>
      </c>
      <c r="B500" s="3" t="str">
        <f>IF(Equips_usuari!B500="","",Equips_usuari!B500)</f>
        <v/>
      </c>
      <c r="C500" s="3" t="str">
        <f>IF(Equips_usuari!C500="","",Equips_usuari!C500)</f>
        <v/>
      </c>
      <c r="D500" s="3" t="str">
        <f>IF(Equips_usuari!D500="","",Equips_usuari!D500)</f>
        <v/>
      </c>
      <c r="E500" s="3" t="str">
        <f>IF(Equips_usuari!F500="","",Equips_usuari!F500)</f>
        <v/>
      </c>
      <c r="F500" s="3" t="str">
        <f>IF($C500="","",SUMIFS(Resultats_jugadores!$C:$C,Resultats_jugadores!$A:$A,$A500,Resultats_jugadores!$B:$B,$C500))</f>
        <v/>
      </c>
      <c r="G500" s="3" t="str">
        <f>IF($C500="","",SUMIFS(Resultats_jugadores!$D:$D,Resultats_jugadores!$A:$A,$A500,Resultats_jugadores!$B:$B,$C500))</f>
        <v/>
      </c>
      <c r="H500" s="3" t="str">
        <f t="shared" si="3"/>
        <v/>
      </c>
      <c r="I500" s="3" t="str">
        <f t="array" ref="I500">IF($C500="","",IFERROR(INDEX(Partits!$C:$C,MATCH($A500&amp;"_"&amp;$D500,Partits!$D:$D,0)),""))</f>
        <v/>
      </c>
      <c r="J500" s="3" t="str">
        <f t="shared" si="4"/>
        <v/>
      </c>
      <c r="K500" s="3" t="str">
        <f t="shared" si="5"/>
        <v/>
      </c>
      <c r="L500" s="3" t="str">
        <f t="shared" si="6"/>
        <v/>
      </c>
      <c r="M500" s="3" t="str">
        <f t="shared" si="7"/>
        <v/>
      </c>
    </row>
    <row r="501" ht="15.0" customHeight="1">
      <c r="A501" s="3" t="str">
        <f>IF(Equips_usuari!A501="","",Equips_usuari!A501)</f>
        <v/>
      </c>
      <c r="B501" s="3" t="str">
        <f>IF(Equips_usuari!B501="","",Equips_usuari!B501)</f>
        <v/>
      </c>
      <c r="C501" s="3" t="str">
        <f>IF(Equips_usuari!C501="","",Equips_usuari!C501)</f>
        <v/>
      </c>
      <c r="D501" s="3" t="str">
        <f>IF(Equips_usuari!D501="","",Equips_usuari!D501)</f>
        <v/>
      </c>
      <c r="E501" s="3" t="str">
        <f>IF(Equips_usuari!F501="","",Equips_usuari!F501)</f>
        <v/>
      </c>
      <c r="F501" s="3" t="str">
        <f>IF($C501="","",SUMIFS(Resultats_jugadores!$C:$C,Resultats_jugadores!$A:$A,$A501,Resultats_jugadores!$B:$B,$C501))</f>
        <v/>
      </c>
      <c r="G501" s="3" t="str">
        <f>IF($C501="","",SUMIFS(Resultats_jugadores!$D:$D,Resultats_jugadores!$A:$A,$A501,Resultats_jugadores!$B:$B,$C501))</f>
        <v/>
      </c>
      <c r="H501" s="3" t="str">
        <f t="shared" si="3"/>
        <v/>
      </c>
      <c r="I501" s="3" t="str">
        <f t="array" ref="I501">IF($C501="","",IFERROR(INDEX(Partits!$C:$C,MATCH($A501&amp;"_"&amp;$D501,Partits!$D:$D,0)),""))</f>
        <v/>
      </c>
      <c r="J501" s="3" t="str">
        <f t="shared" si="4"/>
        <v/>
      </c>
      <c r="K501" s="3" t="str">
        <f t="shared" si="5"/>
        <v/>
      </c>
      <c r="L501" s="3" t="str">
        <f t="shared" si="6"/>
        <v/>
      </c>
      <c r="M501" s="3" t="str">
        <f t="shared" si="7"/>
        <v/>
      </c>
    </row>
    <row r="502" ht="15.0" customHeight="1">
      <c r="A502" s="3" t="str">
        <f>IF(Equips_usuari!A502="","",Equips_usuari!A502)</f>
        <v/>
      </c>
      <c r="B502" s="3" t="str">
        <f>IF(Equips_usuari!B502="","",Equips_usuari!B502)</f>
        <v/>
      </c>
      <c r="C502" s="3" t="str">
        <f>IF(Equips_usuari!C502="","",Equips_usuari!C502)</f>
        <v/>
      </c>
      <c r="D502" s="3" t="str">
        <f>IF(Equips_usuari!D502="","",Equips_usuari!D502)</f>
        <v/>
      </c>
      <c r="E502" s="3" t="str">
        <f>IF(Equips_usuari!F502="","",Equips_usuari!F502)</f>
        <v/>
      </c>
      <c r="F502" s="3" t="str">
        <f>IF($C502="","",SUMIFS(Resultats_jugadores!$C:$C,Resultats_jugadores!$A:$A,$A502,Resultats_jugadores!$B:$B,$C502))</f>
        <v/>
      </c>
      <c r="G502" s="3" t="str">
        <f>IF($C502="","",SUMIFS(Resultats_jugadores!$D:$D,Resultats_jugadores!$A:$A,$A502,Resultats_jugadores!$B:$B,$C502))</f>
        <v/>
      </c>
      <c r="H502" s="3" t="str">
        <f t="shared" si="3"/>
        <v/>
      </c>
      <c r="I502" s="3" t="str">
        <f t="array" ref="I502">IF($C502="","",IFERROR(INDEX(Partits!$C:$C,MATCH($A502&amp;"_"&amp;$D502,Partits!$D:$D,0)),""))</f>
        <v/>
      </c>
      <c r="J502" s="3" t="str">
        <f t="shared" si="4"/>
        <v/>
      </c>
      <c r="K502" s="3" t="str">
        <f t="shared" si="5"/>
        <v/>
      </c>
      <c r="L502" s="3" t="str">
        <f t="shared" si="6"/>
        <v/>
      </c>
      <c r="M502" s="3" t="str">
        <f t="shared" si="7"/>
        <v/>
      </c>
    </row>
    <row r="503" ht="15.0" customHeight="1">
      <c r="A503" s="3" t="str">
        <f>IF(Equips_usuari!A503="","",Equips_usuari!A503)</f>
        <v/>
      </c>
      <c r="B503" s="3" t="str">
        <f>IF(Equips_usuari!B503="","",Equips_usuari!B503)</f>
        <v/>
      </c>
      <c r="C503" s="3" t="str">
        <f>IF(Equips_usuari!C503="","",Equips_usuari!C503)</f>
        <v/>
      </c>
      <c r="D503" s="3" t="str">
        <f>IF(Equips_usuari!D503="","",Equips_usuari!D503)</f>
        <v/>
      </c>
      <c r="E503" s="3" t="str">
        <f>IF(Equips_usuari!F503="","",Equips_usuari!F503)</f>
        <v/>
      </c>
      <c r="F503" s="3" t="str">
        <f>IF($C503="","",SUMIFS(Resultats_jugadores!$C:$C,Resultats_jugadores!$A:$A,$A503,Resultats_jugadores!$B:$B,$C503))</f>
        <v/>
      </c>
      <c r="G503" s="3" t="str">
        <f>IF($C503="","",SUMIFS(Resultats_jugadores!$D:$D,Resultats_jugadores!$A:$A,$A503,Resultats_jugadores!$B:$B,$C503))</f>
        <v/>
      </c>
      <c r="H503" s="3" t="str">
        <f t="shared" si="3"/>
        <v/>
      </c>
      <c r="I503" s="3" t="str">
        <f t="array" ref="I503">IF($C503="","",IFERROR(INDEX(Partits!$C:$C,MATCH($A503&amp;"_"&amp;$D503,Partits!$D:$D,0)),""))</f>
        <v/>
      </c>
      <c r="J503" s="3" t="str">
        <f t="shared" si="4"/>
        <v/>
      </c>
      <c r="K503" s="3" t="str">
        <f t="shared" si="5"/>
        <v/>
      </c>
      <c r="L503" s="3" t="str">
        <f t="shared" si="6"/>
        <v/>
      </c>
      <c r="M503" s="3" t="str">
        <f t="shared" si="7"/>
        <v/>
      </c>
    </row>
    <row r="504" ht="15.0" customHeight="1">
      <c r="A504" s="3" t="str">
        <f>IF(Equips_usuari!A504="","",Equips_usuari!A504)</f>
        <v/>
      </c>
      <c r="B504" s="3" t="str">
        <f>IF(Equips_usuari!B504="","",Equips_usuari!B504)</f>
        <v/>
      </c>
      <c r="C504" s="3" t="str">
        <f>IF(Equips_usuari!C504="","",Equips_usuari!C504)</f>
        <v/>
      </c>
      <c r="D504" s="3" t="str">
        <f>IF(Equips_usuari!D504="","",Equips_usuari!D504)</f>
        <v/>
      </c>
      <c r="E504" s="3" t="str">
        <f>IF(Equips_usuari!F504="","",Equips_usuari!F504)</f>
        <v/>
      </c>
      <c r="F504" s="3" t="str">
        <f>IF($C504="","",SUMIFS(Resultats_jugadores!$C:$C,Resultats_jugadores!$A:$A,$A504,Resultats_jugadores!$B:$B,$C504))</f>
        <v/>
      </c>
      <c r="G504" s="3" t="str">
        <f>IF($C504="","",SUMIFS(Resultats_jugadores!$D:$D,Resultats_jugadores!$A:$A,$A504,Resultats_jugadores!$B:$B,$C504))</f>
        <v/>
      </c>
      <c r="H504" s="3" t="str">
        <f t="shared" si="3"/>
        <v/>
      </c>
      <c r="I504" s="3" t="str">
        <f t="array" ref="I504">IF($C504="","",IFERROR(INDEX(Partits!$C:$C,MATCH($A504&amp;"_"&amp;$D504,Partits!$D:$D,0)),""))</f>
        <v/>
      </c>
      <c r="J504" s="3" t="str">
        <f t="shared" si="4"/>
        <v/>
      </c>
      <c r="K504" s="3" t="str">
        <f t="shared" si="5"/>
        <v/>
      </c>
      <c r="L504" s="3" t="str">
        <f t="shared" si="6"/>
        <v/>
      </c>
      <c r="M504" s="3" t="str">
        <f t="shared" si="7"/>
        <v/>
      </c>
    </row>
    <row r="505" ht="15.0" customHeight="1">
      <c r="A505" s="3" t="str">
        <f>IF(Equips_usuari!A505="","",Equips_usuari!A505)</f>
        <v/>
      </c>
      <c r="B505" s="3" t="str">
        <f>IF(Equips_usuari!B505="","",Equips_usuari!B505)</f>
        <v/>
      </c>
      <c r="C505" s="3" t="str">
        <f>IF(Equips_usuari!C505="","",Equips_usuari!C505)</f>
        <v/>
      </c>
      <c r="D505" s="3" t="str">
        <f>IF(Equips_usuari!D505="","",Equips_usuari!D505)</f>
        <v/>
      </c>
      <c r="E505" s="3" t="str">
        <f>IF(Equips_usuari!F505="","",Equips_usuari!F505)</f>
        <v/>
      </c>
      <c r="F505" s="3" t="str">
        <f>IF($C505="","",SUMIFS(Resultats_jugadores!$C:$C,Resultats_jugadores!$A:$A,$A505,Resultats_jugadores!$B:$B,$C505))</f>
        <v/>
      </c>
      <c r="G505" s="3" t="str">
        <f>IF($C505="","",SUMIFS(Resultats_jugadores!$D:$D,Resultats_jugadores!$A:$A,$A505,Resultats_jugadores!$B:$B,$C505))</f>
        <v/>
      </c>
      <c r="H505" s="3" t="str">
        <f t="shared" si="3"/>
        <v/>
      </c>
      <c r="I505" s="3" t="str">
        <f t="array" ref="I505">IF($C505="","",IFERROR(INDEX(Partits!$C:$C,MATCH($A505&amp;"_"&amp;$D505,Partits!$D:$D,0)),""))</f>
        <v/>
      </c>
      <c r="J505" s="3" t="str">
        <f t="shared" si="4"/>
        <v/>
      </c>
      <c r="K505" s="3" t="str">
        <f t="shared" si="5"/>
        <v/>
      </c>
      <c r="L505" s="3" t="str">
        <f t="shared" si="6"/>
        <v/>
      </c>
      <c r="M505" s="3" t="str">
        <f t="shared" si="7"/>
        <v/>
      </c>
    </row>
    <row r="506" ht="15.0" customHeight="1">
      <c r="A506" s="3" t="str">
        <f>IF(Equips_usuari!A506="","",Equips_usuari!A506)</f>
        <v/>
      </c>
      <c r="B506" s="3" t="str">
        <f>IF(Equips_usuari!B506="","",Equips_usuari!B506)</f>
        <v/>
      </c>
      <c r="C506" s="3" t="str">
        <f>IF(Equips_usuari!C506="","",Equips_usuari!C506)</f>
        <v/>
      </c>
      <c r="D506" s="3" t="str">
        <f>IF(Equips_usuari!D506="","",Equips_usuari!D506)</f>
        <v/>
      </c>
      <c r="E506" s="3" t="str">
        <f>IF(Equips_usuari!F506="","",Equips_usuari!F506)</f>
        <v/>
      </c>
      <c r="F506" s="3" t="str">
        <f>IF($C506="","",SUMIFS(Resultats_jugadores!$C:$C,Resultats_jugadores!$A:$A,$A506,Resultats_jugadores!$B:$B,$C506))</f>
        <v/>
      </c>
      <c r="G506" s="3" t="str">
        <f>IF($C506="","",SUMIFS(Resultats_jugadores!$D:$D,Resultats_jugadores!$A:$A,$A506,Resultats_jugadores!$B:$B,$C506))</f>
        <v/>
      </c>
      <c r="H506" s="3" t="str">
        <f t="shared" si="3"/>
        <v/>
      </c>
      <c r="I506" s="3" t="str">
        <f t="array" ref="I506">IF($C506="","",IFERROR(INDEX(Partits!$C:$C,MATCH($A506&amp;"_"&amp;$D506,Partits!$D:$D,0)),""))</f>
        <v/>
      </c>
      <c r="J506" s="3" t="str">
        <f t="shared" si="4"/>
        <v/>
      </c>
      <c r="K506" s="3" t="str">
        <f t="shared" si="5"/>
        <v/>
      </c>
      <c r="L506" s="3" t="str">
        <f t="shared" si="6"/>
        <v/>
      </c>
      <c r="M506" s="3" t="str">
        <f t="shared" si="7"/>
        <v/>
      </c>
    </row>
    <row r="507" ht="15.0" customHeight="1">
      <c r="A507" s="3" t="str">
        <f>IF(Equips_usuari!A507="","",Equips_usuari!A507)</f>
        <v/>
      </c>
      <c r="B507" s="3" t="str">
        <f>IF(Equips_usuari!B507="","",Equips_usuari!B507)</f>
        <v/>
      </c>
      <c r="C507" s="3" t="str">
        <f>IF(Equips_usuari!C507="","",Equips_usuari!C507)</f>
        <v/>
      </c>
      <c r="D507" s="3" t="str">
        <f>IF(Equips_usuari!D507="","",Equips_usuari!D507)</f>
        <v/>
      </c>
      <c r="E507" s="3" t="str">
        <f>IF(Equips_usuari!F507="","",Equips_usuari!F507)</f>
        <v/>
      </c>
      <c r="F507" s="3" t="str">
        <f>IF($C507="","",SUMIFS(Resultats_jugadores!$C:$C,Resultats_jugadores!$A:$A,$A507,Resultats_jugadores!$B:$B,$C507))</f>
        <v/>
      </c>
      <c r="G507" s="3" t="str">
        <f>IF($C507="","",SUMIFS(Resultats_jugadores!$D:$D,Resultats_jugadores!$A:$A,$A507,Resultats_jugadores!$B:$B,$C507))</f>
        <v/>
      </c>
      <c r="H507" s="3" t="str">
        <f t="shared" si="3"/>
        <v/>
      </c>
      <c r="I507" s="3" t="str">
        <f t="array" ref="I507">IF($C507="","",IFERROR(INDEX(Partits!$C:$C,MATCH($A507&amp;"_"&amp;$D507,Partits!$D:$D,0)),""))</f>
        <v/>
      </c>
      <c r="J507" s="3" t="str">
        <f t="shared" si="4"/>
        <v/>
      </c>
      <c r="K507" s="3" t="str">
        <f t="shared" si="5"/>
        <v/>
      </c>
      <c r="L507" s="3" t="str">
        <f t="shared" si="6"/>
        <v/>
      </c>
      <c r="M507" s="3" t="str">
        <f t="shared" si="7"/>
        <v/>
      </c>
    </row>
    <row r="508" ht="15.0" customHeight="1">
      <c r="A508" s="3" t="str">
        <f>IF(Equips_usuari!A508="","",Equips_usuari!A508)</f>
        <v/>
      </c>
      <c r="B508" s="3" t="str">
        <f>IF(Equips_usuari!B508="","",Equips_usuari!B508)</f>
        <v/>
      </c>
      <c r="C508" s="3" t="str">
        <f>IF(Equips_usuari!C508="","",Equips_usuari!C508)</f>
        <v/>
      </c>
      <c r="D508" s="3" t="str">
        <f>IF(Equips_usuari!D508="","",Equips_usuari!D508)</f>
        <v/>
      </c>
      <c r="E508" s="3" t="str">
        <f>IF(Equips_usuari!F508="","",Equips_usuari!F508)</f>
        <v/>
      </c>
      <c r="F508" s="3" t="str">
        <f>IF($C508="","",SUMIFS(Resultats_jugadores!$C:$C,Resultats_jugadores!$A:$A,$A508,Resultats_jugadores!$B:$B,$C508))</f>
        <v/>
      </c>
      <c r="G508" s="3" t="str">
        <f>IF($C508="","",SUMIFS(Resultats_jugadores!$D:$D,Resultats_jugadores!$A:$A,$A508,Resultats_jugadores!$B:$B,$C508))</f>
        <v/>
      </c>
      <c r="H508" s="3" t="str">
        <f t="shared" si="3"/>
        <v/>
      </c>
      <c r="I508" s="3" t="str">
        <f t="array" ref="I508">IF($C508="","",IFERROR(INDEX(Partits!$C:$C,MATCH($A508&amp;"_"&amp;$D508,Partits!$D:$D,0)),""))</f>
        <v/>
      </c>
      <c r="J508" s="3" t="str">
        <f t="shared" si="4"/>
        <v/>
      </c>
      <c r="K508" s="3" t="str">
        <f t="shared" si="5"/>
        <v/>
      </c>
      <c r="L508" s="3" t="str">
        <f t="shared" si="6"/>
        <v/>
      </c>
      <c r="M508" s="3" t="str">
        <f t="shared" si="7"/>
        <v/>
      </c>
    </row>
    <row r="509" ht="15.0" customHeight="1">
      <c r="A509" s="3" t="str">
        <f>IF(Equips_usuari!A509="","",Equips_usuari!A509)</f>
        <v/>
      </c>
      <c r="B509" s="3" t="str">
        <f>IF(Equips_usuari!B509="","",Equips_usuari!B509)</f>
        <v/>
      </c>
      <c r="C509" s="3" t="str">
        <f>IF(Equips_usuari!C509="","",Equips_usuari!C509)</f>
        <v/>
      </c>
      <c r="D509" s="3" t="str">
        <f>IF(Equips_usuari!D509="","",Equips_usuari!D509)</f>
        <v/>
      </c>
      <c r="E509" s="3" t="str">
        <f>IF(Equips_usuari!F509="","",Equips_usuari!F509)</f>
        <v/>
      </c>
      <c r="F509" s="3" t="str">
        <f>IF($C509="","",SUMIFS(Resultats_jugadores!$C:$C,Resultats_jugadores!$A:$A,$A509,Resultats_jugadores!$B:$B,$C509))</f>
        <v/>
      </c>
      <c r="G509" s="3" t="str">
        <f>IF($C509="","",SUMIFS(Resultats_jugadores!$D:$D,Resultats_jugadores!$A:$A,$A509,Resultats_jugadores!$B:$B,$C509))</f>
        <v/>
      </c>
      <c r="H509" s="3" t="str">
        <f t="shared" si="3"/>
        <v/>
      </c>
      <c r="I509" s="3" t="str">
        <f t="array" ref="I509">IF($C509="","",IFERROR(INDEX(Partits!$C:$C,MATCH($A509&amp;"_"&amp;$D509,Partits!$D:$D,0)),""))</f>
        <v/>
      </c>
      <c r="J509" s="3" t="str">
        <f t="shared" si="4"/>
        <v/>
      </c>
      <c r="K509" s="3" t="str">
        <f t="shared" si="5"/>
        <v/>
      </c>
      <c r="L509" s="3" t="str">
        <f t="shared" si="6"/>
        <v/>
      </c>
      <c r="M509" s="3" t="str">
        <f t="shared" si="7"/>
        <v/>
      </c>
    </row>
    <row r="510" ht="15.0" customHeight="1">
      <c r="A510" s="3" t="str">
        <f>IF(Equips_usuari!A510="","",Equips_usuari!A510)</f>
        <v/>
      </c>
      <c r="B510" s="3" t="str">
        <f>IF(Equips_usuari!B510="","",Equips_usuari!B510)</f>
        <v/>
      </c>
      <c r="C510" s="3" t="str">
        <f>IF(Equips_usuari!C510="","",Equips_usuari!C510)</f>
        <v/>
      </c>
      <c r="D510" s="3" t="str">
        <f>IF(Equips_usuari!D510="","",Equips_usuari!D510)</f>
        <v/>
      </c>
      <c r="E510" s="3" t="str">
        <f>IF(Equips_usuari!F510="","",Equips_usuari!F510)</f>
        <v/>
      </c>
      <c r="F510" s="3" t="str">
        <f>IF($C510="","",SUMIFS(Resultats_jugadores!$C:$C,Resultats_jugadores!$A:$A,$A510,Resultats_jugadores!$B:$B,$C510))</f>
        <v/>
      </c>
      <c r="G510" s="3" t="str">
        <f>IF($C510="","",SUMIFS(Resultats_jugadores!$D:$D,Resultats_jugadores!$A:$A,$A510,Resultats_jugadores!$B:$B,$C510))</f>
        <v/>
      </c>
      <c r="H510" s="3" t="str">
        <f t="shared" si="3"/>
        <v/>
      </c>
      <c r="I510" s="3" t="str">
        <f t="array" ref="I510">IF($C510="","",IFERROR(INDEX(Partits!$C:$C,MATCH($A510&amp;"_"&amp;$D510,Partits!$D:$D,0)),""))</f>
        <v/>
      </c>
      <c r="J510" s="3" t="str">
        <f t="shared" si="4"/>
        <v/>
      </c>
      <c r="K510" s="3" t="str">
        <f t="shared" si="5"/>
        <v/>
      </c>
      <c r="L510" s="3" t="str">
        <f t="shared" si="6"/>
        <v/>
      </c>
      <c r="M510" s="3" t="str">
        <f t="shared" si="7"/>
        <v/>
      </c>
    </row>
    <row r="511" ht="15.0" customHeight="1">
      <c r="A511" s="3" t="str">
        <f>IF(Equips_usuari!A511="","",Equips_usuari!A511)</f>
        <v/>
      </c>
      <c r="B511" s="3" t="str">
        <f>IF(Equips_usuari!B511="","",Equips_usuari!B511)</f>
        <v/>
      </c>
      <c r="C511" s="3" t="str">
        <f>IF(Equips_usuari!C511="","",Equips_usuari!C511)</f>
        <v/>
      </c>
      <c r="D511" s="3" t="str">
        <f>IF(Equips_usuari!D511="","",Equips_usuari!D511)</f>
        <v/>
      </c>
      <c r="E511" s="3" t="str">
        <f>IF(Equips_usuari!F511="","",Equips_usuari!F511)</f>
        <v/>
      </c>
      <c r="F511" s="3" t="str">
        <f>IF($C511="","",SUMIFS(Resultats_jugadores!$C:$C,Resultats_jugadores!$A:$A,$A511,Resultats_jugadores!$B:$B,$C511))</f>
        <v/>
      </c>
      <c r="G511" s="3" t="str">
        <f>IF($C511="","",SUMIFS(Resultats_jugadores!$D:$D,Resultats_jugadores!$A:$A,$A511,Resultats_jugadores!$B:$B,$C511))</f>
        <v/>
      </c>
      <c r="H511" s="3" t="str">
        <f t="shared" si="3"/>
        <v/>
      </c>
      <c r="I511" s="3" t="str">
        <f t="array" ref="I511">IF($C511="","",IFERROR(INDEX(Partits!$C:$C,MATCH($A511&amp;"_"&amp;$D511,Partits!$D:$D,0)),""))</f>
        <v/>
      </c>
      <c r="J511" s="3" t="str">
        <f t="shared" si="4"/>
        <v/>
      </c>
      <c r="K511" s="3" t="str">
        <f t="shared" si="5"/>
        <v/>
      </c>
      <c r="L511" s="3" t="str">
        <f t="shared" si="6"/>
        <v/>
      </c>
      <c r="M511" s="3" t="str">
        <f t="shared" si="7"/>
        <v/>
      </c>
    </row>
    <row r="512" ht="15.0" customHeight="1">
      <c r="A512" s="3" t="str">
        <f>IF(Equips_usuari!A512="","",Equips_usuari!A512)</f>
        <v/>
      </c>
      <c r="B512" s="3" t="str">
        <f>IF(Equips_usuari!B512="","",Equips_usuari!B512)</f>
        <v/>
      </c>
      <c r="C512" s="3" t="str">
        <f>IF(Equips_usuari!C512="","",Equips_usuari!C512)</f>
        <v/>
      </c>
      <c r="D512" s="3" t="str">
        <f>IF(Equips_usuari!D512="","",Equips_usuari!D512)</f>
        <v/>
      </c>
      <c r="E512" s="3" t="str">
        <f>IF(Equips_usuari!F512="","",Equips_usuari!F512)</f>
        <v/>
      </c>
      <c r="F512" s="3" t="str">
        <f>IF($C512="","",SUMIFS(Resultats_jugadores!$C:$C,Resultats_jugadores!$A:$A,$A512,Resultats_jugadores!$B:$B,$C512))</f>
        <v/>
      </c>
      <c r="G512" s="3" t="str">
        <f>IF($C512="","",SUMIFS(Resultats_jugadores!$D:$D,Resultats_jugadores!$A:$A,$A512,Resultats_jugadores!$B:$B,$C512))</f>
        <v/>
      </c>
      <c r="H512" s="3" t="str">
        <f t="shared" si="3"/>
        <v/>
      </c>
      <c r="I512" s="3" t="str">
        <f t="array" ref="I512">IF($C512="","",IFERROR(INDEX(Partits!$C:$C,MATCH($A512&amp;"_"&amp;$D512,Partits!$D:$D,0)),""))</f>
        <v/>
      </c>
      <c r="J512" s="3" t="str">
        <f t="shared" si="4"/>
        <v/>
      </c>
      <c r="K512" s="3" t="str">
        <f t="shared" si="5"/>
        <v/>
      </c>
      <c r="L512" s="3" t="str">
        <f t="shared" si="6"/>
        <v/>
      </c>
      <c r="M512" s="3" t="str">
        <f t="shared" si="7"/>
        <v/>
      </c>
    </row>
    <row r="513" ht="15.0" customHeight="1">
      <c r="A513" s="3" t="str">
        <f>IF(Equips_usuari!A513="","",Equips_usuari!A513)</f>
        <v/>
      </c>
      <c r="B513" s="3" t="str">
        <f>IF(Equips_usuari!B513="","",Equips_usuari!B513)</f>
        <v/>
      </c>
      <c r="C513" s="3" t="str">
        <f>IF(Equips_usuari!C513="","",Equips_usuari!C513)</f>
        <v/>
      </c>
      <c r="D513" s="3" t="str">
        <f>IF(Equips_usuari!D513="","",Equips_usuari!D513)</f>
        <v/>
      </c>
      <c r="E513" s="3" t="str">
        <f>IF(Equips_usuari!F513="","",Equips_usuari!F513)</f>
        <v/>
      </c>
      <c r="F513" s="3" t="str">
        <f>IF($C513="","",SUMIFS(Resultats_jugadores!$C:$C,Resultats_jugadores!$A:$A,$A513,Resultats_jugadores!$B:$B,$C513))</f>
        <v/>
      </c>
      <c r="G513" s="3" t="str">
        <f>IF($C513="","",SUMIFS(Resultats_jugadores!$D:$D,Resultats_jugadores!$A:$A,$A513,Resultats_jugadores!$B:$B,$C513))</f>
        <v/>
      </c>
      <c r="H513" s="3" t="str">
        <f t="shared" si="3"/>
        <v/>
      </c>
      <c r="I513" s="3" t="str">
        <f t="array" ref="I513">IF($C513="","",IFERROR(INDEX(Partits!$C:$C,MATCH($A513&amp;"_"&amp;$D513,Partits!$D:$D,0)),""))</f>
        <v/>
      </c>
      <c r="J513" s="3" t="str">
        <f t="shared" si="4"/>
        <v/>
      </c>
      <c r="K513" s="3" t="str">
        <f t="shared" si="5"/>
        <v/>
      </c>
      <c r="L513" s="3" t="str">
        <f t="shared" si="6"/>
        <v/>
      </c>
      <c r="M513" s="3" t="str">
        <f t="shared" si="7"/>
        <v/>
      </c>
    </row>
    <row r="514" ht="15.0" customHeight="1">
      <c r="A514" s="3" t="str">
        <f>IF(Equips_usuari!A514="","",Equips_usuari!A514)</f>
        <v/>
      </c>
      <c r="B514" s="3" t="str">
        <f>IF(Equips_usuari!B514="","",Equips_usuari!B514)</f>
        <v/>
      </c>
      <c r="C514" s="3" t="str">
        <f>IF(Equips_usuari!C514="","",Equips_usuari!C514)</f>
        <v/>
      </c>
      <c r="D514" s="3" t="str">
        <f>IF(Equips_usuari!D514="","",Equips_usuari!D514)</f>
        <v/>
      </c>
      <c r="E514" s="3" t="str">
        <f>IF(Equips_usuari!F514="","",Equips_usuari!F514)</f>
        <v/>
      </c>
      <c r="F514" s="3" t="str">
        <f>IF($C514="","",SUMIFS(Resultats_jugadores!$C:$C,Resultats_jugadores!$A:$A,$A514,Resultats_jugadores!$B:$B,$C514))</f>
        <v/>
      </c>
      <c r="G514" s="3" t="str">
        <f>IF($C514="","",SUMIFS(Resultats_jugadores!$D:$D,Resultats_jugadores!$A:$A,$A514,Resultats_jugadores!$B:$B,$C514))</f>
        <v/>
      </c>
      <c r="H514" s="3" t="str">
        <f t="shared" si="3"/>
        <v/>
      </c>
      <c r="I514" s="3" t="str">
        <f t="array" ref="I514">IF($C514="","",IFERROR(INDEX(Partits!$C:$C,MATCH($A514&amp;"_"&amp;$D514,Partits!$D:$D,0)),""))</f>
        <v/>
      </c>
      <c r="J514" s="3" t="str">
        <f t="shared" si="4"/>
        <v/>
      </c>
      <c r="K514" s="3" t="str">
        <f t="shared" si="5"/>
        <v/>
      </c>
      <c r="L514" s="3" t="str">
        <f t="shared" si="6"/>
        <v/>
      </c>
      <c r="M514" s="3" t="str">
        <f t="shared" si="7"/>
        <v/>
      </c>
    </row>
    <row r="515" ht="15.0" customHeight="1">
      <c r="A515" s="3" t="str">
        <f>IF(Equips_usuari!A515="","",Equips_usuari!A515)</f>
        <v/>
      </c>
      <c r="B515" s="3" t="str">
        <f>IF(Equips_usuari!B515="","",Equips_usuari!B515)</f>
        <v/>
      </c>
      <c r="C515" s="3" t="str">
        <f>IF(Equips_usuari!C515="","",Equips_usuari!C515)</f>
        <v/>
      </c>
      <c r="D515" s="3" t="str">
        <f>IF(Equips_usuari!D515="","",Equips_usuari!D515)</f>
        <v/>
      </c>
      <c r="E515" s="3" t="str">
        <f>IF(Equips_usuari!F515="","",Equips_usuari!F515)</f>
        <v/>
      </c>
      <c r="F515" s="3" t="str">
        <f>IF($C515="","",SUMIFS(Resultats_jugadores!$C:$C,Resultats_jugadores!$A:$A,$A515,Resultats_jugadores!$B:$B,$C515))</f>
        <v/>
      </c>
      <c r="G515" s="3" t="str">
        <f>IF($C515="","",SUMIFS(Resultats_jugadores!$D:$D,Resultats_jugadores!$A:$A,$A515,Resultats_jugadores!$B:$B,$C515))</f>
        <v/>
      </c>
      <c r="H515" s="3" t="str">
        <f t="shared" si="3"/>
        <v/>
      </c>
      <c r="I515" s="3" t="str">
        <f t="array" ref="I515">IF($C515="","",IFERROR(INDEX(Partits!$C:$C,MATCH($A515&amp;"_"&amp;$D515,Partits!$D:$D,0)),""))</f>
        <v/>
      </c>
      <c r="J515" s="3" t="str">
        <f t="shared" si="4"/>
        <v/>
      </c>
      <c r="K515" s="3" t="str">
        <f t="shared" si="5"/>
        <v/>
      </c>
      <c r="L515" s="3" t="str">
        <f t="shared" si="6"/>
        <v/>
      </c>
      <c r="M515" s="3" t="str">
        <f t="shared" si="7"/>
        <v/>
      </c>
    </row>
    <row r="516" ht="15.0" customHeight="1">
      <c r="A516" s="3" t="str">
        <f>IF(Equips_usuari!A516="","",Equips_usuari!A516)</f>
        <v/>
      </c>
      <c r="B516" s="3" t="str">
        <f>IF(Equips_usuari!B516="","",Equips_usuari!B516)</f>
        <v/>
      </c>
      <c r="C516" s="3" t="str">
        <f>IF(Equips_usuari!C516="","",Equips_usuari!C516)</f>
        <v/>
      </c>
      <c r="D516" s="3" t="str">
        <f>IF(Equips_usuari!D516="","",Equips_usuari!D516)</f>
        <v/>
      </c>
      <c r="E516" s="3" t="str">
        <f>IF(Equips_usuari!F516="","",Equips_usuari!F516)</f>
        <v/>
      </c>
      <c r="F516" s="3" t="str">
        <f>IF($C516="","",SUMIFS(Resultats_jugadores!$C:$C,Resultats_jugadores!$A:$A,$A516,Resultats_jugadores!$B:$B,$C516))</f>
        <v/>
      </c>
      <c r="G516" s="3" t="str">
        <f>IF($C516="","",SUMIFS(Resultats_jugadores!$D:$D,Resultats_jugadores!$A:$A,$A516,Resultats_jugadores!$B:$B,$C516))</f>
        <v/>
      </c>
      <c r="H516" s="3" t="str">
        <f t="shared" si="3"/>
        <v/>
      </c>
      <c r="I516" s="3" t="str">
        <f t="array" ref="I516">IF($C516="","",IFERROR(INDEX(Partits!$C:$C,MATCH($A516&amp;"_"&amp;$D516,Partits!$D:$D,0)),""))</f>
        <v/>
      </c>
      <c r="J516" s="3" t="str">
        <f t="shared" si="4"/>
        <v/>
      </c>
      <c r="K516" s="3" t="str">
        <f t="shared" si="5"/>
        <v/>
      </c>
      <c r="L516" s="3" t="str">
        <f t="shared" si="6"/>
        <v/>
      </c>
      <c r="M516" s="3" t="str">
        <f t="shared" si="7"/>
        <v/>
      </c>
    </row>
    <row r="517" ht="15.0" customHeight="1">
      <c r="A517" s="3" t="str">
        <f>IF(Equips_usuari!A517="","",Equips_usuari!A517)</f>
        <v/>
      </c>
      <c r="B517" s="3" t="str">
        <f>IF(Equips_usuari!B517="","",Equips_usuari!B517)</f>
        <v/>
      </c>
      <c r="C517" s="3" t="str">
        <f>IF(Equips_usuari!C517="","",Equips_usuari!C517)</f>
        <v/>
      </c>
      <c r="D517" s="3" t="str">
        <f>IF(Equips_usuari!D517="","",Equips_usuari!D517)</f>
        <v/>
      </c>
      <c r="E517" s="3" t="str">
        <f>IF(Equips_usuari!F517="","",Equips_usuari!F517)</f>
        <v/>
      </c>
      <c r="F517" s="3" t="str">
        <f>IF($C517="","",SUMIFS(Resultats_jugadores!$C:$C,Resultats_jugadores!$A:$A,$A517,Resultats_jugadores!$B:$B,$C517))</f>
        <v/>
      </c>
      <c r="G517" s="3" t="str">
        <f>IF($C517="","",SUMIFS(Resultats_jugadores!$D:$D,Resultats_jugadores!$A:$A,$A517,Resultats_jugadores!$B:$B,$C517))</f>
        <v/>
      </c>
      <c r="H517" s="3" t="str">
        <f t="shared" si="3"/>
        <v/>
      </c>
      <c r="I517" s="3" t="str">
        <f t="array" ref="I517">IF($C517="","",IFERROR(INDEX(Partits!$C:$C,MATCH($A517&amp;"_"&amp;$D517,Partits!$D:$D,0)),""))</f>
        <v/>
      </c>
      <c r="J517" s="3" t="str">
        <f t="shared" si="4"/>
        <v/>
      </c>
      <c r="K517" s="3" t="str">
        <f t="shared" si="5"/>
        <v/>
      </c>
      <c r="L517" s="3" t="str">
        <f t="shared" si="6"/>
        <v/>
      </c>
      <c r="M517" s="3" t="str">
        <f t="shared" si="7"/>
        <v/>
      </c>
    </row>
    <row r="518" ht="15.0" customHeight="1">
      <c r="A518" s="3" t="str">
        <f>IF(Equips_usuari!A518="","",Equips_usuari!A518)</f>
        <v/>
      </c>
      <c r="B518" s="3" t="str">
        <f>IF(Equips_usuari!B518="","",Equips_usuari!B518)</f>
        <v/>
      </c>
      <c r="C518" s="3" t="str">
        <f>IF(Equips_usuari!C518="","",Equips_usuari!C518)</f>
        <v/>
      </c>
      <c r="D518" s="3" t="str">
        <f>IF(Equips_usuari!D518="","",Equips_usuari!D518)</f>
        <v/>
      </c>
      <c r="E518" s="3" t="str">
        <f>IF(Equips_usuari!F518="","",Equips_usuari!F518)</f>
        <v/>
      </c>
      <c r="F518" s="3" t="str">
        <f>IF($C518="","",SUMIFS(Resultats_jugadores!$C:$C,Resultats_jugadores!$A:$A,$A518,Resultats_jugadores!$B:$B,$C518))</f>
        <v/>
      </c>
      <c r="G518" s="3" t="str">
        <f>IF($C518="","",SUMIFS(Resultats_jugadores!$D:$D,Resultats_jugadores!$A:$A,$A518,Resultats_jugadores!$B:$B,$C518))</f>
        <v/>
      </c>
      <c r="H518" s="3" t="str">
        <f t="shared" si="3"/>
        <v/>
      </c>
      <c r="I518" s="3" t="str">
        <f t="array" ref="I518">IF($C518="","",IFERROR(INDEX(Partits!$C:$C,MATCH($A518&amp;"_"&amp;$D518,Partits!$D:$D,0)),""))</f>
        <v/>
      </c>
      <c r="J518" s="3" t="str">
        <f t="shared" si="4"/>
        <v/>
      </c>
      <c r="K518" s="3" t="str">
        <f t="shared" si="5"/>
        <v/>
      </c>
      <c r="L518" s="3" t="str">
        <f t="shared" si="6"/>
        <v/>
      </c>
      <c r="M518" s="3" t="str">
        <f t="shared" si="7"/>
        <v/>
      </c>
    </row>
    <row r="519" ht="15.0" customHeight="1">
      <c r="A519" s="3" t="str">
        <f>IF(Equips_usuari!A519="","",Equips_usuari!A519)</f>
        <v/>
      </c>
      <c r="B519" s="3" t="str">
        <f>IF(Equips_usuari!B519="","",Equips_usuari!B519)</f>
        <v/>
      </c>
      <c r="C519" s="3" t="str">
        <f>IF(Equips_usuari!C519="","",Equips_usuari!C519)</f>
        <v/>
      </c>
      <c r="D519" s="3" t="str">
        <f>IF(Equips_usuari!D519="","",Equips_usuari!D519)</f>
        <v/>
      </c>
      <c r="E519" s="3" t="str">
        <f>IF(Equips_usuari!F519="","",Equips_usuari!F519)</f>
        <v/>
      </c>
      <c r="F519" s="3" t="str">
        <f>IF($C519="","",SUMIFS(Resultats_jugadores!$C:$C,Resultats_jugadores!$A:$A,$A519,Resultats_jugadores!$B:$B,$C519))</f>
        <v/>
      </c>
      <c r="G519" s="3" t="str">
        <f>IF($C519="","",SUMIFS(Resultats_jugadores!$D:$D,Resultats_jugadores!$A:$A,$A519,Resultats_jugadores!$B:$B,$C519))</f>
        <v/>
      </c>
      <c r="H519" s="3" t="str">
        <f t="shared" si="3"/>
        <v/>
      </c>
      <c r="I519" s="3" t="str">
        <f t="array" ref="I519">IF($C519="","",IFERROR(INDEX(Partits!$C:$C,MATCH($A519&amp;"_"&amp;$D519,Partits!$D:$D,0)),""))</f>
        <v/>
      </c>
      <c r="J519" s="3" t="str">
        <f t="shared" si="4"/>
        <v/>
      </c>
      <c r="K519" s="3" t="str">
        <f t="shared" si="5"/>
        <v/>
      </c>
      <c r="L519" s="3" t="str">
        <f t="shared" si="6"/>
        <v/>
      </c>
      <c r="M519" s="3" t="str">
        <f t="shared" si="7"/>
        <v/>
      </c>
    </row>
    <row r="520" ht="15.0" customHeight="1">
      <c r="A520" s="3" t="str">
        <f>IF(Equips_usuari!A520="","",Equips_usuari!A520)</f>
        <v/>
      </c>
      <c r="B520" s="3" t="str">
        <f>IF(Equips_usuari!B520="","",Equips_usuari!B520)</f>
        <v/>
      </c>
      <c r="C520" s="3" t="str">
        <f>IF(Equips_usuari!C520="","",Equips_usuari!C520)</f>
        <v/>
      </c>
      <c r="D520" s="3" t="str">
        <f>IF(Equips_usuari!D520="","",Equips_usuari!D520)</f>
        <v/>
      </c>
      <c r="E520" s="3" t="str">
        <f>IF(Equips_usuari!F520="","",Equips_usuari!F520)</f>
        <v/>
      </c>
      <c r="F520" s="3" t="str">
        <f>IF($C520="","",SUMIFS(Resultats_jugadores!$C:$C,Resultats_jugadores!$A:$A,$A520,Resultats_jugadores!$B:$B,$C520))</f>
        <v/>
      </c>
      <c r="G520" s="3" t="str">
        <f>IF($C520="","",SUMIFS(Resultats_jugadores!$D:$D,Resultats_jugadores!$A:$A,$A520,Resultats_jugadores!$B:$B,$C520))</f>
        <v/>
      </c>
      <c r="H520" s="3" t="str">
        <f t="shared" si="3"/>
        <v/>
      </c>
      <c r="I520" s="3" t="str">
        <f t="array" ref="I520">IF($C520="","",IFERROR(INDEX(Partits!$C:$C,MATCH($A520&amp;"_"&amp;$D520,Partits!$D:$D,0)),""))</f>
        <v/>
      </c>
      <c r="J520" s="3" t="str">
        <f t="shared" si="4"/>
        <v/>
      </c>
      <c r="K520" s="3" t="str">
        <f t="shared" si="5"/>
        <v/>
      </c>
      <c r="L520" s="3" t="str">
        <f t="shared" si="6"/>
        <v/>
      </c>
      <c r="M520" s="3" t="str">
        <f t="shared" si="7"/>
        <v/>
      </c>
    </row>
    <row r="521" ht="15.0" customHeight="1">
      <c r="A521" s="3" t="str">
        <f>IF(Equips_usuari!A521="","",Equips_usuari!A521)</f>
        <v/>
      </c>
      <c r="B521" s="3" t="str">
        <f>IF(Equips_usuari!B521="","",Equips_usuari!B521)</f>
        <v/>
      </c>
      <c r="C521" s="3" t="str">
        <f>IF(Equips_usuari!C521="","",Equips_usuari!C521)</f>
        <v/>
      </c>
      <c r="D521" s="3" t="str">
        <f>IF(Equips_usuari!D521="","",Equips_usuari!D521)</f>
        <v/>
      </c>
      <c r="E521" s="3" t="str">
        <f>IF(Equips_usuari!F521="","",Equips_usuari!F521)</f>
        <v/>
      </c>
      <c r="F521" s="3" t="str">
        <f>IF($C521="","",SUMIFS(Resultats_jugadores!$C:$C,Resultats_jugadores!$A:$A,$A521,Resultats_jugadores!$B:$B,$C521))</f>
        <v/>
      </c>
      <c r="G521" s="3" t="str">
        <f>IF($C521="","",SUMIFS(Resultats_jugadores!$D:$D,Resultats_jugadores!$A:$A,$A521,Resultats_jugadores!$B:$B,$C521))</f>
        <v/>
      </c>
      <c r="H521" s="3" t="str">
        <f t="shared" si="3"/>
        <v/>
      </c>
      <c r="I521" s="3" t="str">
        <f t="array" ref="I521">IF($C521="","",IFERROR(INDEX(Partits!$C:$C,MATCH($A521&amp;"_"&amp;$D521,Partits!$D:$D,0)),""))</f>
        <v/>
      </c>
      <c r="J521" s="3" t="str">
        <f t="shared" si="4"/>
        <v/>
      </c>
      <c r="K521" s="3" t="str">
        <f t="shared" si="5"/>
        <v/>
      </c>
      <c r="L521" s="3" t="str">
        <f t="shared" si="6"/>
        <v/>
      </c>
      <c r="M521" s="3" t="str">
        <f t="shared" si="7"/>
        <v/>
      </c>
    </row>
    <row r="522" ht="15.0" customHeight="1">
      <c r="A522" s="3" t="str">
        <f>IF(Equips_usuari!A522="","",Equips_usuari!A522)</f>
        <v/>
      </c>
      <c r="B522" s="3" t="str">
        <f>IF(Equips_usuari!B522="","",Equips_usuari!B522)</f>
        <v/>
      </c>
      <c r="C522" s="3" t="str">
        <f>IF(Equips_usuari!C522="","",Equips_usuari!C522)</f>
        <v/>
      </c>
      <c r="D522" s="3" t="str">
        <f>IF(Equips_usuari!D522="","",Equips_usuari!D522)</f>
        <v/>
      </c>
      <c r="E522" s="3" t="str">
        <f>IF(Equips_usuari!F522="","",Equips_usuari!F522)</f>
        <v/>
      </c>
      <c r="F522" s="3" t="str">
        <f>IF($C522="","",SUMIFS(Resultats_jugadores!$C:$C,Resultats_jugadores!$A:$A,$A522,Resultats_jugadores!$B:$B,$C522))</f>
        <v/>
      </c>
      <c r="G522" s="3" t="str">
        <f>IF($C522="","",SUMIFS(Resultats_jugadores!$D:$D,Resultats_jugadores!$A:$A,$A522,Resultats_jugadores!$B:$B,$C522))</f>
        <v/>
      </c>
      <c r="H522" s="3" t="str">
        <f t="shared" si="3"/>
        <v/>
      </c>
      <c r="I522" s="3" t="str">
        <f t="array" ref="I522">IF($C522="","",IFERROR(INDEX(Partits!$C:$C,MATCH($A522&amp;"_"&amp;$D522,Partits!$D:$D,0)),""))</f>
        <v/>
      </c>
      <c r="J522" s="3" t="str">
        <f t="shared" si="4"/>
        <v/>
      </c>
      <c r="K522" s="3" t="str">
        <f t="shared" si="5"/>
        <v/>
      </c>
      <c r="L522" s="3" t="str">
        <f t="shared" si="6"/>
        <v/>
      </c>
      <c r="M522" s="3" t="str">
        <f t="shared" si="7"/>
        <v/>
      </c>
    </row>
    <row r="523" ht="15.0" customHeight="1">
      <c r="A523" s="3" t="str">
        <f>IF(Equips_usuari!A523="","",Equips_usuari!A523)</f>
        <v/>
      </c>
      <c r="B523" s="3" t="str">
        <f>IF(Equips_usuari!B523="","",Equips_usuari!B523)</f>
        <v/>
      </c>
      <c r="C523" s="3" t="str">
        <f>IF(Equips_usuari!C523="","",Equips_usuari!C523)</f>
        <v/>
      </c>
      <c r="D523" s="3" t="str">
        <f>IF(Equips_usuari!D523="","",Equips_usuari!D523)</f>
        <v/>
      </c>
      <c r="E523" s="3" t="str">
        <f>IF(Equips_usuari!F523="","",Equips_usuari!F523)</f>
        <v/>
      </c>
      <c r="F523" s="3" t="str">
        <f>IF($C523="","",SUMIFS(Resultats_jugadores!$C:$C,Resultats_jugadores!$A:$A,$A523,Resultats_jugadores!$B:$B,$C523))</f>
        <v/>
      </c>
      <c r="G523" s="3" t="str">
        <f>IF($C523="","",SUMIFS(Resultats_jugadores!$D:$D,Resultats_jugadores!$A:$A,$A523,Resultats_jugadores!$B:$B,$C523))</f>
        <v/>
      </c>
      <c r="H523" s="3" t="str">
        <f t="shared" si="3"/>
        <v/>
      </c>
      <c r="I523" s="3" t="str">
        <f t="array" ref="I523">IF($C523="","",IFERROR(INDEX(Partits!$C:$C,MATCH($A523&amp;"_"&amp;$D523,Partits!$D:$D,0)),""))</f>
        <v/>
      </c>
      <c r="J523" s="3" t="str">
        <f t="shared" si="4"/>
        <v/>
      </c>
      <c r="K523" s="3" t="str">
        <f t="shared" si="5"/>
        <v/>
      </c>
      <c r="L523" s="3" t="str">
        <f t="shared" si="6"/>
        <v/>
      </c>
      <c r="M523" s="3" t="str">
        <f t="shared" si="7"/>
        <v/>
      </c>
    </row>
    <row r="524" ht="15.0" customHeight="1">
      <c r="A524" s="3" t="str">
        <f>IF(Equips_usuari!A524="","",Equips_usuari!A524)</f>
        <v/>
      </c>
      <c r="B524" s="3" t="str">
        <f>IF(Equips_usuari!B524="","",Equips_usuari!B524)</f>
        <v/>
      </c>
      <c r="C524" s="3" t="str">
        <f>IF(Equips_usuari!C524="","",Equips_usuari!C524)</f>
        <v/>
      </c>
      <c r="D524" s="3" t="str">
        <f>IF(Equips_usuari!D524="","",Equips_usuari!D524)</f>
        <v/>
      </c>
      <c r="E524" s="3" t="str">
        <f>IF(Equips_usuari!F524="","",Equips_usuari!F524)</f>
        <v/>
      </c>
      <c r="F524" s="3" t="str">
        <f>IF($C524="","",SUMIFS(Resultats_jugadores!$C:$C,Resultats_jugadores!$A:$A,$A524,Resultats_jugadores!$B:$B,$C524))</f>
        <v/>
      </c>
      <c r="G524" s="3" t="str">
        <f>IF($C524="","",SUMIFS(Resultats_jugadores!$D:$D,Resultats_jugadores!$A:$A,$A524,Resultats_jugadores!$B:$B,$C524))</f>
        <v/>
      </c>
      <c r="H524" s="3" t="str">
        <f t="shared" si="3"/>
        <v/>
      </c>
      <c r="I524" s="3" t="str">
        <f t="array" ref="I524">IF($C524="","",IFERROR(INDEX(Partits!$C:$C,MATCH($A524&amp;"_"&amp;$D524,Partits!$D:$D,0)),""))</f>
        <v/>
      </c>
      <c r="J524" s="3" t="str">
        <f t="shared" si="4"/>
        <v/>
      </c>
      <c r="K524" s="3" t="str">
        <f t="shared" si="5"/>
        <v/>
      </c>
      <c r="L524" s="3" t="str">
        <f t="shared" si="6"/>
        <v/>
      </c>
      <c r="M524" s="3" t="str">
        <f t="shared" si="7"/>
        <v/>
      </c>
    </row>
    <row r="525" ht="15.0" customHeight="1">
      <c r="A525" s="3" t="str">
        <f>IF(Equips_usuari!A525="","",Equips_usuari!A525)</f>
        <v/>
      </c>
      <c r="B525" s="3" t="str">
        <f>IF(Equips_usuari!B525="","",Equips_usuari!B525)</f>
        <v/>
      </c>
      <c r="C525" s="3" t="str">
        <f>IF(Equips_usuari!C525="","",Equips_usuari!C525)</f>
        <v/>
      </c>
      <c r="D525" s="3" t="str">
        <f>IF(Equips_usuari!D525="","",Equips_usuari!D525)</f>
        <v/>
      </c>
      <c r="E525" s="3" t="str">
        <f>IF(Equips_usuari!F525="","",Equips_usuari!F525)</f>
        <v/>
      </c>
      <c r="F525" s="3" t="str">
        <f>IF($C525="","",SUMIFS(Resultats_jugadores!$C:$C,Resultats_jugadores!$A:$A,$A525,Resultats_jugadores!$B:$B,$C525))</f>
        <v/>
      </c>
      <c r="G525" s="3" t="str">
        <f>IF($C525="","",SUMIFS(Resultats_jugadores!$D:$D,Resultats_jugadores!$A:$A,$A525,Resultats_jugadores!$B:$B,$C525))</f>
        <v/>
      </c>
      <c r="H525" s="3" t="str">
        <f t="shared" si="3"/>
        <v/>
      </c>
      <c r="I525" s="3" t="str">
        <f t="array" ref="I525">IF($C525="","",IFERROR(INDEX(Partits!$C:$C,MATCH($A525&amp;"_"&amp;$D525,Partits!$D:$D,0)),""))</f>
        <v/>
      </c>
      <c r="J525" s="3" t="str">
        <f t="shared" si="4"/>
        <v/>
      </c>
      <c r="K525" s="3" t="str">
        <f t="shared" si="5"/>
        <v/>
      </c>
      <c r="L525" s="3" t="str">
        <f t="shared" si="6"/>
        <v/>
      </c>
      <c r="M525" s="3" t="str">
        <f t="shared" si="7"/>
        <v/>
      </c>
    </row>
    <row r="526" ht="15.0" customHeight="1">
      <c r="A526" s="3" t="str">
        <f>IF(Equips_usuari!A526="","",Equips_usuari!A526)</f>
        <v/>
      </c>
      <c r="B526" s="3" t="str">
        <f>IF(Equips_usuari!B526="","",Equips_usuari!B526)</f>
        <v/>
      </c>
      <c r="C526" s="3" t="str">
        <f>IF(Equips_usuari!C526="","",Equips_usuari!C526)</f>
        <v/>
      </c>
      <c r="D526" s="3" t="str">
        <f>IF(Equips_usuari!D526="","",Equips_usuari!D526)</f>
        <v/>
      </c>
      <c r="E526" s="3" t="str">
        <f>IF(Equips_usuari!F526="","",Equips_usuari!F526)</f>
        <v/>
      </c>
      <c r="F526" s="3" t="str">
        <f>IF($C526="","",SUMIFS(Resultats_jugadores!$C:$C,Resultats_jugadores!$A:$A,$A526,Resultats_jugadores!$B:$B,$C526))</f>
        <v/>
      </c>
      <c r="G526" s="3" t="str">
        <f>IF($C526="","",SUMIFS(Resultats_jugadores!$D:$D,Resultats_jugadores!$A:$A,$A526,Resultats_jugadores!$B:$B,$C526))</f>
        <v/>
      </c>
      <c r="H526" s="3" t="str">
        <f t="shared" si="3"/>
        <v/>
      </c>
      <c r="I526" s="3" t="str">
        <f t="array" ref="I526">IF($C526="","",IFERROR(INDEX(Partits!$C:$C,MATCH($A526&amp;"_"&amp;$D526,Partits!$D:$D,0)),""))</f>
        <v/>
      </c>
      <c r="J526" s="3" t="str">
        <f t="shared" si="4"/>
        <v/>
      </c>
      <c r="K526" s="3" t="str">
        <f t="shared" si="5"/>
        <v/>
      </c>
      <c r="L526" s="3" t="str">
        <f t="shared" si="6"/>
        <v/>
      </c>
      <c r="M526" s="3" t="str">
        <f t="shared" si="7"/>
        <v/>
      </c>
    </row>
    <row r="527" ht="15.0" customHeight="1">
      <c r="A527" s="3" t="str">
        <f>IF(Equips_usuari!A527="","",Equips_usuari!A527)</f>
        <v/>
      </c>
      <c r="B527" s="3" t="str">
        <f>IF(Equips_usuari!B527="","",Equips_usuari!B527)</f>
        <v/>
      </c>
      <c r="C527" s="3" t="str">
        <f>IF(Equips_usuari!C527="","",Equips_usuari!C527)</f>
        <v/>
      </c>
      <c r="D527" s="3" t="str">
        <f>IF(Equips_usuari!D527="","",Equips_usuari!D527)</f>
        <v/>
      </c>
      <c r="E527" s="3" t="str">
        <f>IF(Equips_usuari!F527="","",Equips_usuari!F527)</f>
        <v/>
      </c>
      <c r="F527" s="3" t="str">
        <f>IF($C527="","",SUMIFS(Resultats_jugadores!$C:$C,Resultats_jugadores!$A:$A,$A527,Resultats_jugadores!$B:$B,$C527))</f>
        <v/>
      </c>
      <c r="G527" s="3" t="str">
        <f>IF($C527="","",SUMIFS(Resultats_jugadores!$D:$D,Resultats_jugadores!$A:$A,$A527,Resultats_jugadores!$B:$B,$C527))</f>
        <v/>
      </c>
      <c r="H527" s="3" t="str">
        <f t="shared" si="3"/>
        <v/>
      </c>
      <c r="I527" s="3" t="str">
        <f t="array" ref="I527">IF($C527="","",IFERROR(INDEX(Partits!$C:$C,MATCH($A527&amp;"_"&amp;$D527,Partits!$D:$D,0)),""))</f>
        <v/>
      </c>
      <c r="J527" s="3" t="str">
        <f t="shared" si="4"/>
        <v/>
      </c>
      <c r="K527" s="3" t="str">
        <f t="shared" si="5"/>
        <v/>
      </c>
      <c r="L527" s="3" t="str">
        <f t="shared" si="6"/>
        <v/>
      </c>
      <c r="M527" s="3" t="str">
        <f t="shared" si="7"/>
        <v/>
      </c>
    </row>
    <row r="528" ht="15.0" customHeight="1">
      <c r="A528" s="3" t="str">
        <f>IF(Equips_usuari!A528="","",Equips_usuari!A528)</f>
        <v/>
      </c>
      <c r="B528" s="3" t="str">
        <f>IF(Equips_usuari!B528="","",Equips_usuari!B528)</f>
        <v/>
      </c>
      <c r="C528" s="3" t="str">
        <f>IF(Equips_usuari!C528="","",Equips_usuari!C528)</f>
        <v/>
      </c>
      <c r="D528" s="3" t="str">
        <f>IF(Equips_usuari!D528="","",Equips_usuari!D528)</f>
        <v/>
      </c>
      <c r="E528" s="3" t="str">
        <f>IF(Equips_usuari!F528="","",Equips_usuari!F528)</f>
        <v/>
      </c>
      <c r="F528" s="3" t="str">
        <f>IF($C528="","",SUMIFS(Resultats_jugadores!$C:$C,Resultats_jugadores!$A:$A,$A528,Resultats_jugadores!$B:$B,$C528))</f>
        <v/>
      </c>
      <c r="G528" s="3" t="str">
        <f>IF($C528="","",SUMIFS(Resultats_jugadores!$D:$D,Resultats_jugadores!$A:$A,$A528,Resultats_jugadores!$B:$B,$C528))</f>
        <v/>
      </c>
      <c r="H528" s="3" t="str">
        <f t="shared" si="3"/>
        <v/>
      </c>
      <c r="I528" s="3" t="str">
        <f t="array" ref="I528">IF($C528="","",IFERROR(INDEX(Partits!$C:$C,MATCH($A528&amp;"_"&amp;$D528,Partits!$D:$D,0)),""))</f>
        <v/>
      </c>
      <c r="J528" s="3" t="str">
        <f t="shared" si="4"/>
        <v/>
      </c>
      <c r="K528" s="3" t="str">
        <f t="shared" si="5"/>
        <v/>
      </c>
      <c r="L528" s="3" t="str">
        <f t="shared" si="6"/>
        <v/>
      </c>
      <c r="M528" s="3" t="str">
        <f t="shared" si="7"/>
        <v/>
      </c>
    </row>
    <row r="529" ht="15.0" customHeight="1">
      <c r="A529" s="3" t="str">
        <f>IF(Equips_usuari!A529="","",Equips_usuari!A529)</f>
        <v/>
      </c>
      <c r="B529" s="3" t="str">
        <f>IF(Equips_usuari!B529="","",Equips_usuari!B529)</f>
        <v/>
      </c>
      <c r="C529" s="3" t="str">
        <f>IF(Equips_usuari!C529="","",Equips_usuari!C529)</f>
        <v/>
      </c>
      <c r="D529" s="3" t="str">
        <f>IF(Equips_usuari!D529="","",Equips_usuari!D529)</f>
        <v/>
      </c>
      <c r="E529" s="3" t="str">
        <f>IF(Equips_usuari!F529="","",Equips_usuari!F529)</f>
        <v/>
      </c>
      <c r="F529" s="3" t="str">
        <f>IF($C529="","",SUMIFS(Resultats_jugadores!$C:$C,Resultats_jugadores!$A:$A,$A529,Resultats_jugadores!$B:$B,$C529))</f>
        <v/>
      </c>
      <c r="G529" s="3" t="str">
        <f>IF($C529="","",SUMIFS(Resultats_jugadores!$D:$D,Resultats_jugadores!$A:$A,$A529,Resultats_jugadores!$B:$B,$C529))</f>
        <v/>
      </c>
      <c r="H529" s="3" t="str">
        <f t="shared" si="3"/>
        <v/>
      </c>
      <c r="I529" s="3" t="str">
        <f t="array" ref="I529">IF($C529="","",IFERROR(INDEX(Partits!$C:$C,MATCH($A529&amp;"_"&amp;$D529,Partits!$D:$D,0)),""))</f>
        <v/>
      </c>
      <c r="J529" s="3" t="str">
        <f t="shared" si="4"/>
        <v/>
      </c>
      <c r="K529" s="3" t="str">
        <f t="shared" si="5"/>
        <v/>
      </c>
      <c r="L529" s="3" t="str">
        <f t="shared" si="6"/>
        <v/>
      </c>
      <c r="M529" s="3" t="str">
        <f t="shared" si="7"/>
        <v/>
      </c>
    </row>
    <row r="530" ht="15.0" customHeight="1">
      <c r="A530" s="3" t="str">
        <f>IF(Equips_usuari!A530="","",Equips_usuari!A530)</f>
        <v/>
      </c>
      <c r="B530" s="3" t="str">
        <f>IF(Equips_usuari!B530="","",Equips_usuari!B530)</f>
        <v/>
      </c>
      <c r="C530" s="3" t="str">
        <f>IF(Equips_usuari!C530="","",Equips_usuari!C530)</f>
        <v/>
      </c>
      <c r="D530" s="3" t="str">
        <f>IF(Equips_usuari!D530="","",Equips_usuari!D530)</f>
        <v/>
      </c>
      <c r="E530" s="3" t="str">
        <f>IF(Equips_usuari!F530="","",Equips_usuari!F530)</f>
        <v/>
      </c>
      <c r="F530" s="3" t="str">
        <f>IF($C530="","",SUMIFS(Resultats_jugadores!$C:$C,Resultats_jugadores!$A:$A,$A530,Resultats_jugadores!$B:$B,$C530))</f>
        <v/>
      </c>
      <c r="G530" s="3" t="str">
        <f>IF($C530="","",SUMIFS(Resultats_jugadores!$D:$D,Resultats_jugadores!$A:$A,$A530,Resultats_jugadores!$B:$B,$C530))</f>
        <v/>
      </c>
      <c r="H530" s="3" t="str">
        <f t="shared" si="3"/>
        <v/>
      </c>
      <c r="I530" s="3" t="str">
        <f t="array" ref="I530">IF($C530="","",IFERROR(INDEX(Partits!$C:$C,MATCH($A530&amp;"_"&amp;$D530,Partits!$D:$D,0)),""))</f>
        <v/>
      </c>
      <c r="J530" s="3" t="str">
        <f t="shared" si="4"/>
        <v/>
      </c>
      <c r="K530" s="3" t="str">
        <f t="shared" si="5"/>
        <v/>
      </c>
      <c r="L530" s="3" t="str">
        <f t="shared" si="6"/>
        <v/>
      </c>
      <c r="M530" s="3" t="str">
        <f t="shared" si="7"/>
        <v/>
      </c>
    </row>
    <row r="531" ht="15.0" customHeight="1">
      <c r="A531" s="3" t="str">
        <f>IF(Equips_usuari!A531="","",Equips_usuari!A531)</f>
        <v/>
      </c>
      <c r="B531" s="3" t="str">
        <f>IF(Equips_usuari!B531="","",Equips_usuari!B531)</f>
        <v/>
      </c>
      <c r="C531" s="3" t="str">
        <f>IF(Equips_usuari!C531="","",Equips_usuari!C531)</f>
        <v/>
      </c>
      <c r="D531" s="3" t="str">
        <f>IF(Equips_usuari!D531="","",Equips_usuari!D531)</f>
        <v/>
      </c>
      <c r="E531" s="3" t="str">
        <f>IF(Equips_usuari!F531="","",Equips_usuari!F531)</f>
        <v/>
      </c>
      <c r="F531" s="3" t="str">
        <f>IF($C531="","",SUMIFS(Resultats_jugadores!$C:$C,Resultats_jugadores!$A:$A,$A531,Resultats_jugadores!$B:$B,$C531))</f>
        <v/>
      </c>
      <c r="G531" s="3" t="str">
        <f>IF($C531="","",SUMIFS(Resultats_jugadores!$D:$D,Resultats_jugadores!$A:$A,$A531,Resultats_jugadores!$B:$B,$C531))</f>
        <v/>
      </c>
      <c r="H531" s="3" t="str">
        <f t="shared" si="3"/>
        <v/>
      </c>
      <c r="I531" s="3" t="str">
        <f t="array" ref="I531">IF($C531="","",IFERROR(INDEX(Partits!$C:$C,MATCH($A531&amp;"_"&amp;$D531,Partits!$D:$D,0)),""))</f>
        <v/>
      </c>
      <c r="J531" s="3" t="str">
        <f t="shared" si="4"/>
        <v/>
      </c>
      <c r="K531" s="3" t="str">
        <f t="shared" si="5"/>
        <v/>
      </c>
      <c r="L531" s="3" t="str">
        <f t="shared" si="6"/>
        <v/>
      </c>
      <c r="M531" s="3" t="str">
        <f t="shared" si="7"/>
        <v/>
      </c>
    </row>
    <row r="532" ht="15.0" customHeight="1">
      <c r="A532" s="3" t="str">
        <f>IF(Equips_usuari!A532="","",Equips_usuari!A532)</f>
        <v/>
      </c>
      <c r="B532" s="3" t="str">
        <f>IF(Equips_usuari!B532="","",Equips_usuari!B532)</f>
        <v/>
      </c>
      <c r="C532" s="3" t="str">
        <f>IF(Equips_usuari!C532="","",Equips_usuari!C532)</f>
        <v/>
      </c>
      <c r="D532" s="3" t="str">
        <f>IF(Equips_usuari!D532="","",Equips_usuari!D532)</f>
        <v/>
      </c>
      <c r="E532" s="3" t="str">
        <f>IF(Equips_usuari!F532="","",Equips_usuari!F532)</f>
        <v/>
      </c>
      <c r="F532" s="3" t="str">
        <f>IF($C532="","",SUMIFS(Resultats_jugadores!$C:$C,Resultats_jugadores!$A:$A,$A532,Resultats_jugadores!$B:$B,$C532))</f>
        <v/>
      </c>
      <c r="G532" s="3" t="str">
        <f>IF($C532="","",SUMIFS(Resultats_jugadores!$D:$D,Resultats_jugadores!$A:$A,$A532,Resultats_jugadores!$B:$B,$C532))</f>
        <v/>
      </c>
      <c r="H532" s="3" t="str">
        <f t="shared" si="3"/>
        <v/>
      </c>
      <c r="I532" s="3" t="str">
        <f t="array" ref="I532">IF($C532="","",IFERROR(INDEX(Partits!$C:$C,MATCH($A532&amp;"_"&amp;$D532,Partits!$D:$D,0)),""))</f>
        <v/>
      </c>
      <c r="J532" s="3" t="str">
        <f t="shared" si="4"/>
        <v/>
      </c>
      <c r="K532" s="3" t="str">
        <f t="shared" si="5"/>
        <v/>
      </c>
      <c r="L532" s="3" t="str">
        <f t="shared" si="6"/>
        <v/>
      </c>
      <c r="M532" s="3" t="str">
        <f t="shared" si="7"/>
        <v/>
      </c>
    </row>
    <row r="533" ht="15.0" customHeight="1">
      <c r="A533" s="3" t="str">
        <f>IF(Equips_usuari!A533="","",Equips_usuari!A533)</f>
        <v/>
      </c>
      <c r="B533" s="3" t="str">
        <f>IF(Equips_usuari!B533="","",Equips_usuari!B533)</f>
        <v/>
      </c>
      <c r="C533" s="3" t="str">
        <f>IF(Equips_usuari!C533="","",Equips_usuari!C533)</f>
        <v/>
      </c>
      <c r="D533" s="3" t="str">
        <f>IF(Equips_usuari!D533="","",Equips_usuari!D533)</f>
        <v/>
      </c>
      <c r="E533" s="3" t="str">
        <f>IF(Equips_usuari!F533="","",Equips_usuari!F533)</f>
        <v/>
      </c>
      <c r="F533" s="3" t="str">
        <f>IF($C533="","",SUMIFS(Resultats_jugadores!$C:$C,Resultats_jugadores!$A:$A,$A533,Resultats_jugadores!$B:$B,$C533))</f>
        <v/>
      </c>
      <c r="G533" s="3" t="str">
        <f>IF($C533="","",SUMIFS(Resultats_jugadores!$D:$D,Resultats_jugadores!$A:$A,$A533,Resultats_jugadores!$B:$B,$C533))</f>
        <v/>
      </c>
      <c r="H533" s="3" t="str">
        <f t="shared" si="3"/>
        <v/>
      </c>
      <c r="I533" s="3" t="str">
        <f t="array" ref="I533">IF($C533="","",IFERROR(INDEX(Partits!$C:$C,MATCH($A533&amp;"_"&amp;$D533,Partits!$D:$D,0)),""))</f>
        <v/>
      </c>
      <c r="J533" s="3" t="str">
        <f t="shared" si="4"/>
        <v/>
      </c>
      <c r="K533" s="3" t="str">
        <f t="shared" si="5"/>
        <v/>
      </c>
      <c r="L533" s="3" t="str">
        <f t="shared" si="6"/>
        <v/>
      </c>
      <c r="M533" s="3" t="str">
        <f t="shared" si="7"/>
        <v/>
      </c>
    </row>
    <row r="534" ht="15.0" customHeight="1">
      <c r="A534" s="3" t="str">
        <f>IF(Equips_usuari!A534="","",Equips_usuari!A534)</f>
        <v/>
      </c>
      <c r="B534" s="3" t="str">
        <f>IF(Equips_usuari!B534="","",Equips_usuari!B534)</f>
        <v/>
      </c>
      <c r="C534" s="3" t="str">
        <f>IF(Equips_usuari!C534="","",Equips_usuari!C534)</f>
        <v/>
      </c>
      <c r="D534" s="3" t="str">
        <f>IF(Equips_usuari!D534="","",Equips_usuari!D534)</f>
        <v/>
      </c>
      <c r="E534" s="3" t="str">
        <f>IF(Equips_usuari!F534="","",Equips_usuari!F534)</f>
        <v/>
      </c>
      <c r="F534" s="3" t="str">
        <f>IF($C534="","",SUMIFS(Resultats_jugadores!$C:$C,Resultats_jugadores!$A:$A,$A534,Resultats_jugadores!$B:$B,$C534))</f>
        <v/>
      </c>
      <c r="G534" s="3" t="str">
        <f>IF($C534="","",SUMIFS(Resultats_jugadores!$D:$D,Resultats_jugadores!$A:$A,$A534,Resultats_jugadores!$B:$B,$C534))</f>
        <v/>
      </c>
      <c r="H534" s="3" t="str">
        <f t="shared" si="3"/>
        <v/>
      </c>
      <c r="I534" s="3" t="str">
        <f t="array" ref="I534">IF($C534="","",IFERROR(INDEX(Partits!$C:$C,MATCH($A534&amp;"_"&amp;$D534,Partits!$D:$D,0)),""))</f>
        <v/>
      </c>
      <c r="J534" s="3" t="str">
        <f t="shared" si="4"/>
        <v/>
      </c>
      <c r="K534" s="3" t="str">
        <f t="shared" si="5"/>
        <v/>
      </c>
      <c r="L534" s="3" t="str">
        <f t="shared" si="6"/>
        <v/>
      </c>
      <c r="M534" s="3" t="str">
        <f t="shared" si="7"/>
        <v/>
      </c>
    </row>
    <row r="535" ht="15.0" customHeight="1">
      <c r="A535" s="3" t="str">
        <f>IF(Equips_usuari!A535="","",Equips_usuari!A535)</f>
        <v/>
      </c>
      <c r="B535" s="3" t="str">
        <f>IF(Equips_usuari!B535="","",Equips_usuari!B535)</f>
        <v/>
      </c>
      <c r="C535" s="3" t="str">
        <f>IF(Equips_usuari!C535="","",Equips_usuari!C535)</f>
        <v/>
      </c>
      <c r="D535" s="3" t="str">
        <f>IF(Equips_usuari!D535="","",Equips_usuari!D535)</f>
        <v/>
      </c>
      <c r="E535" s="3" t="str">
        <f>IF(Equips_usuari!F535="","",Equips_usuari!F535)</f>
        <v/>
      </c>
      <c r="F535" s="3" t="str">
        <f>IF($C535="","",SUMIFS(Resultats_jugadores!$C:$C,Resultats_jugadores!$A:$A,$A535,Resultats_jugadores!$B:$B,$C535))</f>
        <v/>
      </c>
      <c r="G535" s="3" t="str">
        <f>IF($C535="","",SUMIFS(Resultats_jugadores!$D:$D,Resultats_jugadores!$A:$A,$A535,Resultats_jugadores!$B:$B,$C535))</f>
        <v/>
      </c>
      <c r="H535" s="3" t="str">
        <f t="shared" si="3"/>
        <v/>
      </c>
      <c r="I535" s="3" t="str">
        <f t="array" ref="I535">IF($C535="","",IFERROR(INDEX(Partits!$C:$C,MATCH($A535&amp;"_"&amp;$D535,Partits!$D:$D,0)),""))</f>
        <v/>
      </c>
      <c r="J535" s="3" t="str">
        <f t="shared" si="4"/>
        <v/>
      </c>
      <c r="K535" s="3" t="str">
        <f t="shared" si="5"/>
        <v/>
      </c>
      <c r="L535" s="3" t="str">
        <f t="shared" si="6"/>
        <v/>
      </c>
      <c r="M535" s="3" t="str">
        <f t="shared" si="7"/>
        <v/>
      </c>
    </row>
    <row r="536" ht="15.0" customHeight="1">
      <c r="A536" s="3" t="str">
        <f>IF(Equips_usuari!A536="","",Equips_usuari!A536)</f>
        <v/>
      </c>
      <c r="B536" s="3" t="str">
        <f>IF(Equips_usuari!B536="","",Equips_usuari!B536)</f>
        <v/>
      </c>
      <c r="C536" s="3" t="str">
        <f>IF(Equips_usuari!C536="","",Equips_usuari!C536)</f>
        <v/>
      </c>
      <c r="D536" s="3" t="str">
        <f>IF(Equips_usuari!D536="","",Equips_usuari!D536)</f>
        <v/>
      </c>
      <c r="E536" s="3" t="str">
        <f>IF(Equips_usuari!F536="","",Equips_usuari!F536)</f>
        <v/>
      </c>
      <c r="F536" s="3" t="str">
        <f>IF($C536="","",SUMIFS(Resultats_jugadores!$C:$C,Resultats_jugadores!$A:$A,$A536,Resultats_jugadores!$B:$B,$C536))</f>
        <v/>
      </c>
      <c r="G536" s="3" t="str">
        <f>IF($C536="","",SUMIFS(Resultats_jugadores!$D:$D,Resultats_jugadores!$A:$A,$A536,Resultats_jugadores!$B:$B,$C536))</f>
        <v/>
      </c>
      <c r="H536" s="3" t="str">
        <f t="shared" si="3"/>
        <v/>
      </c>
      <c r="I536" s="3" t="str">
        <f t="array" ref="I536">IF($C536="","",IFERROR(INDEX(Partits!$C:$C,MATCH($A536&amp;"_"&amp;$D536,Partits!$D:$D,0)),""))</f>
        <v/>
      </c>
      <c r="J536" s="3" t="str">
        <f t="shared" si="4"/>
        <v/>
      </c>
      <c r="K536" s="3" t="str">
        <f t="shared" si="5"/>
        <v/>
      </c>
      <c r="L536" s="3" t="str">
        <f t="shared" si="6"/>
        <v/>
      </c>
      <c r="M536" s="3" t="str">
        <f t="shared" si="7"/>
        <v/>
      </c>
    </row>
    <row r="537" ht="15.0" customHeight="1">
      <c r="A537" s="3" t="str">
        <f>IF(Equips_usuari!A537="","",Equips_usuari!A537)</f>
        <v/>
      </c>
      <c r="B537" s="3" t="str">
        <f>IF(Equips_usuari!B537="","",Equips_usuari!B537)</f>
        <v/>
      </c>
      <c r="C537" s="3" t="str">
        <f>IF(Equips_usuari!C537="","",Equips_usuari!C537)</f>
        <v/>
      </c>
      <c r="D537" s="3" t="str">
        <f>IF(Equips_usuari!D537="","",Equips_usuari!D537)</f>
        <v/>
      </c>
      <c r="E537" s="3" t="str">
        <f>IF(Equips_usuari!F537="","",Equips_usuari!F537)</f>
        <v/>
      </c>
      <c r="F537" s="3" t="str">
        <f>IF($C537="","",SUMIFS(Resultats_jugadores!$C:$C,Resultats_jugadores!$A:$A,$A537,Resultats_jugadores!$B:$B,$C537))</f>
        <v/>
      </c>
      <c r="G537" s="3" t="str">
        <f>IF($C537="","",SUMIFS(Resultats_jugadores!$D:$D,Resultats_jugadores!$A:$A,$A537,Resultats_jugadores!$B:$B,$C537))</f>
        <v/>
      </c>
      <c r="H537" s="3" t="str">
        <f t="shared" si="3"/>
        <v/>
      </c>
      <c r="I537" s="3" t="str">
        <f t="array" ref="I537">IF($C537="","",IFERROR(INDEX(Partits!$C:$C,MATCH($A537&amp;"_"&amp;$D537,Partits!$D:$D,0)),""))</f>
        <v/>
      </c>
      <c r="J537" s="3" t="str">
        <f t="shared" si="4"/>
        <v/>
      </c>
      <c r="K537" s="3" t="str">
        <f t="shared" si="5"/>
        <v/>
      </c>
      <c r="L537" s="3" t="str">
        <f t="shared" si="6"/>
        <v/>
      </c>
      <c r="M537" s="3" t="str">
        <f t="shared" si="7"/>
        <v/>
      </c>
    </row>
    <row r="538" ht="15.0" customHeight="1">
      <c r="A538" s="3" t="str">
        <f>IF(Equips_usuari!A538="","",Equips_usuari!A538)</f>
        <v/>
      </c>
      <c r="B538" s="3" t="str">
        <f>IF(Equips_usuari!B538="","",Equips_usuari!B538)</f>
        <v/>
      </c>
      <c r="C538" s="3" t="str">
        <f>IF(Equips_usuari!C538="","",Equips_usuari!C538)</f>
        <v/>
      </c>
      <c r="D538" s="3" t="str">
        <f>IF(Equips_usuari!D538="","",Equips_usuari!D538)</f>
        <v/>
      </c>
      <c r="E538" s="3" t="str">
        <f>IF(Equips_usuari!F538="","",Equips_usuari!F538)</f>
        <v/>
      </c>
      <c r="F538" s="3" t="str">
        <f>IF($C538="","",SUMIFS(Resultats_jugadores!$C:$C,Resultats_jugadores!$A:$A,$A538,Resultats_jugadores!$B:$B,$C538))</f>
        <v/>
      </c>
      <c r="G538" s="3" t="str">
        <f>IF($C538="","",SUMIFS(Resultats_jugadores!$D:$D,Resultats_jugadores!$A:$A,$A538,Resultats_jugadores!$B:$B,$C538))</f>
        <v/>
      </c>
      <c r="H538" s="3" t="str">
        <f t="shared" si="3"/>
        <v/>
      </c>
      <c r="I538" s="3" t="str">
        <f t="array" ref="I538">IF($C538="","",IFERROR(INDEX(Partits!$C:$C,MATCH($A538&amp;"_"&amp;$D538,Partits!$D:$D,0)),""))</f>
        <v/>
      </c>
      <c r="J538" s="3" t="str">
        <f t="shared" si="4"/>
        <v/>
      </c>
      <c r="K538" s="3" t="str">
        <f t="shared" si="5"/>
        <v/>
      </c>
      <c r="L538" s="3" t="str">
        <f t="shared" si="6"/>
        <v/>
      </c>
      <c r="M538" s="3" t="str">
        <f t="shared" si="7"/>
        <v/>
      </c>
    </row>
    <row r="539" ht="15.0" customHeight="1">
      <c r="A539" s="3" t="str">
        <f>IF(Equips_usuari!A539="","",Equips_usuari!A539)</f>
        <v/>
      </c>
      <c r="B539" s="3" t="str">
        <f>IF(Equips_usuari!B539="","",Equips_usuari!B539)</f>
        <v/>
      </c>
      <c r="C539" s="3" t="str">
        <f>IF(Equips_usuari!C539="","",Equips_usuari!C539)</f>
        <v/>
      </c>
      <c r="D539" s="3" t="str">
        <f>IF(Equips_usuari!D539="","",Equips_usuari!D539)</f>
        <v/>
      </c>
      <c r="E539" s="3" t="str">
        <f>IF(Equips_usuari!F539="","",Equips_usuari!F539)</f>
        <v/>
      </c>
      <c r="F539" s="3" t="str">
        <f>IF($C539="","",SUMIFS(Resultats_jugadores!$C:$C,Resultats_jugadores!$A:$A,$A539,Resultats_jugadores!$B:$B,$C539))</f>
        <v/>
      </c>
      <c r="G539" s="3" t="str">
        <f>IF($C539="","",SUMIFS(Resultats_jugadores!$D:$D,Resultats_jugadores!$A:$A,$A539,Resultats_jugadores!$B:$B,$C539))</f>
        <v/>
      </c>
      <c r="H539" s="3" t="str">
        <f t="shared" si="3"/>
        <v/>
      </c>
      <c r="I539" s="3" t="str">
        <f t="array" ref="I539">IF($C539="","",IFERROR(INDEX(Partits!$C:$C,MATCH($A539&amp;"_"&amp;$D539,Partits!$D:$D,0)),""))</f>
        <v/>
      </c>
      <c r="J539" s="3" t="str">
        <f t="shared" si="4"/>
        <v/>
      </c>
      <c r="K539" s="3" t="str">
        <f t="shared" si="5"/>
        <v/>
      </c>
      <c r="L539" s="3" t="str">
        <f t="shared" si="6"/>
        <v/>
      </c>
      <c r="M539" s="3" t="str">
        <f t="shared" si="7"/>
        <v/>
      </c>
    </row>
    <row r="540" ht="15.0" customHeight="1">
      <c r="A540" s="3" t="str">
        <f>IF(Equips_usuari!A540="","",Equips_usuari!A540)</f>
        <v/>
      </c>
      <c r="B540" s="3" t="str">
        <f>IF(Equips_usuari!B540="","",Equips_usuari!B540)</f>
        <v/>
      </c>
      <c r="C540" s="3" t="str">
        <f>IF(Equips_usuari!C540="","",Equips_usuari!C540)</f>
        <v/>
      </c>
      <c r="D540" s="3" t="str">
        <f>IF(Equips_usuari!D540="","",Equips_usuari!D540)</f>
        <v/>
      </c>
      <c r="E540" s="3" t="str">
        <f>IF(Equips_usuari!F540="","",Equips_usuari!F540)</f>
        <v/>
      </c>
      <c r="F540" s="3" t="str">
        <f>IF($C540="","",SUMIFS(Resultats_jugadores!$C:$C,Resultats_jugadores!$A:$A,$A540,Resultats_jugadores!$B:$B,$C540))</f>
        <v/>
      </c>
      <c r="G540" s="3" t="str">
        <f>IF($C540="","",SUMIFS(Resultats_jugadores!$D:$D,Resultats_jugadores!$A:$A,$A540,Resultats_jugadores!$B:$B,$C540))</f>
        <v/>
      </c>
      <c r="H540" s="3" t="str">
        <f t="shared" si="3"/>
        <v/>
      </c>
      <c r="I540" s="3" t="str">
        <f t="array" ref="I540">IF($C540="","",IFERROR(INDEX(Partits!$C:$C,MATCH($A540&amp;"_"&amp;$D540,Partits!$D:$D,0)),""))</f>
        <v/>
      </c>
      <c r="J540" s="3" t="str">
        <f t="shared" si="4"/>
        <v/>
      </c>
      <c r="K540" s="3" t="str">
        <f t="shared" si="5"/>
        <v/>
      </c>
      <c r="L540" s="3" t="str">
        <f t="shared" si="6"/>
        <v/>
      </c>
      <c r="M540" s="3" t="str">
        <f t="shared" si="7"/>
        <v/>
      </c>
    </row>
    <row r="541" ht="15.0" customHeight="1">
      <c r="A541" s="3" t="str">
        <f>IF(Equips_usuari!A541="","",Equips_usuari!A541)</f>
        <v/>
      </c>
      <c r="B541" s="3" t="str">
        <f>IF(Equips_usuari!B541="","",Equips_usuari!B541)</f>
        <v/>
      </c>
      <c r="C541" s="3" t="str">
        <f>IF(Equips_usuari!C541="","",Equips_usuari!C541)</f>
        <v/>
      </c>
      <c r="D541" s="3" t="str">
        <f>IF(Equips_usuari!D541="","",Equips_usuari!D541)</f>
        <v/>
      </c>
      <c r="E541" s="3" t="str">
        <f>IF(Equips_usuari!F541="","",Equips_usuari!F541)</f>
        <v/>
      </c>
      <c r="F541" s="3" t="str">
        <f>IF($C541="","",SUMIFS(Resultats_jugadores!$C:$C,Resultats_jugadores!$A:$A,$A541,Resultats_jugadores!$B:$B,$C541))</f>
        <v/>
      </c>
      <c r="G541" s="3" t="str">
        <f>IF($C541="","",SUMIFS(Resultats_jugadores!$D:$D,Resultats_jugadores!$A:$A,$A541,Resultats_jugadores!$B:$B,$C541))</f>
        <v/>
      </c>
      <c r="H541" s="3" t="str">
        <f t="shared" si="3"/>
        <v/>
      </c>
      <c r="I541" s="3" t="str">
        <f t="array" ref="I541">IF($C541="","",IFERROR(INDEX(Partits!$C:$C,MATCH($A541&amp;"_"&amp;$D541,Partits!$D:$D,0)),""))</f>
        <v/>
      </c>
      <c r="J541" s="3" t="str">
        <f t="shared" si="4"/>
        <v/>
      </c>
      <c r="K541" s="3" t="str">
        <f t="shared" si="5"/>
        <v/>
      </c>
      <c r="L541" s="3" t="str">
        <f t="shared" si="6"/>
        <v/>
      </c>
      <c r="M541" s="3" t="str">
        <f t="shared" si="7"/>
        <v/>
      </c>
    </row>
    <row r="542" ht="15.0" customHeight="1">
      <c r="A542" s="3" t="str">
        <f>IF(Equips_usuari!A542="","",Equips_usuari!A542)</f>
        <v/>
      </c>
      <c r="B542" s="3" t="str">
        <f>IF(Equips_usuari!B542="","",Equips_usuari!B542)</f>
        <v/>
      </c>
      <c r="C542" s="3" t="str">
        <f>IF(Equips_usuari!C542="","",Equips_usuari!C542)</f>
        <v/>
      </c>
      <c r="D542" s="3" t="str">
        <f>IF(Equips_usuari!D542="","",Equips_usuari!D542)</f>
        <v/>
      </c>
      <c r="E542" s="3" t="str">
        <f>IF(Equips_usuari!F542="","",Equips_usuari!F542)</f>
        <v/>
      </c>
      <c r="F542" s="3" t="str">
        <f>IF($C542="","",SUMIFS(Resultats_jugadores!$C:$C,Resultats_jugadores!$A:$A,$A542,Resultats_jugadores!$B:$B,$C542))</f>
        <v/>
      </c>
      <c r="G542" s="3" t="str">
        <f>IF($C542="","",SUMIFS(Resultats_jugadores!$D:$D,Resultats_jugadores!$A:$A,$A542,Resultats_jugadores!$B:$B,$C542))</f>
        <v/>
      </c>
      <c r="H542" s="3" t="str">
        <f t="shared" si="3"/>
        <v/>
      </c>
      <c r="I542" s="3" t="str">
        <f t="array" ref="I542">IF($C542="","",IFERROR(INDEX(Partits!$C:$C,MATCH($A542&amp;"_"&amp;$D542,Partits!$D:$D,0)),""))</f>
        <v/>
      </c>
      <c r="J542" s="3" t="str">
        <f t="shared" si="4"/>
        <v/>
      </c>
      <c r="K542" s="3" t="str">
        <f t="shared" si="5"/>
        <v/>
      </c>
      <c r="L542" s="3" t="str">
        <f t="shared" si="6"/>
        <v/>
      </c>
      <c r="M542" s="3" t="str">
        <f t="shared" si="7"/>
        <v/>
      </c>
    </row>
    <row r="543" ht="15.0" customHeight="1">
      <c r="A543" s="3" t="str">
        <f>IF(Equips_usuari!A543="","",Equips_usuari!A543)</f>
        <v/>
      </c>
      <c r="B543" s="3" t="str">
        <f>IF(Equips_usuari!B543="","",Equips_usuari!B543)</f>
        <v/>
      </c>
      <c r="C543" s="3" t="str">
        <f>IF(Equips_usuari!C543="","",Equips_usuari!C543)</f>
        <v/>
      </c>
      <c r="D543" s="3" t="str">
        <f>IF(Equips_usuari!D543="","",Equips_usuari!D543)</f>
        <v/>
      </c>
      <c r="E543" s="3" t="str">
        <f>IF(Equips_usuari!F543="","",Equips_usuari!F543)</f>
        <v/>
      </c>
      <c r="F543" s="3" t="str">
        <f>IF($C543="","",SUMIFS(Resultats_jugadores!$C:$C,Resultats_jugadores!$A:$A,$A543,Resultats_jugadores!$B:$B,$C543))</f>
        <v/>
      </c>
      <c r="G543" s="3" t="str">
        <f>IF($C543="","",SUMIFS(Resultats_jugadores!$D:$D,Resultats_jugadores!$A:$A,$A543,Resultats_jugadores!$B:$B,$C543))</f>
        <v/>
      </c>
      <c r="H543" s="3" t="str">
        <f t="shared" si="3"/>
        <v/>
      </c>
      <c r="I543" s="3" t="str">
        <f t="array" ref="I543">IF($C543="","",IFERROR(INDEX(Partits!$C:$C,MATCH($A543&amp;"_"&amp;$D543,Partits!$D:$D,0)),""))</f>
        <v/>
      </c>
      <c r="J543" s="3" t="str">
        <f t="shared" si="4"/>
        <v/>
      </c>
      <c r="K543" s="3" t="str">
        <f t="shared" si="5"/>
        <v/>
      </c>
      <c r="L543" s="3" t="str">
        <f t="shared" si="6"/>
        <v/>
      </c>
      <c r="M543" s="3" t="str">
        <f t="shared" si="7"/>
        <v/>
      </c>
    </row>
    <row r="544" ht="15.0" customHeight="1">
      <c r="A544" s="3" t="str">
        <f>IF(Equips_usuari!A544="","",Equips_usuari!A544)</f>
        <v/>
      </c>
      <c r="B544" s="3" t="str">
        <f>IF(Equips_usuari!B544="","",Equips_usuari!B544)</f>
        <v/>
      </c>
      <c r="C544" s="3" t="str">
        <f>IF(Equips_usuari!C544="","",Equips_usuari!C544)</f>
        <v/>
      </c>
      <c r="D544" s="3" t="str">
        <f>IF(Equips_usuari!D544="","",Equips_usuari!D544)</f>
        <v/>
      </c>
      <c r="E544" s="3" t="str">
        <f>IF(Equips_usuari!F544="","",Equips_usuari!F544)</f>
        <v/>
      </c>
      <c r="F544" s="3" t="str">
        <f>IF($C544="","",SUMIFS(Resultats_jugadores!$C:$C,Resultats_jugadores!$A:$A,$A544,Resultats_jugadores!$B:$B,$C544))</f>
        <v/>
      </c>
      <c r="G544" s="3" t="str">
        <f>IF($C544="","",SUMIFS(Resultats_jugadores!$D:$D,Resultats_jugadores!$A:$A,$A544,Resultats_jugadores!$B:$B,$C544))</f>
        <v/>
      </c>
      <c r="H544" s="3" t="str">
        <f t="shared" si="3"/>
        <v/>
      </c>
      <c r="I544" s="3" t="str">
        <f t="array" ref="I544">IF($C544="","",IFERROR(INDEX(Partits!$C:$C,MATCH($A544&amp;"_"&amp;$D544,Partits!$D:$D,0)),""))</f>
        <v/>
      </c>
      <c r="J544" s="3" t="str">
        <f t="shared" si="4"/>
        <v/>
      </c>
      <c r="K544" s="3" t="str">
        <f t="shared" si="5"/>
        <v/>
      </c>
      <c r="L544" s="3" t="str">
        <f t="shared" si="6"/>
        <v/>
      </c>
      <c r="M544" s="3" t="str">
        <f t="shared" si="7"/>
        <v/>
      </c>
    </row>
    <row r="545" ht="15.0" customHeight="1">
      <c r="A545" s="3" t="str">
        <f>IF(Equips_usuari!A545="","",Equips_usuari!A545)</f>
        <v/>
      </c>
      <c r="B545" s="3" t="str">
        <f>IF(Equips_usuari!B545="","",Equips_usuari!B545)</f>
        <v/>
      </c>
      <c r="C545" s="3" t="str">
        <f>IF(Equips_usuari!C545="","",Equips_usuari!C545)</f>
        <v/>
      </c>
      <c r="D545" s="3" t="str">
        <f>IF(Equips_usuari!D545="","",Equips_usuari!D545)</f>
        <v/>
      </c>
      <c r="E545" s="3" t="str">
        <f>IF(Equips_usuari!F545="","",Equips_usuari!F545)</f>
        <v/>
      </c>
      <c r="F545" s="3" t="str">
        <f>IF($C545="","",SUMIFS(Resultats_jugadores!$C:$C,Resultats_jugadores!$A:$A,$A545,Resultats_jugadores!$B:$B,$C545))</f>
        <v/>
      </c>
      <c r="G545" s="3" t="str">
        <f>IF($C545="","",SUMIFS(Resultats_jugadores!$D:$D,Resultats_jugadores!$A:$A,$A545,Resultats_jugadores!$B:$B,$C545))</f>
        <v/>
      </c>
      <c r="H545" s="3" t="str">
        <f t="shared" si="3"/>
        <v/>
      </c>
      <c r="I545" s="3" t="str">
        <f t="array" ref="I545">IF($C545="","",IFERROR(INDEX(Partits!$C:$C,MATCH($A545&amp;"_"&amp;$D545,Partits!$D:$D,0)),""))</f>
        <v/>
      </c>
      <c r="J545" s="3" t="str">
        <f t="shared" si="4"/>
        <v/>
      </c>
      <c r="K545" s="3" t="str">
        <f t="shared" si="5"/>
        <v/>
      </c>
      <c r="L545" s="3" t="str">
        <f t="shared" si="6"/>
        <v/>
      </c>
      <c r="M545" s="3" t="str">
        <f t="shared" si="7"/>
        <v/>
      </c>
    </row>
    <row r="546" ht="15.0" customHeight="1">
      <c r="A546" s="3" t="str">
        <f>IF(Equips_usuari!A546="","",Equips_usuari!A546)</f>
        <v/>
      </c>
      <c r="B546" s="3" t="str">
        <f>IF(Equips_usuari!B546="","",Equips_usuari!B546)</f>
        <v/>
      </c>
      <c r="C546" s="3" t="str">
        <f>IF(Equips_usuari!C546="","",Equips_usuari!C546)</f>
        <v/>
      </c>
      <c r="D546" s="3" t="str">
        <f>IF(Equips_usuari!D546="","",Equips_usuari!D546)</f>
        <v/>
      </c>
      <c r="E546" s="3" t="str">
        <f>IF(Equips_usuari!F546="","",Equips_usuari!F546)</f>
        <v/>
      </c>
      <c r="F546" s="3" t="str">
        <f>IF($C546="","",SUMIFS(Resultats_jugadores!$C:$C,Resultats_jugadores!$A:$A,$A546,Resultats_jugadores!$B:$B,$C546))</f>
        <v/>
      </c>
      <c r="G546" s="3" t="str">
        <f>IF($C546="","",SUMIFS(Resultats_jugadores!$D:$D,Resultats_jugadores!$A:$A,$A546,Resultats_jugadores!$B:$B,$C546))</f>
        <v/>
      </c>
      <c r="H546" s="3" t="str">
        <f t="shared" si="3"/>
        <v/>
      </c>
      <c r="I546" s="3" t="str">
        <f t="array" ref="I546">IF($C546="","",IFERROR(INDEX(Partits!$C:$C,MATCH($A546&amp;"_"&amp;$D546,Partits!$D:$D,0)),""))</f>
        <v/>
      </c>
      <c r="J546" s="3" t="str">
        <f t="shared" si="4"/>
        <v/>
      </c>
      <c r="K546" s="3" t="str">
        <f t="shared" si="5"/>
        <v/>
      </c>
      <c r="L546" s="3" t="str">
        <f t="shared" si="6"/>
        <v/>
      </c>
      <c r="M546" s="3" t="str">
        <f t="shared" si="7"/>
        <v/>
      </c>
    </row>
    <row r="547" ht="15.0" customHeight="1">
      <c r="A547" s="3" t="str">
        <f>IF(Equips_usuari!A547="","",Equips_usuari!A547)</f>
        <v/>
      </c>
      <c r="B547" s="3" t="str">
        <f>IF(Equips_usuari!B547="","",Equips_usuari!B547)</f>
        <v/>
      </c>
      <c r="C547" s="3" t="str">
        <f>IF(Equips_usuari!C547="","",Equips_usuari!C547)</f>
        <v/>
      </c>
      <c r="D547" s="3" t="str">
        <f>IF(Equips_usuari!D547="","",Equips_usuari!D547)</f>
        <v/>
      </c>
      <c r="E547" s="3" t="str">
        <f>IF(Equips_usuari!F547="","",Equips_usuari!F547)</f>
        <v/>
      </c>
      <c r="F547" s="3" t="str">
        <f>IF($C547="","",SUMIFS(Resultats_jugadores!$C:$C,Resultats_jugadores!$A:$A,$A547,Resultats_jugadores!$B:$B,$C547))</f>
        <v/>
      </c>
      <c r="G547" s="3" t="str">
        <f>IF($C547="","",SUMIFS(Resultats_jugadores!$D:$D,Resultats_jugadores!$A:$A,$A547,Resultats_jugadores!$B:$B,$C547))</f>
        <v/>
      </c>
      <c r="H547" s="3" t="str">
        <f t="shared" si="3"/>
        <v/>
      </c>
      <c r="I547" s="3" t="str">
        <f t="array" ref="I547">IF($C547="","",IFERROR(INDEX(Partits!$C:$C,MATCH($A547&amp;"_"&amp;$D547,Partits!$D:$D,0)),""))</f>
        <v/>
      </c>
      <c r="J547" s="3" t="str">
        <f t="shared" si="4"/>
        <v/>
      </c>
      <c r="K547" s="3" t="str">
        <f t="shared" si="5"/>
        <v/>
      </c>
      <c r="L547" s="3" t="str">
        <f t="shared" si="6"/>
        <v/>
      </c>
      <c r="M547" s="3" t="str">
        <f t="shared" si="7"/>
        <v/>
      </c>
    </row>
    <row r="548" ht="15.0" customHeight="1">
      <c r="A548" s="3" t="str">
        <f>IF(Equips_usuari!A548="","",Equips_usuari!A548)</f>
        <v/>
      </c>
      <c r="B548" s="3" t="str">
        <f>IF(Equips_usuari!B548="","",Equips_usuari!B548)</f>
        <v/>
      </c>
      <c r="C548" s="3" t="str">
        <f>IF(Equips_usuari!C548="","",Equips_usuari!C548)</f>
        <v/>
      </c>
      <c r="D548" s="3" t="str">
        <f>IF(Equips_usuari!D548="","",Equips_usuari!D548)</f>
        <v/>
      </c>
      <c r="E548" s="3" t="str">
        <f>IF(Equips_usuari!F548="","",Equips_usuari!F548)</f>
        <v/>
      </c>
      <c r="F548" s="3" t="str">
        <f>IF($C548="","",SUMIFS(Resultats_jugadores!$C:$C,Resultats_jugadores!$A:$A,$A548,Resultats_jugadores!$B:$B,$C548))</f>
        <v/>
      </c>
      <c r="G548" s="3" t="str">
        <f>IF($C548="","",SUMIFS(Resultats_jugadores!$D:$D,Resultats_jugadores!$A:$A,$A548,Resultats_jugadores!$B:$B,$C548))</f>
        <v/>
      </c>
      <c r="H548" s="3" t="str">
        <f t="shared" si="3"/>
        <v/>
      </c>
      <c r="I548" s="3" t="str">
        <f t="array" ref="I548">IF($C548="","",IFERROR(INDEX(Partits!$C:$C,MATCH($A548&amp;"_"&amp;$D548,Partits!$D:$D,0)),""))</f>
        <v/>
      </c>
      <c r="J548" s="3" t="str">
        <f t="shared" si="4"/>
        <v/>
      </c>
      <c r="K548" s="3" t="str">
        <f t="shared" si="5"/>
        <v/>
      </c>
      <c r="L548" s="3" t="str">
        <f t="shared" si="6"/>
        <v/>
      </c>
      <c r="M548" s="3" t="str">
        <f t="shared" si="7"/>
        <v/>
      </c>
    </row>
    <row r="549" ht="15.0" customHeight="1">
      <c r="A549" s="3" t="str">
        <f>IF(Equips_usuari!A549="","",Equips_usuari!A549)</f>
        <v/>
      </c>
      <c r="B549" s="3" t="str">
        <f>IF(Equips_usuari!B549="","",Equips_usuari!B549)</f>
        <v/>
      </c>
      <c r="C549" s="3" t="str">
        <f>IF(Equips_usuari!C549="","",Equips_usuari!C549)</f>
        <v/>
      </c>
      <c r="D549" s="3" t="str">
        <f>IF(Equips_usuari!D549="","",Equips_usuari!D549)</f>
        <v/>
      </c>
      <c r="E549" s="3" t="str">
        <f>IF(Equips_usuari!F549="","",Equips_usuari!F549)</f>
        <v/>
      </c>
      <c r="F549" s="3" t="str">
        <f>IF($C549="","",SUMIFS(Resultats_jugadores!$C:$C,Resultats_jugadores!$A:$A,$A549,Resultats_jugadores!$B:$B,$C549))</f>
        <v/>
      </c>
      <c r="G549" s="3" t="str">
        <f>IF($C549="","",SUMIFS(Resultats_jugadores!$D:$D,Resultats_jugadores!$A:$A,$A549,Resultats_jugadores!$B:$B,$C549))</f>
        <v/>
      </c>
      <c r="H549" s="3" t="str">
        <f t="shared" si="3"/>
        <v/>
      </c>
      <c r="I549" s="3" t="str">
        <f t="array" ref="I549">IF($C549="","",IFERROR(INDEX(Partits!$C:$C,MATCH($A549&amp;"_"&amp;$D549,Partits!$D:$D,0)),""))</f>
        <v/>
      </c>
      <c r="J549" s="3" t="str">
        <f t="shared" si="4"/>
        <v/>
      </c>
      <c r="K549" s="3" t="str">
        <f t="shared" si="5"/>
        <v/>
      </c>
      <c r="L549" s="3" t="str">
        <f t="shared" si="6"/>
        <v/>
      </c>
      <c r="M549" s="3" t="str">
        <f t="shared" si="7"/>
        <v/>
      </c>
    </row>
    <row r="550" ht="15.0" customHeight="1">
      <c r="A550" s="3" t="str">
        <f>IF(Equips_usuari!A550="","",Equips_usuari!A550)</f>
        <v/>
      </c>
      <c r="B550" s="3" t="str">
        <f>IF(Equips_usuari!B550="","",Equips_usuari!B550)</f>
        <v/>
      </c>
      <c r="C550" s="3" t="str">
        <f>IF(Equips_usuari!C550="","",Equips_usuari!C550)</f>
        <v/>
      </c>
      <c r="D550" s="3" t="str">
        <f>IF(Equips_usuari!D550="","",Equips_usuari!D550)</f>
        <v/>
      </c>
      <c r="E550" s="3" t="str">
        <f>IF(Equips_usuari!F550="","",Equips_usuari!F550)</f>
        <v/>
      </c>
      <c r="F550" s="3" t="str">
        <f>IF($C550="","",SUMIFS(Resultats_jugadores!$C:$C,Resultats_jugadores!$A:$A,$A550,Resultats_jugadores!$B:$B,$C550))</f>
        <v/>
      </c>
      <c r="G550" s="3" t="str">
        <f>IF($C550="","",SUMIFS(Resultats_jugadores!$D:$D,Resultats_jugadores!$A:$A,$A550,Resultats_jugadores!$B:$B,$C550))</f>
        <v/>
      </c>
      <c r="H550" s="3" t="str">
        <f t="shared" si="3"/>
        <v/>
      </c>
      <c r="I550" s="3" t="str">
        <f t="array" ref="I550">IF($C550="","",IFERROR(INDEX(Partits!$C:$C,MATCH($A550&amp;"_"&amp;$D550,Partits!$D:$D,0)),""))</f>
        <v/>
      </c>
      <c r="J550" s="3" t="str">
        <f t="shared" si="4"/>
        <v/>
      </c>
      <c r="K550" s="3" t="str">
        <f t="shared" si="5"/>
        <v/>
      </c>
      <c r="L550" s="3" t="str">
        <f t="shared" si="6"/>
        <v/>
      </c>
      <c r="M550" s="3" t="str">
        <f t="shared" si="7"/>
        <v/>
      </c>
    </row>
    <row r="551" ht="15.0" customHeight="1">
      <c r="A551" s="3" t="str">
        <f>IF(Equips_usuari!A551="","",Equips_usuari!A551)</f>
        <v/>
      </c>
      <c r="B551" s="3" t="str">
        <f>IF(Equips_usuari!B551="","",Equips_usuari!B551)</f>
        <v/>
      </c>
      <c r="C551" s="3" t="str">
        <f>IF(Equips_usuari!C551="","",Equips_usuari!C551)</f>
        <v/>
      </c>
      <c r="D551" s="3" t="str">
        <f>IF(Equips_usuari!D551="","",Equips_usuari!D551)</f>
        <v/>
      </c>
      <c r="E551" s="3" t="str">
        <f>IF(Equips_usuari!F551="","",Equips_usuari!F551)</f>
        <v/>
      </c>
      <c r="F551" s="3" t="str">
        <f>IF($C551="","",SUMIFS(Resultats_jugadores!$C:$C,Resultats_jugadores!$A:$A,$A551,Resultats_jugadores!$B:$B,$C551))</f>
        <v/>
      </c>
      <c r="G551" s="3" t="str">
        <f>IF($C551="","",SUMIFS(Resultats_jugadores!$D:$D,Resultats_jugadores!$A:$A,$A551,Resultats_jugadores!$B:$B,$C551))</f>
        <v/>
      </c>
      <c r="H551" s="3" t="str">
        <f t="shared" si="3"/>
        <v/>
      </c>
      <c r="I551" s="3" t="str">
        <f t="array" ref="I551">IF($C551="","",IFERROR(INDEX(Partits!$C:$C,MATCH($A551&amp;"_"&amp;$D551,Partits!$D:$D,0)),""))</f>
        <v/>
      </c>
      <c r="J551" s="3" t="str">
        <f t="shared" si="4"/>
        <v/>
      </c>
      <c r="K551" s="3" t="str">
        <f t="shared" si="5"/>
        <v/>
      </c>
      <c r="L551" s="3" t="str">
        <f t="shared" si="6"/>
        <v/>
      </c>
      <c r="M551" s="3" t="str">
        <f t="shared" si="7"/>
        <v/>
      </c>
    </row>
    <row r="552" ht="15.0" customHeight="1">
      <c r="A552" s="3" t="str">
        <f>IF(Equips_usuari!A552="","",Equips_usuari!A552)</f>
        <v/>
      </c>
      <c r="B552" s="3" t="str">
        <f>IF(Equips_usuari!B552="","",Equips_usuari!B552)</f>
        <v/>
      </c>
      <c r="C552" s="3" t="str">
        <f>IF(Equips_usuari!C552="","",Equips_usuari!C552)</f>
        <v/>
      </c>
      <c r="D552" s="3" t="str">
        <f>IF(Equips_usuari!D552="","",Equips_usuari!D552)</f>
        <v/>
      </c>
      <c r="E552" s="3" t="str">
        <f>IF(Equips_usuari!F552="","",Equips_usuari!F552)</f>
        <v/>
      </c>
      <c r="F552" s="3" t="str">
        <f>IF($C552="","",SUMIFS(Resultats_jugadores!$C:$C,Resultats_jugadores!$A:$A,$A552,Resultats_jugadores!$B:$B,$C552))</f>
        <v/>
      </c>
      <c r="G552" s="3" t="str">
        <f>IF($C552="","",SUMIFS(Resultats_jugadores!$D:$D,Resultats_jugadores!$A:$A,$A552,Resultats_jugadores!$B:$B,$C552))</f>
        <v/>
      </c>
      <c r="H552" s="3" t="str">
        <f t="shared" si="3"/>
        <v/>
      </c>
      <c r="I552" s="3" t="str">
        <f t="array" ref="I552">IF($C552="","",IFERROR(INDEX(Partits!$C:$C,MATCH($A552&amp;"_"&amp;$D552,Partits!$D:$D,0)),""))</f>
        <v/>
      </c>
      <c r="J552" s="3" t="str">
        <f t="shared" si="4"/>
        <v/>
      </c>
      <c r="K552" s="3" t="str">
        <f t="shared" si="5"/>
        <v/>
      </c>
      <c r="L552" s="3" t="str">
        <f t="shared" si="6"/>
        <v/>
      </c>
      <c r="M552" s="3" t="str">
        <f t="shared" si="7"/>
        <v/>
      </c>
    </row>
    <row r="553" ht="15.0" customHeight="1">
      <c r="A553" s="3" t="str">
        <f>IF(Equips_usuari!A553="","",Equips_usuari!A553)</f>
        <v/>
      </c>
      <c r="B553" s="3" t="str">
        <f>IF(Equips_usuari!B553="","",Equips_usuari!B553)</f>
        <v/>
      </c>
      <c r="C553" s="3" t="str">
        <f>IF(Equips_usuari!C553="","",Equips_usuari!C553)</f>
        <v/>
      </c>
      <c r="D553" s="3" t="str">
        <f>IF(Equips_usuari!D553="","",Equips_usuari!D553)</f>
        <v/>
      </c>
      <c r="E553" s="3" t="str">
        <f>IF(Equips_usuari!F553="","",Equips_usuari!F553)</f>
        <v/>
      </c>
      <c r="F553" s="3" t="str">
        <f>IF($C553="","",SUMIFS(Resultats_jugadores!$C:$C,Resultats_jugadores!$A:$A,$A553,Resultats_jugadores!$B:$B,$C553))</f>
        <v/>
      </c>
      <c r="G553" s="3" t="str">
        <f>IF($C553="","",SUMIFS(Resultats_jugadores!$D:$D,Resultats_jugadores!$A:$A,$A553,Resultats_jugadores!$B:$B,$C553))</f>
        <v/>
      </c>
      <c r="H553" s="3" t="str">
        <f t="shared" si="3"/>
        <v/>
      </c>
      <c r="I553" s="3" t="str">
        <f t="array" ref="I553">IF($C553="","",IFERROR(INDEX(Partits!$C:$C,MATCH($A553&amp;"_"&amp;$D553,Partits!$D:$D,0)),""))</f>
        <v/>
      </c>
      <c r="J553" s="3" t="str">
        <f t="shared" si="4"/>
        <v/>
      </c>
      <c r="K553" s="3" t="str">
        <f t="shared" si="5"/>
        <v/>
      </c>
      <c r="L553" s="3" t="str">
        <f t="shared" si="6"/>
        <v/>
      </c>
      <c r="M553" s="3" t="str">
        <f t="shared" si="7"/>
        <v/>
      </c>
    </row>
    <row r="554" ht="15.0" customHeight="1">
      <c r="A554" s="3" t="str">
        <f>IF(Equips_usuari!A554="","",Equips_usuari!A554)</f>
        <v/>
      </c>
      <c r="B554" s="3" t="str">
        <f>IF(Equips_usuari!B554="","",Equips_usuari!B554)</f>
        <v/>
      </c>
      <c r="C554" s="3" t="str">
        <f>IF(Equips_usuari!C554="","",Equips_usuari!C554)</f>
        <v/>
      </c>
      <c r="D554" s="3" t="str">
        <f>IF(Equips_usuari!D554="","",Equips_usuari!D554)</f>
        <v/>
      </c>
      <c r="E554" s="3" t="str">
        <f>IF(Equips_usuari!F554="","",Equips_usuari!F554)</f>
        <v/>
      </c>
      <c r="F554" s="3" t="str">
        <f>IF($C554="","",SUMIFS(Resultats_jugadores!$C:$C,Resultats_jugadores!$A:$A,$A554,Resultats_jugadores!$B:$B,$C554))</f>
        <v/>
      </c>
      <c r="G554" s="3" t="str">
        <f>IF($C554="","",SUMIFS(Resultats_jugadores!$D:$D,Resultats_jugadores!$A:$A,$A554,Resultats_jugadores!$B:$B,$C554))</f>
        <v/>
      </c>
      <c r="H554" s="3" t="str">
        <f t="shared" si="3"/>
        <v/>
      </c>
      <c r="I554" s="3" t="str">
        <f t="array" ref="I554">IF($C554="","",IFERROR(INDEX(Partits!$C:$C,MATCH($A554&amp;"_"&amp;$D554,Partits!$D:$D,0)),""))</f>
        <v/>
      </c>
      <c r="J554" s="3" t="str">
        <f t="shared" si="4"/>
        <v/>
      </c>
      <c r="K554" s="3" t="str">
        <f t="shared" si="5"/>
        <v/>
      </c>
      <c r="L554" s="3" t="str">
        <f t="shared" si="6"/>
        <v/>
      </c>
      <c r="M554" s="3" t="str">
        <f t="shared" si="7"/>
        <v/>
      </c>
    </row>
    <row r="555" ht="15.0" customHeight="1">
      <c r="A555" s="3" t="str">
        <f>IF(Equips_usuari!A555="","",Equips_usuari!A555)</f>
        <v/>
      </c>
      <c r="B555" s="3" t="str">
        <f>IF(Equips_usuari!B555="","",Equips_usuari!B555)</f>
        <v/>
      </c>
      <c r="C555" s="3" t="str">
        <f>IF(Equips_usuari!C555="","",Equips_usuari!C555)</f>
        <v/>
      </c>
      <c r="D555" s="3" t="str">
        <f>IF(Equips_usuari!D555="","",Equips_usuari!D555)</f>
        <v/>
      </c>
      <c r="E555" s="3" t="str">
        <f>IF(Equips_usuari!F555="","",Equips_usuari!F555)</f>
        <v/>
      </c>
      <c r="F555" s="3" t="str">
        <f>IF($C555="","",SUMIFS(Resultats_jugadores!$C:$C,Resultats_jugadores!$A:$A,$A555,Resultats_jugadores!$B:$B,$C555))</f>
        <v/>
      </c>
      <c r="G555" s="3" t="str">
        <f>IF($C555="","",SUMIFS(Resultats_jugadores!$D:$D,Resultats_jugadores!$A:$A,$A555,Resultats_jugadores!$B:$B,$C555))</f>
        <v/>
      </c>
      <c r="H555" s="3" t="str">
        <f t="shared" si="3"/>
        <v/>
      </c>
      <c r="I555" s="3" t="str">
        <f t="array" ref="I555">IF($C555="","",IFERROR(INDEX(Partits!$C:$C,MATCH($A555&amp;"_"&amp;$D555,Partits!$D:$D,0)),""))</f>
        <v/>
      </c>
      <c r="J555" s="3" t="str">
        <f t="shared" si="4"/>
        <v/>
      </c>
      <c r="K555" s="3" t="str">
        <f t="shared" si="5"/>
        <v/>
      </c>
      <c r="L555" s="3" t="str">
        <f t="shared" si="6"/>
        <v/>
      </c>
      <c r="M555" s="3" t="str">
        <f t="shared" si="7"/>
        <v/>
      </c>
    </row>
    <row r="556" ht="15.0" customHeight="1">
      <c r="A556" s="3" t="str">
        <f>IF(Equips_usuari!A556="","",Equips_usuari!A556)</f>
        <v/>
      </c>
      <c r="B556" s="3" t="str">
        <f>IF(Equips_usuari!B556="","",Equips_usuari!B556)</f>
        <v/>
      </c>
      <c r="C556" s="3" t="str">
        <f>IF(Equips_usuari!C556="","",Equips_usuari!C556)</f>
        <v/>
      </c>
      <c r="D556" s="3" t="str">
        <f>IF(Equips_usuari!D556="","",Equips_usuari!D556)</f>
        <v/>
      </c>
      <c r="E556" s="3" t="str">
        <f>IF(Equips_usuari!F556="","",Equips_usuari!F556)</f>
        <v/>
      </c>
      <c r="F556" s="3" t="str">
        <f>IF($C556="","",SUMIFS(Resultats_jugadores!$C:$C,Resultats_jugadores!$A:$A,$A556,Resultats_jugadores!$B:$B,$C556))</f>
        <v/>
      </c>
      <c r="G556" s="3" t="str">
        <f>IF($C556="","",SUMIFS(Resultats_jugadores!$D:$D,Resultats_jugadores!$A:$A,$A556,Resultats_jugadores!$B:$B,$C556))</f>
        <v/>
      </c>
      <c r="H556" s="3" t="str">
        <f t="shared" si="3"/>
        <v/>
      </c>
      <c r="I556" s="3" t="str">
        <f t="array" ref="I556">IF($C556="","",IFERROR(INDEX(Partits!$C:$C,MATCH($A556&amp;"_"&amp;$D556,Partits!$D:$D,0)),""))</f>
        <v/>
      </c>
      <c r="J556" s="3" t="str">
        <f t="shared" si="4"/>
        <v/>
      </c>
      <c r="K556" s="3" t="str">
        <f t="shared" si="5"/>
        <v/>
      </c>
      <c r="L556" s="3" t="str">
        <f t="shared" si="6"/>
        <v/>
      </c>
      <c r="M556" s="3" t="str">
        <f t="shared" si="7"/>
        <v/>
      </c>
    </row>
    <row r="557" ht="15.0" customHeight="1">
      <c r="A557" s="3" t="str">
        <f>IF(Equips_usuari!A557="","",Equips_usuari!A557)</f>
        <v/>
      </c>
      <c r="B557" s="3" t="str">
        <f>IF(Equips_usuari!B557="","",Equips_usuari!B557)</f>
        <v/>
      </c>
      <c r="C557" s="3" t="str">
        <f>IF(Equips_usuari!C557="","",Equips_usuari!C557)</f>
        <v/>
      </c>
      <c r="D557" s="3" t="str">
        <f>IF(Equips_usuari!D557="","",Equips_usuari!D557)</f>
        <v/>
      </c>
      <c r="E557" s="3" t="str">
        <f>IF(Equips_usuari!F557="","",Equips_usuari!F557)</f>
        <v/>
      </c>
      <c r="F557" s="3" t="str">
        <f>IF($C557="","",SUMIFS(Resultats_jugadores!$C:$C,Resultats_jugadores!$A:$A,$A557,Resultats_jugadores!$B:$B,$C557))</f>
        <v/>
      </c>
      <c r="G557" s="3" t="str">
        <f>IF($C557="","",SUMIFS(Resultats_jugadores!$D:$D,Resultats_jugadores!$A:$A,$A557,Resultats_jugadores!$B:$B,$C557))</f>
        <v/>
      </c>
      <c r="H557" s="3" t="str">
        <f t="shared" si="3"/>
        <v/>
      </c>
      <c r="I557" s="3" t="str">
        <f t="array" ref="I557">IF($C557="","",IFERROR(INDEX(Partits!$C:$C,MATCH($A557&amp;"_"&amp;$D557,Partits!$D:$D,0)),""))</f>
        <v/>
      </c>
      <c r="J557" s="3" t="str">
        <f t="shared" si="4"/>
        <v/>
      </c>
      <c r="K557" s="3" t="str">
        <f t="shared" si="5"/>
        <v/>
      </c>
      <c r="L557" s="3" t="str">
        <f t="shared" si="6"/>
        <v/>
      </c>
      <c r="M557" s="3" t="str">
        <f t="shared" si="7"/>
        <v/>
      </c>
    </row>
    <row r="558" ht="15.0" customHeight="1">
      <c r="A558" s="3" t="str">
        <f>IF(Equips_usuari!A558="","",Equips_usuari!A558)</f>
        <v/>
      </c>
      <c r="B558" s="3" t="str">
        <f>IF(Equips_usuari!B558="","",Equips_usuari!B558)</f>
        <v/>
      </c>
      <c r="C558" s="3" t="str">
        <f>IF(Equips_usuari!C558="","",Equips_usuari!C558)</f>
        <v/>
      </c>
      <c r="D558" s="3" t="str">
        <f>IF(Equips_usuari!D558="","",Equips_usuari!D558)</f>
        <v/>
      </c>
      <c r="E558" s="3" t="str">
        <f>IF(Equips_usuari!F558="","",Equips_usuari!F558)</f>
        <v/>
      </c>
      <c r="F558" s="3" t="str">
        <f>IF($C558="","",SUMIFS(Resultats_jugadores!$C:$C,Resultats_jugadores!$A:$A,$A558,Resultats_jugadores!$B:$B,$C558))</f>
        <v/>
      </c>
      <c r="G558" s="3" t="str">
        <f>IF($C558="","",SUMIFS(Resultats_jugadores!$D:$D,Resultats_jugadores!$A:$A,$A558,Resultats_jugadores!$B:$B,$C558))</f>
        <v/>
      </c>
      <c r="H558" s="3" t="str">
        <f t="shared" si="3"/>
        <v/>
      </c>
      <c r="I558" s="3" t="str">
        <f t="array" ref="I558">IF($C558="","",IFERROR(INDEX(Partits!$C:$C,MATCH($A558&amp;"_"&amp;$D558,Partits!$D:$D,0)),""))</f>
        <v/>
      </c>
      <c r="J558" s="3" t="str">
        <f t="shared" si="4"/>
        <v/>
      </c>
      <c r="K558" s="3" t="str">
        <f t="shared" si="5"/>
        <v/>
      </c>
      <c r="L558" s="3" t="str">
        <f t="shared" si="6"/>
        <v/>
      </c>
      <c r="M558" s="3" t="str">
        <f t="shared" si="7"/>
        <v/>
      </c>
    </row>
    <row r="559" ht="15.0" customHeight="1">
      <c r="A559" s="3" t="str">
        <f>IF(Equips_usuari!A559="","",Equips_usuari!A559)</f>
        <v/>
      </c>
      <c r="B559" s="3" t="str">
        <f>IF(Equips_usuari!B559="","",Equips_usuari!B559)</f>
        <v/>
      </c>
      <c r="C559" s="3" t="str">
        <f>IF(Equips_usuari!C559="","",Equips_usuari!C559)</f>
        <v/>
      </c>
      <c r="D559" s="3" t="str">
        <f>IF(Equips_usuari!D559="","",Equips_usuari!D559)</f>
        <v/>
      </c>
      <c r="E559" s="3" t="str">
        <f>IF(Equips_usuari!F559="","",Equips_usuari!F559)</f>
        <v/>
      </c>
      <c r="F559" s="3" t="str">
        <f>IF($C559="","",SUMIFS(Resultats_jugadores!$C:$C,Resultats_jugadores!$A:$A,$A559,Resultats_jugadores!$B:$B,$C559))</f>
        <v/>
      </c>
      <c r="G559" s="3" t="str">
        <f>IF($C559="","",SUMIFS(Resultats_jugadores!$D:$D,Resultats_jugadores!$A:$A,$A559,Resultats_jugadores!$B:$B,$C559))</f>
        <v/>
      </c>
      <c r="H559" s="3" t="str">
        <f t="shared" si="3"/>
        <v/>
      </c>
      <c r="I559" s="3" t="str">
        <f t="array" ref="I559">IF($C559="","",IFERROR(INDEX(Partits!$C:$C,MATCH($A559&amp;"_"&amp;$D559,Partits!$D:$D,0)),""))</f>
        <v/>
      </c>
      <c r="J559" s="3" t="str">
        <f t="shared" si="4"/>
        <v/>
      </c>
      <c r="K559" s="3" t="str">
        <f t="shared" si="5"/>
        <v/>
      </c>
      <c r="L559" s="3" t="str">
        <f t="shared" si="6"/>
        <v/>
      </c>
      <c r="M559" s="3" t="str">
        <f t="shared" si="7"/>
        <v/>
      </c>
    </row>
    <row r="560" ht="15.0" customHeight="1">
      <c r="A560" s="3" t="str">
        <f>IF(Equips_usuari!A560="","",Equips_usuari!A560)</f>
        <v/>
      </c>
      <c r="B560" s="3" t="str">
        <f>IF(Equips_usuari!B560="","",Equips_usuari!B560)</f>
        <v/>
      </c>
      <c r="C560" s="3" t="str">
        <f>IF(Equips_usuari!C560="","",Equips_usuari!C560)</f>
        <v/>
      </c>
      <c r="D560" s="3" t="str">
        <f>IF(Equips_usuari!D560="","",Equips_usuari!D560)</f>
        <v/>
      </c>
      <c r="E560" s="3" t="str">
        <f>IF(Equips_usuari!F560="","",Equips_usuari!F560)</f>
        <v/>
      </c>
      <c r="F560" s="3" t="str">
        <f>IF($C560="","",SUMIFS(Resultats_jugadores!$C:$C,Resultats_jugadores!$A:$A,$A560,Resultats_jugadores!$B:$B,$C560))</f>
        <v/>
      </c>
      <c r="G560" s="3" t="str">
        <f>IF($C560="","",SUMIFS(Resultats_jugadores!$D:$D,Resultats_jugadores!$A:$A,$A560,Resultats_jugadores!$B:$B,$C560))</f>
        <v/>
      </c>
      <c r="H560" s="3" t="str">
        <f t="shared" si="3"/>
        <v/>
      </c>
      <c r="I560" s="3" t="str">
        <f t="array" ref="I560">IF($C560="","",IFERROR(INDEX(Partits!$C:$C,MATCH($A560&amp;"_"&amp;$D560,Partits!$D:$D,0)),""))</f>
        <v/>
      </c>
      <c r="J560" s="3" t="str">
        <f t="shared" si="4"/>
        <v/>
      </c>
      <c r="K560" s="3" t="str">
        <f t="shared" si="5"/>
        <v/>
      </c>
      <c r="L560" s="3" t="str">
        <f t="shared" si="6"/>
        <v/>
      </c>
      <c r="M560" s="3" t="str">
        <f t="shared" si="7"/>
        <v/>
      </c>
    </row>
    <row r="561" ht="15.0" customHeight="1">
      <c r="A561" s="3" t="str">
        <f>IF(Equips_usuari!A561="","",Equips_usuari!A561)</f>
        <v/>
      </c>
      <c r="B561" s="3" t="str">
        <f>IF(Equips_usuari!B561="","",Equips_usuari!B561)</f>
        <v/>
      </c>
      <c r="C561" s="3" t="str">
        <f>IF(Equips_usuari!C561="","",Equips_usuari!C561)</f>
        <v/>
      </c>
      <c r="D561" s="3" t="str">
        <f>IF(Equips_usuari!D561="","",Equips_usuari!D561)</f>
        <v/>
      </c>
      <c r="E561" s="3" t="str">
        <f>IF(Equips_usuari!F561="","",Equips_usuari!F561)</f>
        <v/>
      </c>
      <c r="F561" s="3" t="str">
        <f>IF($C561="","",SUMIFS(Resultats_jugadores!$C:$C,Resultats_jugadores!$A:$A,$A561,Resultats_jugadores!$B:$B,$C561))</f>
        <v/>
      </c>
      <c r="G561" s="3" t="str">
        <f>IF($C561="","",SUMIFS(Resultats_jugadores!$D:$D,Resultats_jugadores!$A:$A,$A561,Resultats_jugadores!$B:$B,$C561))</f>
        <v/>
      </c>
      <c r="H561" s="3" t="str">
        <f t="shared" si="3"/>
        <v/>
      </c>
      <c r="I561" s="3" t="str">
        <f t="array" ref="I561">IF($C561="","",IFERROR(INDEX(Partits!$C:$C,MATCH($A561&amp;"_"&amp;$D561,Partits!$D:$D,0)),""))</f>
        <v/>
      </c>
      <c r="J561" s="3" t="str">
        <f t="shared" si="4"/>
        <v/>
      </c>
      <c r="K561" s="3" t="str">
        <f t="shared" si="5"/>
        <v/>
      </c>
      <c r="L561" s="3" t="str">
        <f t="shared" si="6"/>
        <v/>
      </c>
      <c r="M561" s="3" t="str">
        <f t="shared" si="7"/>
        <v/>
      </c>
    </row>
    <row r="562" ht="15.0" customHeight="1">
      <c r="A562" s="3" t="str">
        <f>IF(Equips_usuari!A562="","",Equips_usuari!A562)</f>
        <v/>
      </c>
      <c r="B562" s="3" t="str">
        <f>IF(Equips_usuari!B562="","",Equips_usuari!B562)</f>
        <v/>
      </c>
      <c r="C562" s="3" t="str">
        <f>IF(Equips_usuari!C562="","",Equips_usuari!C562)</f>
        <v/>
      </c>
      <c r="D562" s="3" t="str">
        <f>IF(Equips_usuari!D562="","",Equips_usuari!D562)</f>
        <v/>
      </c>
      <c r="E562" s="3" t="str">
        <f>IF(Equips_usuari!F562="","",Equips_usuari!F562)</f>
        <v/>
      </c>
      <c r="F562" s="3" t="str">
        <f>IF($C562="","",SUMIFS(Resultats_jugadores!$C:$C,Resultats_jugadores!$A:$A,$A562,Resultats_jugadores!$B:$B,$C562))</f>
        <v/>
      </c>
      <c r="G562" s="3" t="str">
        <f>IF($C562="","",SUMIFS(Resultats_jugadores!$D:$D,Resultats_jugadores!$A:$A,$A562,Resultats_jugadores!$B:$B,$C562))</f>
        <v/>
      </c>
      <c r="H562" s="3" t="str">
        <f t="shared" si="3"/>
        <v/>
      </c>
      <c r="I562" s="3" t="str">
        <f t="array" ref="I562">IF($C562="","",IFERROR(INDEX(Partits!$C:$C,MATCH($A562&amp;"_"&amp;$D562,Partits!$D:$D,0)),""))</f>
        <v/>
      </c>
      <c r="J562" s="3" t="str">
        <f t="shared" si="4"/>
        <v/>
      </c>
      <c r="K562" s="3" t="str">
        <f t="shared" si="5"/>
        <v/>
      </c>
      <c r="L562" s="3" t="str">
        <f t="shared" si="6"/>
        <v/>
      </c>
      <c r="M562" s="3" t="str">
        <f t="shared" si="7"/>
        <v/>
      </c>
    </row>
    <row r="563" ht="15.0" customHeight="1">
      <c r="A563" s="3" t="str">
        <f>IF(Equips_usuari!A563="","",Equips_usuari!A563)</f>
        <v/>
      </c>
      <c r="B563" s="3" t="str">
        <f>IF(Equips_usuari!B563="","",Equips_usuari!B563)</f>
        <v/>
      </c>
      <c r="C563" s="3" t="str">
        <f>IF(Equips_usuari!C563="","",Equips_usuari!C563)</f>
        <v/>
      </c>
      <c r="D563" s="3" t="str">
        <f>IF(Equips_usuari!D563="","",Equips_usuari!D563)</f>
        <v/>
      </c>
      <c r="E563" s="3" t="str">
        <f>IF(Equips_usuari!F563="","",Equips_usuari!F563)</f>
        <v/>
      </c>
      <c r="F563" s="3" t="str">
        <f>IF($C563="","",SUMIFS(Resultats_jugadores!$C:$C,Resultats_jugadores!$A:$A,$A563,Resultats_jugadores!$B:$B,$C563))</f>
        <v/>
      </c>
      <c r="G563" s="3" t="str">
        <f>IF($C563="","",SUMIFS(Resultats_jugadores!$D:$D,Resultats_jugadores!$A:$A,$A563,Resultats_jugadores!$B:$B,$C563))</f>
        <v/>
      </c>
      <c r="H563" s="3" t="str">
        <f t="shared" si="3"/>
        <v/>
      </c>
      <c r="I563" s="3" t="str">
        <f t="array" ref="I563">IF($C563="","",IFERROR(INDEX(Partits!$C:$C,MATCH($A563&amp;"_"&amp;$D563,Partits!$D:$D,0)),""))</f>
        <v/>
      </c>
      <c r="J563" s="3" t="str">
        <f t="shared" si="4"/>
        <v/>
      </c>
      <c r="K563" s="3" t="str">
        <f t="shared" si="5"/>
        <v/>
      </c>
      <c r="L563" s="3" t="str">
        <f t="shared" si="6"/>
        <v/>
      </c>
      <c r="M563" s="3" t="str">
        <f t="shared" si="7"/>
        <v/>
      </c>
    </row>
    <row r="564" ht="15.0" customHeight="1">
      <c r="A564" s="3" t="str">
        <f>IF(Equips_usuari!A564="","",Equips_usuari!A564)</f>
        <v/>
      </c>
      <c r="B564" s="3" t="str">
        <f>IF(Equips_usuari!B564="","",Equips_usuari!B564)</f>
        <v/>
      </c>
      <c r="C564" s="3" t="str">
        <f>IF(Equips_usuari!C564="","",Equips_usuari!C564)</f>
        <v/>
      </c>
      <c r="D564" s="3" t="str">
        <f>IF(Equips_usuari!D564="","",Equips_usuari!D564)</f>
        <v/>
      </c>
      <c r="E564" s="3" t="str">
        <f>IF(Equips_usuari!F564="","",Equips_usuari!F564)</f>
        <v/>
      </c>
      <c r="F564" s="3" t="str">
        <f>IF($C564="","",SUMIFS(Resultats_jugadores!$C:$C,Resultats_jugadores!$A:$A,$A564,Resultats_jugadores!$B:$B,$C564))</f>
        <v/>
      </c>
      <c r="G564" s="3" t="str">
        <f>IF($C564="","",SUMIFS(Resultats_jugadores!$D:$D,Resultats_jugadores!$A:$A,$A564,Resultats_jugadores!$B:$B,$C564))</f>
        <v/>
      </c>
      <c r="H564" s="3" t="str">
        <f t="shared" si="3"/>
        <v/>
      </c>
      <c r="I564" s="3" t="str">
        <f t="array" ref="I564">IF($C564="","",IFERROR(INDEX(Partits!$C:$C,MATCH($A564&amp;"_"&amp;$D564,Partits!$D:$D,0)),""))</f>
        <v/>
      </c>
      <c r="J564" s="3" t="str">
        <f t="shared" si="4"/>
        <v/>
      </c>
      <c r="K564" s="3" t="str">
        <f t="shared" si="5"/>
        <v/>
      </c>
      <c r="L564" s="3" t="str">
        <f t="shared" si="6"/>
        <v/>
      </c>
      <c r="M564" s="3" t="str">
        <f t="shared" si="7"/>
        <v/>
      </c>
    </row>
    <row r="565" ht="15.0" customHeight="1">
      <c r="A565" s="3" t="str">
        <f>IF(Equips_usuari!A565="","",Equips_usuari!A565)</f>
        <v/>
      </c>
      <c r="B565" s="3" t="str">
        <f>IF(Equips_usuari!B565="","",Equips_usuari!B565)</f>
        <v/>
      </c>
      <c r="C565" s="3" t="str">
        <f>IF(Equips_usuari!C565="","",Equips_usuari!C565)</f>
        <v/>
      </c>
      <c r="D565" s="3" t="str">
        <f>IF(Equips_usuari!D565="","",Equips_usuari!D565)</f>
        <v/>
      </c>
      <c r="E565" s="3" t="str">
        <f>IF(Equips_usuari!F565="","",Equips_usuari!F565)</f>
        <v/>
      </c>
      <c r="F565" s="3" t="str">
        <f>IF($C565="","",SUMIFS(Resultats_jugadores!$C:$C,Resultats_jugadores!$A:$A,$A565,Resultats_jugadores!$B:$B,$C565))</f>
        <v/>
      </c>
      <c r="G565" s="3" t="str">
        <f>IF($C565="","",SUMIFS(Resultats_jugadores!$D:$D,Resultats_jugadores!$A:$A,$A565,Resultats_jugadores!$B:$B,$C565))</f>
        <v/>
      </c>
      <c r="H565" s="3" t="str">
        <f t="shared" si="3"/>
        <v/>
      </c>
      <c r="I565" s="3" t="str">
        <f t="array" ref="I565">IF($C565="","",IFERROR(INDEX(Partits!$C:$C,MATCH($A565&amp;"_"&amp;$D565,Partits!$D:$D,0)),""))</f>
        <v/>
      </c>
      <c r="J565" s="3" t="str">
        <f t="shared" si="4"/>
        <v/>
      </c>
      <c r="K565" s="3" t="str">
        <f t="shared" si="5"/>
        <v/>
      </c>
      <c r="L565" s="3" t="str">
        <f t="shared" si="6"/>
        <v/>
      </c>
      <c r="M565" s="3" t="str">
        <f t="shared" si="7"/>
        <v/>
      </c>
    </row>
    <row r="566" ht="15.0" customHeight="1">
      <c r="A566" s="3" t="str">
        <f>IF(Equips_usuari!A566="","",Equips_usuari!A566)</f>
        <v/>
      </c>
      <c r="B566" s="3" t="str">
        <f>IF(Equips_usuari!B566="","",Equips_usuari!B566)</f>
        <v/>
      </c>
      <c r="C566" s="3" t="str">
        <f>IF(Equips_usuari!C566="","",Equips_usuari!C566)</f>
        <v/>
      </c>
      <c r="D566" s="3" t="str">
        <f>IF(Equips_usuari!D566="","",Equips_usuari!D566)</f>
        <v/>
      </c>
      <c r="E566" s="3" t="str">
        <f>IF(Equips_usuari!F566="","",Equips_usuari!F566)</f>
        <v/>
      </c>
      <c r="F566" s="3" t="str">
        <f>IF($C566="","",SUMIFS(Resultats_jugadores!$C:$C,Resultats_jugadores!$A:$A,$A566,Resultats_jugadores!$B:$B,$C566))</f>
        <v/>
      </c>
      <c r="G566" s="3" t="str">
        <f>IF($C566="","",SUMIFS(Resultats_jugadores!$D:$D,Resultats_jugadores!$A:$A,$A566,Resultats_jugadores!$B:$B,$C566))</f>
        <v/>
      </c>
      <c r="H566" s="3" t="str">
        <f t="shared" si="3"/>
        <v/>
      </c>
      <c r="I566" s="3" t="str">
        <f t="array" ref="I566">IF($C566="","",IFERROR(INDEX(Partits!$C:$C,MATCH($A566&amp;"_"&amp;$D566,Partits!$D:$D,0)),""))</f>
        <v/>
      </c>
      <c r="J566" s="3" t="str">
        <f t="shared" si="4"/>
        <v/>
      </c>
      <c r="K566" s="3" t="str">
        <f t="shared" si="5"/>
        <v/>
      </c>
      <c r="L566" s="3" t="str">
        <f t="shared" si="6"/>
        <v/>
      </c>
      <c r="M566" s="3" t="str">
        <f t="shared" si="7"/>
        <v/>
      </c>
    </row>
    <row r="567" ht="15.0" customHeight="1">
      <c r="A567" s="3" t="str">
        <f>IF(Equips_usuari!A567="","",Equips_usuari!A567)</f>
        <v/>
      </c>
      <c r="B567" s="3" t="str">
        <f>IF(Equips_usuari!B567="","",Equips_usuari!B567)</f>
        <v/>
      </c>
      <c r="C567" s="3" t="str">
        <f>IF(Equips_usuari!C567="","",Equips_usuari!C567)</f>
        <v/>
      </c>
      <c r="D567" s="3" t="str">
        <f>IF(Equips_usuari!D567="","",Equips_usuari!D567)</f>
        <v/>
      </c>
      <c r="E567" s="3" t="str">
        <f>IF(Equips_usuari!F567="","",Equips_usuari!F567)</f>
        <v/>
      </c>
      <c r="F567" s="3" t="str">
        <f>IF($C567="","",SUMIFS(Resultats_jugadores!$C:$C,Resultats_jugadores!$A:$A,$A567,Resultats_jugadores!$B:$B,$C567))</f>
        <v/>
      </c>
      <c r="G567" s="3" t="str">
        <f>IF($C567="","",SUMIFS(Resultats_jugadores!$D:$D,Resultats_jugadores!$A:$A,$A567,Resultats_jugadores!$B:$B,$C567))</f>
        <v/>
      </c>
      <c r="H567" s="3" t="str">
        <f t="shared" si="3"/>
        <v/>
      </c>
      <c r="I567" s="3" t="str">
        <f t="array" ref="I567">IF($C567="","",IFERROR(INDEX(Partits!$C:$C,MATCH($A567&amp;"_"&amp;$D567,Partits!$D:$D,0)),""))</f>
        <v/>
      </c>
      <c r="J567" s="3" t="str">
        <f t="shared" si="4"/>
        <v/>
      </c>
      <c r="K567" s="3" t="str">
        <f t="shared" si="5"/>
        <v/>
      </c>
      <c r="L567" s="3" t="str">
        <f t="shared" si="6"/>
        <v/>
      </c>
      <c r="M567" s="3" t="str">
        <f t="shared" si="7"/>
        <v/>
      </c>
    </row>
    <row r="568" ht="15.0" customHeight="1">
      <c r="A568" s="3" t="str">
        <f>IF(Equips_usuari!A568="","",Equips_usuari!A568)</f>
        <v/>
      </c>
      <c r="B568" s="3" t="str">
        <f>IF(Equips_usuari!B568="","",Equips_usuari!B568)</f>
        <v/>
      </c>
      <c r="C568" s="3" t="str">
        <f>IF(Equips_usuari!C568="","",Equips_usuari!C568)</f>
        <v/>
      </c>
      <c r="D568" s="3" t="str">
        <f>IF(Equips_usuari!D568="","",Equips_usuari!D568)</f>
        <v/>
      </c>
      <c r="E568" s="3" t="str">
        <f>IF(Equips_usuari!F568="","",Equips_usuari!F568)</f>
        <v/>
      </c>
      <c r="F568" s="3" t="str">
        <f>IF($C568="","",SUMIFS(Resultats_jugadores!$C:$C,Resultats_jugadores!$A:$A,$A568,Resultats_jugadores!$B:$B,$C568))</f>
        <v/>
      </c>
      <c r="G568" s="3" t="str">
        <f>IF($C568="","",SUMIFS(Resultats_jugadores!$D:$D,Resultats_jugadores!$A:$A,$A568,Resultats_jugadores!$B:$B,$C568))</f>
        <v/>
      </c>
      <c r="H568" s="3" t="str">
        <f t="shared" si="3"/>
        <v/>
      </c>
      <c r="I568" s="3" t="str">
        <f t="array" ref="I568">IF($C568="","",IFERROR(INDEX(Partits!$C:$C,MATCH($A568&amp;"_"&amp;$D568,Partits!$D:$D,0)),""))</f>
        <v/>
      </c>
      <c r="J568" s="3" t="str">
        <f t="shared" si="4"/>
        <v/>
      </c>
      <c r="K568" s="3" t="str">
        <f t="shared" si="5"/>
        <v/>
      </c>
      <c r="L568" s="3" t="str">
        <f t="shared" si="6"/>
        <v/>
      </c>
      <c r="M568" s="3" t="str">
        <f t="shared" si="7"/>
        <v/>
      </c>
    </row>
    <row r="569" ht="15.0" customHeight="1">
      <c r="A569" s="3" t="str">
        <f>IF(Equips_usuari!A569="","",Equips_usuari!A569)</f>
        <v/>
      </c>
      <c r="B569" s="3" t="str">
        <f>IF(Equips_usuari!B569="","",Equips_usuari!B569)</f>
        <v/>
      </c>
      <c r="C569" s="3" t="str">
        <f>IF(Equips_usuari!C569="","",Equips_usuari!C569)</f>
        <v/>
      </c>
      <c r="D569" s="3" t="str">
        <f>IF(Equips_usuari!D569="","",Equips_usuari!D569)</f>
        <v/>
      </c>
      <c r="E569" s="3" t="str">
        <f>IF(Equips_usuari!F569="","",Equips_usuari!F569)</f>
        <v/>
      </c>
      <c r="F569" s="3" t="str">
        <f>IF($C569="","",SUMIFS(Resultats_jugadores!$C:$C,Resultats_jugadores!$A:$A,$A569,Resultats_jugadores!$B:$B,$C569))</f>
        <v/>
      </c>
      <c r="G569" s="3" t="str">
        <f>IF($C569="","",SUMIFS(Resultats_jugadores!$D:$D,Resultats_jugadores!$A:$A,$A569,Resultats_jugadores!$B:$B,$C569))</f>
        <v/>
      </c>
      <c r="H569" s="3" t="str">
        <f t="shared" si="3"/>
        <v/>
      </c>
      <c r="I569" s="3" t="str">
        <f t="array" ref="I569">IF($C569="","",IFERROR(INDEX(Partits!$C:$C,MATCH($A569&amp;"_"&amp;$D569,Partits!$D:$D,0)),""))</f>
        <v/>
      </c>
      <c r="J569" s="3" t="str">
        <f t="shared" si="4"/>
        <v/>
      </c>
      <c r="K569" s="3" t="str">
        <f t="shared" si="5"/>
        <v/>
      </c>
      <c r="L569" s="3" t="str">
        <f t="shared" si="6"/>
        <v/>
      </c>
      <c r="M569" s="3" t="str">
        <f t="shared" si="7"/>
        <v/>
      </c>
    </row>
    <row r="570" ht="15.0" customHeight="1">
      <c r="A570" s="3" t="str">
        <f>IF(Equips_usuari!A570="","",Equips_usuari!A570)</f>
        <v/>
      </c>
      <c r="B570" s="3" t="str">
        <f>IF(Equips_usuari!B570="","",Equips_usuari!B570)</f>
        <v/>
      </c>
      <c r="C570" s="3" t="str">
        <f>IF(Equips_usuari!C570="","",Equips_usuari!C570)</f>
        <v/>
      </c>
      <c r="D570" s="3" t="str">
        <f>IF(Equips_usuari!D570="","",Equips_usuari!D570)</f>
        <v/>
      </c>
      <c r="E570" s="3" t="str">
        <f>IF(Equips_usuari!F570="","",Equips_usuari!F570)</f>
        <v/>
      </c>
      <c r="F570" s="3" t="str">
        <f>IF($C570="","",SUMIFS(Resultats_jugadores!$C:$C,Resultats_jugadores!$A:$A,$A570,Resultats_jugadores!$B:$B,$C570))</f>
        <v/>
      </c>
      <c r="G570" s="3" t="str">
        <f>IF($C570="","",SUMIFS(Resultats_jugadores!$D:$D,Resultats_jugadores!$A:$A,$A570,Resultats_jugadores!$B:$B,$C570))</f>
        <v/>
      </c>
      <c r="H570" s="3" t="str">
        <f t="shared" si="3"/>
        <v/>
      </c>
      <c r="I570" s="3" t="str">
        <f t="array" ref="I570">IF($C570="","",IFERROR(INDEX(Partits!$C:$C,MATCH($A570&amp;"_"&amp;$D570,Partits!$D:$D,0)),""))</f>
        <v/>
      </c>
      <c r="J570" s="3" t="str">
        <f t="shared" si="4"/>
        <v/>
      </c>
      <c r="K570" s="3" t="str">
        <f t="shared" si="5"/>
        <v/>
      </c>
      <c r="L570" s="3" t="str">
        <f t="shared" si="6"/>
        <v/>
      </c>
      <c r="M570" s="3" t="str">
        <f t="shared" si="7"/>
        <v/>
      </c>
    </row>
    <row r="571" ht="15.0" customHeight="1">
      <c r="A571" s="3" t="str">
        <f>IF(Equips_usuari!A571="","",Equips_usuari!A571)</f>
        <v/>
      </c>
      <c r="B571" s="3" t="str">
        <f>IF(Equips_usuari!B571="","",Equips_usuari!B571)</f>
        <v/>
      </c>
      <c r="C571" s="3" t="str">
        <f>IF(Equips_usuari!C571="","",Equips_usuari!C571)</f>
        <v/>
      </c>
      <c r="D571" s="3" t="str">
        <f>IF(Equips_usuari!D571="","",Equips_usuari!D571)</f>
        <v/>
      </c>
      <c r="E571" s="3" t="str">
        <f>IF(Equips_usuari!F571="","",Equips_usuari!F571)</f>
        <v/>
      </c>
      <c r="F571" s="3" t="str">
        <f>IF($C571="","",SUMIFS(Resultats_jugadores!$C:$C,Resultats_jugadores!$A:$A,$A571,Resultats_jugadores!$B:$B,$C571))</f>
        <v/>
      </c>
      <c r="G571" s="3" t="str">
        <f>IF($C571="","",SUMIFS(Resultats_jugadores!$D:$D,Resultats_jugadores!$A:$A,$A571,Resultats_jugadores!$B:$B,$C571))</f>
        <v/>
      </c>
      <c r="H571" s="3" t="str">
        <f t="shared" si="3"/>
        <v/>
      </c>
      <c r="I571" s="3" t="str">
        <f t="array" ref="I571">IF($C571="","",IFERROR(INDEX(Partits!$C:$C,MATCH($A571&amp;"_"&amp;$D571,Partits!$D:$D,0)),""))</f>
        <v/>
      </c>
      <c r="J571" s="3" t="str">
        <f t="shared" si="4"/>
        <v/>
      </c>
      <c r="K571" s="3" t="str">
        <f t="shared" si="5"/>
        <v/>
      </c>
      <c r="L571" s="3" t="str">
        <f t="shared" si="6"/>
        <v/>
      </c>
      <c r="M571" s="3" t="str">
        <f t="shared" si="7"/>
        <v/>
      </c>
    </row>
    <row r="572" ht="15.0" customHeight="1">
      <c r="A572" s="3" t="str">
        <f>IF(Equips_usuari!A572="","",Equips_usuari!A572)</f>
        <v/>
      </c>
      <c r="B572" s="3" t="str">
        <f>IF(Equips_usuari!B572="","",Equips_usuari!B572)</f>
        <v/>
      </c>
      <c r="C572" s="3" t="str">
        <f>IF(Equips_usuari!C572="","",Equips_usuari!C572)</f>
        <v/>
      </c>
      <c r="D572" s="3" t="str">
        <f>IF(Equips_usuari!D572="","",Equips_usuari!D572)</f>
        <v/>
      </c>
      <c r="E572" s="3" t="str">
        <f>IF(Equips_usuari!F572="","",Equips_usuari!F572)</f>
        <v/>
      </c>
      <c r="F572" s="3" t="str">
        <f>IF($C572="","",SUMIFS(Resultats_jugadores!$C:$C,Resultats_jugadores!$A:$A,$A572,Resultats_jugadores!$B:$B,$C572))</f>
        <v/>
      </c>
      <c r="G572" s="3" t="str">
        <f>IF($C572="","",SUMIFS(Resultats_jugadores!$D:$D,Resultats_jugadores!$A:$A,$A572,Resultats_jugadores!$B:$B,$C572))</f>
        <v/>
      </c>
      <c r="H572" s="3" t="str">
        <f t="shared" si="3"/>
        <v/>
      </c>
      <c r="I572" s="3" t="str">
        <f t="array" ref="I572">IF($C572="","",IFERROR(INDEX(Partits!$C:$C,MATCH($A572&amp;"_"&amp;$D572,Partits!$D:$D,0)),""))</f>
        <v/>
      </c>
      <c r="J572" s="3" t="str">
        <f t="shared" si="4"/>
        <v/>
      </c>
      <c r="K572" s="3" t="str">
        <f t="shared" si="5"/>
        <v/>
      </c>
      <c r="L572" s="3" t="str">
        <f t="shared" si="6"/>
        <v/>
      </c>
      <c r="M572" s="3" t="str">
        <f t="shared" si="7"/>
        <v/>
      </c>
    </row>
    <row r="573" ht="15.0" customHeight="1">
      <c r="A573" s="3" t="str">
        <f>IF(Equips_usuari!A573="","",Equips_usuari!A573)</f>
        <v/>
      </c>
      <c r="B573" s="3" t="str">
        <f>IF(Equips_usuari!B573="","",Equips_usuari!B573)</f>
        <v/>
      </c>
      <c r="C573" s="3" t="str">
        <f>IF(Equips_usuari!C573="","",Equips_usuari!C573)</f>
        <v/>
      </c>
      <c r="D573" s="3" t="str">
        <f>IF(Equips_usuari!D573="","",Equips_usuari!D573)</f>
        <v/>
      </c>
      <c r="E573" s="3" t="str">
        <f>IF(Equips_usuari!F573="","",Equips_usuari!F573)</f>
        <v/>
      </c>
      <c r="F573" s="3" t="str">
        <f>IF($C573="","",SUMIFS(Resultats_jugadores!$C:$C,Resultats_jugadores!$A:$A,$A573,Resultats_jugadores!$B:$B,$C573))</f>
        <v/>
      </c>
      <c r="G573" s="3" t="str">
        <f>IF($C573="","",SUMIFS(Resultats_jugadores!$D:$D,Resultats_jugadores!$A:$A,$A573,Resultats_jugadores!$B:$B,$C573))</f>
        <v/>
      </c>
      <c r="H573" s="3" t="str">
        <f t="shared" si="3"/>
        <v/>
      </c>
      <c r="I573" s="3" t="str">
        <f t="array" ref="I573">IF($C573="","",IFERROR(INDEX(Partits!$C:$C,MATCH($A573&amp;"_"&amp;$D573,Partits!$D:$D,0)),""))</f>
        <v/>
      </c>
      <c r="J573" s="3" t="str">
        <f t="shared" si="4"/>
        <v/>
      </c>
      <c r="K573" s="3" t="str">
        <f t="shared" si="5"/>
        <v/>
      </c>
      <c r="L573" s="3" t="str">
        <f t="shared" si="6"/>
        <v/>
      </c>
      <c r="M573" s="3" t="str">
        <f t="shared" si="7"/>
        <v/>
      </c>
    </row>
    <row r="574" ht="15.0" customHeight="1">
      <c r="A574" s="3" t="str">
        <f>IF(Equips_usuari!A574="","",Equips_usuari!A574)</f>
        <v/>
      </c>
      <c r="B574" s="3" t="str">
        <f>IF(Equips_usuari!B574="","",Equips_usuari!B574)</f>
        <v/>
      </c>
      <c r="C574" s="3" t="str">
        <f>IF(Equips_usuari!C574="","",Equips_usuari!C574)</f>
        <v/>
      </c>
      <c r="D574" s="3" t="str">
        <f>IF(Equips_usuari!D574="","",Equips_usuari!D574)</f>
        <v/>
      </c>
      <c r="E574" s="3" t="str">
        <f>IF(Equips_usuari!F574="","",Equips_usuari!F574)</f>
        <v/>
      </c>
      <c r="F574" s="3" t="str">
        <f>IF($C574="","",SUMIFS(Resultats_jugadores!$C:$C,Resultats_jugadores!$A:$A,$A574,Resultats_jugadores!$B:$B,$C574))</f>
        <v/>
      </c>
      <c r="G574" s="3" t="str">
        <f>IF($C574="","",SUMIFS(Resultats_jugadores!$D:$D,Resultats_jugadores!$A:$A,$A574,Resultats_jugadores!$B:$B,$C574))</f>
        <v/>
      </c>
      <c r="H574" s="3" t="str">
        <f t="shared" si="3"/>
        <v/>
      </c>
      <c r="I574" s="3" t="str">
        <f t="array" ref="I574">IF($C574="","",IFERROR(INDEX(Partits!$C:$C,MATCH($A574&amp;"_"&amp;$D574,Partits!$D:$D,0)),""))</f>
        <v/>
      </c>
      <c r="J574" s="3" t="str">
        <f t="shared" si="4"/>
        <v/>
      </c>
      <c r="K574" s="3" t="str">
        <f t="shared" si="5"/>
        <v/>
      </c>
      <c r="L574" s="3" t="str">
        <f t="shared" si="6"/>
        <v/>
      </c>
      <c r="M574" s="3" t="str">
        <f t="shared" si="7"/>
        <v/>
      </c>
    </row>
    <row r="575" ht="15.0" customHeight="1">
      <c r="A575" s="3" t="str">
        <f>IF(Equips_usuari!A575="","",Equips_usuari!A575)</f>
        <v/>
      </c>
      <c r="B575" s="3" t="str">
        <f>IF(Equips_usuari!B575="","",Equips_usuari!B575)</f>
        <v/>
      </c>
      <c r="C575" s="3" t="str">
        <f>IF(Equips_usuari!C575="","",Equips_usuari!C575)</f>
        <v/>
      </c>
      <c r="D575" s="3" t="str">
        <f>IF(Equips_usuari!D575="","",Equips_usuari!D575)</f>
        <v/>
      </c>
      <c r="E575" s="3" t="str">
        <f>IF(Equips_usuari!F575="","",Equips_usuari!F575)</f>
        <v/>
      </c>
      <c r="F575" s="3" t="str">
        <f>IF($C575="","",SUMIFS(Resultats_jugadores!$C:$C,Resultats_jugadores!$A:$A,$A575,Resultats_jugadores!$B:$B,$C575))</f>
        <v/>
      </c>
      <c r="G575" s="3" t="str">
        <f>IF($C575="","",SUMIFS(Resultats_jugadores!$D:$D,Resultats_jugadores!$A:$A,$A575,Resultats_jugadores!$B:$B,$C575))</f>
        <v/>
      </c>
      <c r="H575" s="3" t="str">
        <f t="shared" si="3"/>
        <v/>
      </c>
      <c r="I575" s="3" t="str">
        <f t="array" ref="I575">IF($C575="","",IFERROR(INDEX(Partits!$C:$C,MATCH($A575&amp;"_"&amp;$D575,Partits!$D:$D,0)),""))</f>
        <v/>
      </c>
      <c r="J575" s="3" t="str">
        <f t="shared" si="4"/>
        <v/>
      </c>
      <c r="K575" s="3" t="str">
        <f t="shared" si="5"/>
        <v/>
      </c>
      <c r="L575" s="3" t="str">
        <f t="shared" si="6"/>
        <v/>
      </c>
      <c r="M575" s="3" t="str">
        <f t="shared" si="7"/>
        <v/>
      </c>
    </row>
    <row r="576" ht="15.0" customHeight="1">
      <c r="A576" s="3" t="str">
        <f>IF(Equips_usuari!A576="","",Equips_usuari!A576)</f>
        <v/>
      </c>
      <c r="B576" s="3" t="str">
        <f>IF(Equips_usuari!B576="","",Equips_usuari!B576)</f>
        <v/>
      </c>
      <c r="C576" s="3" t="str">
        <f>IF(Equips_usuari!C576="","",Equips_usuari!C576)</f>
        <v/>
      </c>
      <c r="D576" s="3" t="str">
        <f>IF(Equips_usuari!D576="","",Equips_usuari!D576)</f>
        <v/>
      </c>
      <c r="E576" s="3" t="str">
        <f>IF(Equips_usuari!F576="","",Equips_usuari!F576)</f>
        <v/>
      </c>
      <c r="F576" s="3" t="str">
        <f>IF($C576="","",SUMIFS(Resultats_jugadores!$C:$C,Resultats_jugadores!$A:$A,$A576,Resultats_jugadores!$B:$B,$C576))</f>
        <v/>
      </c>
      <c r="G576" s="3" t="str">
        <f>IF($C576="","",SUMIFS(Resultats_jugadores!$D:$D,Resultats_jugadores!$A:$A,$A576,Resultats_jugadores!$B:$B,$C576))</f>
        <v/>
      </c>
      <c r="H576" s="3" t="str">
        <f t="shared" si="3"/>
        <v/>
      </c>
      <c r="I576" s="3" t="str">
        <f t="array" ref="I576">IF($C576="","",IFERROR(INDEX(Partits!$C:$C,MATCH($A576&amp;"_"&amp;$D576,Partits!$D:$D,0)),""))</f>
        <v/>
      </c>
      <c r="J576" s="3" t="str">
        <f t="shared" si="4"/>
        <v/>
      </c>
      <c r="K576" s="3" t="str">
        <f t="shared" si="5"/>
        <v/>
      </c>
      <c r="L576" s="3" t="str">
        <f t="shared" si="6"/>
        <v/>
      </c>
      <c r="M576" s="3" t="str">
        <f t="shared" si="7"/>
        <v/>
      </c>
    </row>
    <row r="577" ht="15.0" customHeight="1">
      <c r="A577" s="3" t="str">
        <f>IF(Equips_usuari!A577="","",Equips_usuari!A577)</f>
        <v/>
      </c>
      <c r="B577" s="3" t="str">
        <f>IF(Equips_usuari!B577="","",Equips_usuari!B577)</f>
        <v/>
      </c>
      <c r="C577" s="3" t="str">
        <f>IF(Equips_usuari!C577="","",Equips_usuari!C577)</f>
        <v/>
      </c>
      <c r="D577" s="3" t="str">
        <f>IF(Equips_usuari!D577="","",Equips_usuari!D577)</f>
        <v/>
      </c>
      <c r="E577" s="3" t="str">
        <f>IF(Equips_usuari!F577="","",Equips_usuari!F577)</f>
        <v/>
      </c>
      <c r="F577" s="3" t="str">
        <f>IF($C577="","",SUMIFS(Resultats_jugadores!$C:$C,Resultats_jugadores!$A:$A,$A577,Resultats_jugadores!$B:$B,$C577))</f>
        <v/>
      </c>
      <c r="G577" s="3" t="str">
        <f>IF($C577="","",SUMIFS(Resultats_jugadores!$D:$D,Resultats_jugadores!$A:$A,$A577,Resultats_jugadores!$B:$B,$C577))</f>
        <v/>
      </c>
      <c r="H577" s="3" t="str">
        <f t="shared" si="3"/>
        <v/>
      </c>
      <c r="I577" s="3" t="str">
        <f t="array" ref="I577">IF($C577="","",IFERROR(INDEX(Partits!$C:$C,MATCH($A577&amp;"_"&amp;$D577,Partits!$D:$D,0)),""))</f>
        <v/>
      </c>
      <c r="J577" s="3" t="str">
        <f t="shared" si="4"/>
        <v/>
      </c>
      <c r="K577" s="3" t="str">
        <f t="shared" si="5"/>
        <v/>
      </c>
      <c r="L577" s="3" t="str">
        <f t="shared" si="6"/>
        <v/>
      </c>
      <c r="M577" s="3" t="str">
        <f t="shared" si="7"/>
        <v/>
      </c>
    </row>
    <row r="578" ht="15.0" customHeight="1">
      <c r="A578" s="3" t="str">
        <f>IF(Equips_usuari!A578="","",Equips_usuari!A578)</f>
        <v/>
      </c>
      <c r="B578" s="3" t="str">
        <f>IF(Equips_usuari!B578="","",Equips_usuari!B578)</f>
        <v/>
      </c>
      <c r="C578" s="3" t="str">
        <f>IF(Equips_usuari!C578="","",Equips_usuari!C578)</f>
        <v/>
      </c>
      <c r="D578" s="3" t="str">
        <f>IF(Equips_usuari!D578="","",Equips_usuari!D578)</f>
        <v/>
      </c>
      <c r="E578" s="3" t="str">
        <f>IF(Equips_usuari!F578="","",Equips_usuari!F578)</f>
        <v/>
      </c>
      <c r="F578" s="3" t="str">
        <f>IF($C578="","",SUMIFS(Resultats_jugadores!$C:$C,Resultats_jugadores!$A:$A,$A578,Resultats_jugadores!$B:$B,$C578))</f>
        <v/>
      </c>
      <c r="G578" s="3" t="str">
        <f>IF($C578="","",SUMIFS(Resultats_jugadores!$D:$D,Resultats_jugadores!$A:$A,$A578,Resultats_jugadores!$B:$B,$C578))</f>
        <v/>
      </c>
      <c r="H578" s="3" t="str">
        <f t="shared" si="3"/>
        <v/>
      </c>
      <c r="I578" s="3" t="str">
        <f t="array" ref="I578">IF($C578="","",IFERROR(INDEX(Partits!$C:$C,MATCH($A578&amp;"_"&amp;$D578,Partits!$D:$D,0)),""))</f>
        <v/>
      </c>
      <c r="J578" s="3" t="str">
        <f t="shared" si="4"/>
        <v/>
      </c>
      <c r="K578" s="3" t="str">
        <f t="shared" si="5"/>
        <v/>
      </c>
      <c r="L578" s="3" t="str">
        <f t="shared" si="6"/>
        <v/>
      </c>
      <c r="M578" s="3" t="str">
        <f t="shared" si="7"/>
        <v/>
      </c>
    </row>
    <row r="579" ht="15.0" customHeight="1">
      <c r="A579" s="3" t="str">
        <f>IF(Equips_usuari!A579="","",Equips_usuari!A579)</f>
        <v/>
      </c>
      <c r="B579" s="3" t="str">
        <f>IF(Equips_usuari!B579="","",Equips_usuari!B579)</f>
        <v/>
      </c>
      <c r="C579" s="3" t="str">
        <f>IF(Equips_usuari!C579="","",Equips_usuari!C579)</f>
        <v/>
      </c>
      <c r="D579" s="3" t="str">
        <f>IF(Equips_usuari!D579="","",Equips_usuari!D579)</f>
        <v/>
      </c>
      <c r="E579" s="3" t="str">
        <f>IF(Equips_usuari!F579="","",Equips_usuari!F579)</f>
        <v/>
      </c>
      <c r="F579" s="3" t="str">
        <f>IF($C579="","",SUMIFS(Resultats_jugadores!$C:$C,Resultats_jugadores!$A:$A,$A579,Resultats_jugadores!$B:$B,$C579))</f>
        <v/>
      </c>
      <c r="G579" s="3" t="str">
        <f>IF($C579="","",SUMIFS(Resultats_jugadores!$D:$D,Resultats_jugadores!$A:$A,$A579,Resultats_jugadores!$B:$B,$C579))</f>
        <v/>
      </c>
      <c r="H579" s="3" t="str">
        <f t="shared" si="3"/>
        <v/>
      </c>
      <c r="I579" s="3" t="str">
        <f t="array" ref="I579">IF($C579="","",IFERROR(INDEX(Partits!$C:$C,MATCH($A579&amp;"_"&amp;$D579,Partits!$D:$D,0)),""))</f>
        <v/>
      </c>
      <c r="J579" s="3" t="str">
        <f t="shared" si="4"/>
        <v/>
      </c>
      <c r="K579" s="3" t="str">
        <f t="shared" si="5"/>
        <v/>
      </c>
      <c r="L579" s="3" t="str">
        <f t="shared" si="6"/>
        <v/>
      </c>
      <c r="M579" s="3" t="str">
        <f t="shared" si="7"/>
        <v/>
      </c>
    </row>
    <row r="580" ht="15.0" customHeight="1">
      <c r="A580" s="3" t="str">
        <f>IF(Equips_usuari!A580="","",Equips_usuari!A580)</f>
        <v/>
      </c>
      <c r="B580" s="3" t="str">
        <f>IF(Equips_usuari!B580="","",Equips_usuari!B580)</f>
        <v/>
      </c>
      <c r="C580" s="3" t="str">
        <f>IF(Equips_usuari!C580="","",Equips_usuari!C580)</f>
        <v/>
      </c>
      <c r="D580" s="3" t="str">
        <f>IF(Equips_usuari!D580="","",Equips_usuari!D580)</f>
        <v/>
      </c>
      <c r="E580" s="3" t="str">
        <f>IF(Equips_usuari!F580="","",Equips_usuari!F580)</f>
        <v/>
      </c>
      <c r="F580" s="3" t="str">
        <f>IF($C580="","",SUMIFS(Resultats_jugadores!$C:$C,Resultats_jugadores!$A:$A,$A580,Resultats_jugadores!$B:$B,$C580))</f>
        <v/>
      </c>
      <c r="G580" s="3" t="str">
        <f>IF($C580="","",SUMIFS(Resultats_jugadores!$D:$D,Resultats_jugadores!$A:$A,$A580,Resultats_jugadores!$B:$B,$C580))</f>
        <v/>
      </c>
      <c r="H580" s="3" t="str">
        <f t="shared" si="3"/>
        <v/>
      </c>
      <c r="I580" s="3" t="str">
        <f t="array" ref="I580">IF($C580="","",IFERROR(INDEX(Partits!$C:$C,MATCH($A580&amp;"_"&amp;$D580,Partits!$D:$D,0)),""))</f>
        <v/>
      </c>
      <c r="J580" s="3" t="str">
        <f t="shared" si="4"/>
        <v/>
      </c>
      <c r="K580" s="3" t="str">
        <f t="shared" si="5"/>
        <v/>
      </c>
      <c r="L580" s="3" t="str">
        <f t="shared" si="6"/>
        <v/>
      </c>
      <c r="M580" s="3" t="str">
        <f t="shared" si="7"/>
        <v/>
      </c>
    </row>
    <row r="581" ht="15.0" customHeight="1">
      <c r="A581" s="3" t="str">
        <f>IF(Equips_usuari!A581="","",Equips_usuari!A581)</f>
        <v/>
      </c>
      <c r="B581" s="3" t="str">
        <f>IF(Equips_usuari!B581="","",Equips_usuari!B581)</f>
        <v/>
      </c>
      <c r="C581" s="3" t="str">
        <f>IF(Equips_usuari!C581="","",Equips_usuari!C581)</f>
        <v/>
      </c>
      <c r="D581" s="3" t="str">
        <f>IF(Equips_usuari!D581="","",Equips_usuari!D581)</f>
        <v/>
      </c>
      <c r="E581" s="3" t="str">
        <f>IF(Equips_usuari!F581="","",Equips_usuari!F581)</f>
        <v/>
      </c>
      <c r="F581" s="3" t="str">
        <f>IF($C581="","",SUMIFS(Resultats_jugadores!$C:$C,Resultats_jugadores!$A:$A,$A581,Resultats_jugadores!$B:$B,$C581))</f>
        <v/>
      </c>
      <c r="G581" s="3" t="str">
        <f>IF($C581="","",SUMIFS(Resultats_jugadores!$D:$D,Resultats_jugadores!$A:$A,$A581,Resultats_jugadores!$B:$B,$C581))</f>
        <v/>
      </c>
      <c r="H581" s="3" t="str">
        <f t="shared" si="3"/>
        <v/>
      </c>
      <c r="I581" s="3" t="str">
        <f t="array" ref="I581">IF($C581="","",IFERROR(INDEX(Partits!$C:$C,MATCH($A581&amp;"_"&amp;$D581,Partits!$D:$D,0)),""))</f>
        <v/>
      </c>
      <c r="J581" s="3" t="str">
        <f t="shared" si="4"/>
        <v/>
      </c>
      <c r="K581" s="3" t="str">
        <f t="shared" si="5"/>
        <v/>
      </c>
      <c r="L581" s="3" t="str">
        <f t="shared" si="6"/>
        <v/>
      </c>
      <c r="M581" s="3" t="str">
        <f t="shared" si="7"/>
        <v/>
      </c>
    </row>
    <row r="582" ht="15.0" customHeight="1">
      <c r="A582" s="3" t="str">
        <f>IF(Equips_usuari!A582="","",Equips_usuari!A582)</f>
        <v/>
      </c>
      <c r="B582" s="3" t="str">
        <f>IF(Equips_usuari!B582="","",Equips_usuari!B582)</f>
        <v/>
      </c>
      <c r="C582" s="3" t="str">
        <f>IF(Equips_usuari!C582="","",Equips_usuari!C582)</f>
        <v/>
      </c>
      <c r="D582" s="3" t="str">
        <f>IF(Equips_usuari!D582="","",Equips_usuari!D582)</f>
        <v/>
      </c>
      <c r="E582" s="3" t="str">
        <f>IF(Equips_usuari!F582="","",Equips_usuari!F582)</f>
        <v/>
      </c>
      <c r="F582" s="3" t="str">
        <f>IF($C582="","",SUMIFS(Resultats_jugadores!$C:$C,Resultats_jugadores!$A:$A,$A582,Resultats_jugadores!$B:$B,$C582))</f>
        <v/>
      </c>
      <c r="G582" s="3" t="str">
        <f>IF($C582="","",SUMIFS(Resultats_jugadores!$D:$D,Resultats_jugadores!$A:$A,$A582,Resultats_jugadores!$B:$B,$C582))</f>
        <v/>
      </c>
      <c r="H582" s="3" t="str">
        <f t="shared" si="3"/>
        <v/>
      </c>
      <c r="I582" s="3" t="str">
        <f t="array" ref="I582">IF($C582="","",IFERROR(INDEX(Partits!$C:$C,MATCH($A582&amp;"_"&amp;$D582,Partits!$D:$D,0)),""))</f>
        <v/>
      </c>
      <c r="J582" s="3" t="str">
        <f t="shared" si="4"/>
        <v/>
      </c>
      <c r="K582" s="3" t="str">
        <f t="shared" si="5"/>
        <v/>
      </c>
      <c r="L582" s="3" t="str">
        <f t="shared" si="6"/>
        <v/>
      </c>
      <c r="M582" s="3" t="str">
        <f t="shared" si="7"/>
        <v/>
      </c>
    </row>
    <row r="583" ht="15.0" customHeight="1">
      <c r="A583" s="3" t="str">
        <f>IF(Equips_usuari!A583="","",Equips_usuari!A583)</f>
        <v/>
      </c>
      <c r="B583" s="3" t="str">
        <f>IF(Equips_usuari!B583="","",Equips_usuari!B583)</f>
        <v/>
      </c>
      <c r="C583" s="3" t="str">
        <f>IF(Equips_usuari!C583="","",Equips_usuari!C583)</f>
        <v/>
      </c>
      <c r="D583" s="3" t="str">
        <f>IF(Equips_usuari!D583="","",Equips_usuari!D583)</f>
        <v/>
      </c>
      <c r="E583" s="3" t="str">
        <f>IF(Equips_usuari!F583="","",Equips_usuari!F583)</f>
        <v/>
      </c>
      <c r="F583" s="3" t="str">
        <f>IF($C583="","",SUMIFS(Resultats_jugadores!$C:$C,Resultats_jugadores!$A:$A,$A583,Resultats_jugadores!$B:$B,$C583))</f>
        <v/>
      </c>
      <c r="G583" s="3" t="str">
        <f>IF($C583="","",SUMIFS(Resultats_jugadores!$D:$D,Resultats_jugadores!$A:$A,$A583,Resultats_jugadores!$B:$B,$C583))</f>
        <v/>
      </c>
      <c r="H583" s="3" t="str">
        <f t="shared" si="3"/>
        <v/>
      </c>
      <c r="I583" s="3" t="str">
        <f t="array" ref="I583">IF($C583="","",IFERROR(INDEX(Partits!$C:$C,MATCH($A583&amp;"_"&amp;$D583,Partits!$D:$D,0)),""))</f>
        <v/>
      </c>
      <c r="J583" s="3" t="str">
        <f t="shared" si="4"/>
        <v/>
      </c>
      <c r="K583" s="3" t="str">
        <f t="shared" si="5"/>
        <v/>
      </c>
      <c r="L583" s="3" t="str">
        <f t="shared" si="6"/>
        <v/>
      </c>
      <c r="M583" s="3" t="str">
        <f t="shared" si="7"/>
        <v/>
      </c>
    </row>
    <row r="584" ht="15.0" customHeight="1">
      <c r="A584" s="3" t="str">
        <f>IF(Equips_usuari!A584="","",Equips_usuari!A584)</f>
        <v/>
      </c>
      <c r="B584" s="3" t="str">
        <f>IF(Equips_usuari!B584="","",Equips_usuari!B584)</f>
        <v/>
      </c>
      <c r="C584" s="3" t="str">
        <f>IF(Equips_usuari!C584="","",Equips_usuari!C584)</f>
        <v/>
      </c>
      <c r="D584" s="3" t="str">
        <f>IF(Equips_usuari!D584="","",Equips_usuari!D584)</f>
        <v/>
      </c>
      <c r="E584" s="3" t="str">
        <f>IF(Equips_usuari!F584="","",Equips_usuari!F584)</f>
        <v/>
      </c>
      <c r="F584" s="3" t="str">
        <f>IF($C584="","",SUMIFS(Resultats_jugadores!$C:$C,Resultats_jugadores!$A:$A,$A584,Resultats_jugadores!$B:$B,$C584))</f>
        <v/>
      </c>
      <c r="G584" s="3" t="str">
        <f>IF($C584="","",SUMIFS(Resultats_jugadores!$D:$D,Resultats_jugadores!$A:$A,$A584,Resultats_jugadores!$B:$B,$C584))</f>
        <v/>
      </c>
      <c r="H584" s="3" t="str">
        <f t="shared" si="3"/>
        <v/>
      </c>
      <c r="I584" s="3" t="str">
        <f t="array" ref="I584">IF($C584="","",IFERROR(INDEX(Partits!$C:$C,MATCH($A584&amp;"_"&amp;$D584,Partits!$D:$D,0)),""))</f>
        <v/>
      </c>
      <c r="J584" s="3" t="str">
        <f t="shared" si="4"/>
        <v/>
      </c>
      <c r="K584" s="3" t="str">
        <f t="shared" si="5"/>
        <v/>
      </c>
      <c r="L584" s="3" t="str">
        <f t="shared" si="6"/>
        <v/>
      </c>
      <c r="M584" s="3" t="str">
        <f t="shared" si="7"/>
        <v/>
      </c>
    </row>
    <row r="585" ht="15.0" customHeight="1">
      <c r="A585" s="3" t="str">
        <f>IF(Equips_usuari!A585="","",Equips_usuari!A585)</f>
        <v/>
      </c>
      <c r="B585" s="3" t="str">
        <f>IF(Equips_usuari!B585="","",Equips_usuari!B585)</f>
        <v/>
      </c>
      <c r="C585" s="3" t="str">
        <f>IF(Equips_usuari!C585="","",Equips_usuari!C585)</f>
        <v/>
      </c>
      <c r="D585" s="3" t="str">
        <f>IF(Equips_usuari!D585="","",Equips_usuari!D585)</f>
        <v/>
      </c>
      <c r="E585" s="3" t="str">
        <f>IF(Equips_usuari!F585="","",Equips_usuari!F585)</f>
        <v/>
      </c>
      <c r="F585" s="3" t="str">
        <f>IF($C585="","",SUMIFS(Resultats_jugadores!$C:$C,Resultats_jugadores!$A:$A,$A585,Resultats_jugadores!$B:$B,$C585))</f>
        <v/>
      </c>
      <c r="G585" s="3" t="str">
        <f>IF($C585="","",SUMIFS(Resultats_jugadores!$D:$D,Resultats_jugadores!$A:$A,$A585,Resultats_jugadores!$B:$B,$C585))</f>
        <v/>
      </c>
      <c r="H585" s="3" t="str">
        <f t="shared" si="3"/>
        <v/>
      </c>
      <c r="I585" s="3" t="str">
        <f t="array" ref="I585">IF($C585="","",IFERROR(INDEX(Partits!$C:$C,MATCH($A585&amp;"_"&amp;$D585,Partits!$D:$D,0)),""))</f>
        <v/>
      </c>
      <c r="J585" s="3" t="str">
        <f t="shared" si="4"/>
        <v/>
      </c>
      <c r="K585" s="3" t="str">
        <f t="shared" si="5"/>
        <v/>
      </c>
      <c r="L585" s="3" t="str">
        <f t="shared" si="6"/>
        <v/>
      </c>
      <c r="M585" s="3" t="str">
        <f t="shared" si="7"/>
        <v/>
      </c>
    </row>
    <row r="586" ht="15.0" customHeight="1">
      <c r="A586" s="3" t="str">
        <f>IF(Equips_usuari!A586="","",Equips_usuari!A586)</f>
        <v/>
      </c>
      <c r="B586" s="3" t="str">
        <f>IF(Equips_usuari!B586="","",Equips_usuari!B586)</f>
        <v/>
      </c>
      <c r="C586" s="3" t="str">
        <f>IF(Equips_usuari!C586="","",Equips_usuari!C586)</f>
        <v/>
      </c>
      <c r="D586" s="3" t="str">
        <f>IF(Equips_usuari!D586="","",Equips_usuari!D586)</f>
        <v/>
      </c>
      <c r="E586" s="3" t="str">
        <f>IF(Equips_usuari!F586="","",Equips_usuari!F586)</f>
        <v/>
      </c>
      <c r="F586" s="3" t="str">
        <f>IF($C586="","",SUMIFS(Resultats_jugadores!$C:$C,Resultats_jugadores!$A:$A,$A586,Resultats_jugadores!$B:$B,$C586))</f>
        <v/>
      </c>
      <c r="G586" s="3" t="str">
        <f>IF($C586="","",SUMIFS(Resultats_jugadores!$D:$D,Resultats_jugadores!$A:$A,$A586,Resultats_jugadores!$B:$B,$C586))</f>
        <v/>
      </c>
      <c r="H586" s="3" t="str">
        <f t="shared" si="3"/>
        <v/>
      </c>
      <c r="I586" s="3" t="str">
        <f t="array" ref="I586">IF($C586="","",IFERROR(INDEX(Partits!$C:$C,MATCH($A586&amp;"_"&amp;$D586,Partits!$D:$D,0)),""))</f>
        <v/>
      </c>
      <c r="J586" s="3" t="str">
        <f t="shared" si="4"/>
        <v/>
      </c>
      <c r="K586" s="3" t="str">
        <f t="shared" si="5"/>
        <v/>
      </c>
      <c r="L586" s="3" t="str">
        <f t="shared" si="6"/>
        <v/>
      </c>
      <c r="M586" s="3" t="str">
        <f t="shared" si="7"/>
        <v/>
      </c>
    </row>
    <row r="587" ht="15.0" customHeight="1">
      <c r="A587" s="3" t="str">
        <f>IF(Equips_usuari!A587="","",Equips_usuari!A587)</f>
        <v/>
      </c>
      <c r="B587" s="3" t="str">
        <f>IF(Equips_usuari!B587="","",Equips_usuari!B587)</f>
        <v/>
      </c>
      <c r="C587" s="3" t="str">
        <f>IF(Equips_usuari!C587="","",Equips_usuari!C587)</f>
        <v/>
      </c>
      <c r="D587" s="3" t="str">
        <f>IF(Equips_usuari!D587="","",Equips_usuari!D587)</f>
        <v/>
      </c>
      <c r="E587" s="3" t="str">
        <f>IF(Equips_usuari!F587="","",Equips_usuari!F587)</f>
        <v/>
      </c>
      <c r="F587" s="3" t="str">
        <f>IF($C587="","",SUMIFS(Resultats_jugadores!$C:$C,Resultats_jugadores!$A:$A,$A587,Resultats_jugadores!$B:$B,$C587))</f>
        <v/>
      </c>
      <c r="G587" s="3" t="str">
        <f>IF($C587="","",SUMIFS(Resultats_jugadores!$D:$D,Resultats_jugadores!$A:$A,$A587,Resultats_jugadores!$B:$B,$C587))</f>
        <v/>
      </c>
      <c r="H587" s="3" t="str">
        <f t="shared" si="3"/>
        <v/>
      </c>
      <c r="I587" s="3" t="str">
        <f t="array" ref="I587">IF($C587="","",IFERROR(INDEX(Partits!$C:$C,MATCH($A587&amp;"_"&amp;$D587,Partits!$D:$D,0)),""))</f>
        <v/>
      </c>
      <c r="J587" s="3" t="str">
        <f t="shared" si="4"/>
        <v/>
      </c>
      <c r="K587" s="3" t="str">
        <f t="shared" si="5"/>
        <v/>
      </c>
      <c r="L587" s="3" t="str">
        <f t="shared" si="6"/>
        <v/>
      </c>
      <c r="M587" s="3" t="str">
        <f t="shared" si="7"/>
        <v/>
      </c>
    </row>
    <row r="588" ht="15.0" customHeight="1">
      <c r="A588" s="3" t="str">
        <f>IF(Equips_usuari!A588="","",Equips_usuari!A588)</f>
        <v/>
      </c>
      <c r="B588" s="3" t="str">
        <f>IF(Equips_usuari!B588="","",Equips_usuari!B588)</f>
        <v/>
      </c>
      <c r="C588" s="3" t="str">
        <f>IF(Equips_usuari!C588="","",Equips_usuari!C588)</f>
        <v/>
      </c>
      <c r="D588" s="3" t="str">
        <f>IF(Equips_usuari!D588="","",Equips_usuari!D588)</f>
        <v/>
      </c>
      <c r="E588" s="3" t="str">
        <f>IF(Equips_usuari!F588="","",Equips_usuari!F588)</f>
        <v/>
      </c>
      <c r="F588" s="3" t="str">
        <f>IF($C588="","",SUMIFS(Resultats_jugadores!$C:$C,Resultats_jugadores!$A:$A,$A588,Resultats_jugadores!$B:$B,$C588))</f>
        <v/>
      </c>
      <c r="G588" s="3" t="str">
        <f>IF($C588="","",SUMIFS(Resultats_jugadores!$D:$D,Resultats_jugadores!$A:$A,$A588,Resultats_jugadores!$B:$B,$C588))</f>
        <v/>
      </c>
      <c r="H588" s="3" t="str">
        <f t="shared" si="3"/>
        <v/>
      </c>
      <c r="I588" s="3" t="str">
        <f t="array" ref="I588">IF($C588="","",IFERROR(INDEX(Partits!$C:$C,MATCH($A588&amp;"_"&amp;$D588,Partits!$D:$D,0)),""))</f>
        <v/>
      </c>
      <c r="J588" s="3" t="str">
        <f t="shared" si="4"/>
        <v/>
      </c>
      <c r="K588" s="3" t="str">
        <f t="shared" si="5"/>
        <v/>
      </c>
      <c r="L588" s="3" t="str">
        <f t="shared" si="6"/>
        <v/>
      </c>
      <c r="M588" s="3" t="str">
        <f t="shared" si="7"/>
        <v/>
      </c>
    </row>
    <row r="589" ht="15.0" customHeight="1">
      <c r="A589" s="3" t="str">
        <f>IF(Equips_usuari!A589="","",Equips_usuari!A589)</f>
        <v/>
      </c>
      <c r="B589" s="3" t="str">
        <f>IF(Equips_usuari!B589="","",Equips_usuari!B589)</f>
        <v/>
      </c>
      <c r="C589" s="3" t="str">
        <f>IF(Equips_usuari!C589="","",Equips_usuari!C589)</f>
        <v/>
      </c>
      <c r="D589" s="3" t="str">
        <f>IF(Equips_usuari!D589="","",Equips_usuari!D589)</f>
        <v/>
      </c>
      <c r="E589" s="3" t="str">
        <f>IF(Equips_usuari!F589="","",Equips_usuari!F589)</f>
        <v/>
      </c>
      <c r="F589" s="3" t="str">
        <f>IF($C589="","",SUMIFS(Resultats_jugadores!$C:$C,Resultats_jugadores!$A:$A,$A589,Resultats_jugadores!$B:$B,$C589))</f>
        <v/>
      </c>
      <c r="G589" s="3" t="str">
        <f>IF($C589="","",SUMIFS(Resultats_jugadores!$D:$D,Resultats_jugadores!$A:$A,$A589,Resultats_jugadores!$B:$B,$C589))</f>
        <v/>
      </c>
      <c r="H589" s="3" t="str">
        <f t="shared" si="3"/>
        <v/>
      </c>
      <c r="I589" s="3" t="str">
        <f t="array" ref="I589">IF($C589="","",IFERROR(INDEX(Partits!$C:$C,MATCH($A589&amp;"_"&amp;$D589,Partits!$D:$D,0)),""))</f>
        <v/>
      </c>
      <c r="J589" s="3" t="str">
        <f t="shared" si="4"/>
        <v/>
      </c>
      <c r="K589" s="3" t="str">
        <f t="shared" si="5"/>
        <v/>
      </c>
      <c r="L589" s="3" t="str">
        <f t="shared" si="6"/>
        <v/>
      </c>
      <c r="M589" s="3" t="str">
        <f t="shared" si="7"/>
        <v/>
      </c>
    </row>
    <row r="590" ht="15.0" customHeight="1">
      <c r="A590" s="3" t="str">
        <f>IF(Equips_usuari!A590="","",Equips_usuari!A590)</f>
        <v/>
      </c>
      <c r="B590" s="3" t="str">
        <f>IF(Equips_usuari!B590="","",Equips_usuari!B590)</f>
        <v/>
      </c>
      <c r="C590" s="3" t="str">
        <f>IF(Equips_usuari!C590="","",Equips_usuari!C590)</f>
        <v/>
      </c>
      <c r="D590" s="3" t="str">
        <f>IF(Equips_usuari!D590="","",Equips_usuari!D590)</f>
        <v/>
      </c>
      <c r="E590" s="3" t="str">
        <f>IF(Equips_usuari!F590="","",Equips_usuari!F590)</f>
        <v/>
      </c>
      <c r="F590" s="3" t="str">
        <f>IF($C590="","",SUMIFS(Resultats_jugadores!$C:$C,Resultats_jugadores!$A:$A,$A590,Resultats_jugadores!$B:$B,$C590))</f>
        <v/>
      </c>
      <c r="G590" s="3" t="str">
        <f>IF($C590="","",SUMIFS(Resultats_jugadores!$D:$D,Resultats_jugadores!$A:$A,$A590,Resultats_jugadores!$B:$B,$C590))</f>
        <v/>
      </c>
      <c r="H590" s="3" t="str">
        <f t="shared" si="3"/>
        <v/>
      </c>
      <c r="I590" s="3" t="str">
        <f t="array" ref="I590">IF($C590="","",IFERROR(INDEX(Partits!$C:$C,MATCH($A590&amp;"_"&amp;$D590,Partits!$D:$D,0)),""))</f>
        <v/>
      </c>
      <c r="J590" s="3" t="str">
        <f t="shared" si="4"/>
        <v/>
      </c>
      <c r="K590" s="3" t="str">
        <f t="shared" si="5"/>
        <v/>
      </c>
      <c r="L590" s="3" t="str">
        <f t="shared" si="6"/>
        <v/>
      </c>
      <c r="M590" s="3" t="str">
        <f t="shared" si="7"/>
        <v/>
      </c>
    </row>
    <row r="591" ht="15.0" customHeight="1">
      <c r="A591" s="3" t="str">
        <f>IF(Equips_usuari!A591="","",Equips_usuari!A591)</f>
        <v/>
      </c>
      <c r="B591" s="3" t="str">
        <f>IF(Equips_usuari!B591="","",Equips_usuari!B591)</f>
        <v/>
      </c>
      <c r="C591" s="3" t="str">
        <f>IF(Equips_usuari!C591="","",Equips_usuari!C591)</f>
        <v/>
      </c>
      <c r="D591" s="3" t="str">
        <f>IF(Equips_usuari!D591="","",Equips_usuari!D591)</f>
        <v/>
      </c>
      <c r="E591" s="3" t="str">
        <f>IF(Equips_usuari!F591="","",Equips_usuari!F591)</f>
        <v/>
      </c>
      <c r="F591" s="3" t="str">
        <f>IF($C591="","",SUMIFS(Resultats_jugadores!$C:$C,Resultats_jugadores!$A:$A,$A591,Resultats_jugadores!$B:$B,$C591))</f>
        <v/>
      </c>
      <c r="G591" s="3" t="str">
        <f>IF($C591="","",SUMIFS(Resultats_jugadores!$D:$D,Resultats_jugadores!$A:$A,$A591,Resultats_jugadores!$B:$B,$C591))</f>
        <v/>
      </c>
      <c r="H591" s="3" t="str">
        <f t="shared" si="3"/>
        <v/>
      </c>
      <c r="I591" s="3" t="str">
        <f t="array" ref="I591">IF($C591="","",IFERROR(INDEX(Partits!$C:$C,MATCH($A591&amp;"_"&amp;$D591,Partits!$D:$D,0)),""))</f>
        <v/>
      </c>
      <c r="J591" s="3" t="str">
        <f t="shared" si="4"/>
        <v/>
      </c>
      <c r="K591" s="3" t="str">
        <f t="shared" si="5"/>
        <v/>
      </c>
      <c r="L591" s="3" t="str">
        <f t="shared" si="6"/>
        <v/>
      </c>
      <c r="M591" s="3" t="str">
        <f t="shared" si="7"/>
        <v/>
      </c>
    </row>
    <row r="592" ht="15.0" customHeight="1">
      <c r="A592" s="3" t="str">
        <f>IF(Equips_usuari!A592="","",Equips_usuari!A592)</f>
        <v/>
      </c>
      <c r="B592" s="3" t="str">
        <f>IF(Equips_usuari!B592="","",Equips_usuari!B592)</f>
        <v/>
      </c>
      <c r="C592" s="3" t="str">
        <f>IF(Equips_usuari!C592="","",Equips_usuari!C592)</f>
        <v/>
      </c>
      <c r="D592" s="3" t="str">
        <f>IF(Equips_usuari!D592="","",Equips_usuari!D592)</f>
        <v/>
      </c>
      <c r="E592" s="3" t="str">
        <f>IF(Equips_usuari!F592="","",Equips_usuari!F592)</f>
        <v/>
      </c>
      <c r="F592" s="3" t="str">
        <f>IF($C592="","",SUMIFS(Resultats_jugadores!$C:$C,Resultats_jugadores!$A:$A,$A592,Resultats_jugadores!$B:$B,$C592))</f>
        <v/>
      </c>
      <c r="G592" s="3" t="str">
        <f>IF($C592="","",SUMIFS(Resultats_jugadores!$D:$D,Resultats_jugadores!$A:$A,$A592,Resultats_jugadores!$B:$B,$C592))</f>
        <v/>
      </c>
      <c r="H592" s="3" t="str">
        <f t="shared" si="3"/>
        <v/>
      </c>
      <c r="I592" s="3" t="str">
        <f t="array" ref="I592">IF($C592="","",IFERROR(INDEX(Partits!$C:$C,MATCH($A592&amp;"_"&amp;$D592,Partits!$D:$D,0)),""))</f>
        <v/>
      </c>
      <c r="J592" s="3" t="str">
        <f t="shared" si="4"/>
        <v/>
      </c>
      <c r="K592" s="3" t="str">
        <f t="shared" si="5"/>
        <v/>
      </c>
      <c r="L592" s="3" t="str">
        <f t="shared" si="6"/>
        <v/>
      </c>
      <c r="M592" s="3" t="str">
        <f t="shared" si="7"/>
        <v/>
      </c>
    </row>
    <row r="593" ht="15.0" customHeight="1">
      <c r="A593" s="3" t="str">
        <f>IF(Equips_usuari!A593="","",Equips_usuari!A593)</f>
        <v/>
      </c>
      <c r="B593" s="3" t="str">
        <f>IF(Equips_usuari!B593="","",Equips_usuari!B593)</f>
        <v/>
      </c>
      <c r="C593" s="3" t="str">
        <f>IF(Equips_usuari!C593="","",Equips_usuari!C593)</f>
        <v/>
      </c>
      <c r="D593" s="3" t="str">
        <f>IF(Equips_usuari!D593="","",Equips_usuari!D593)</f>
        <v/>
      </c>
      <c r="E593" s="3" t="str">
        <f>IF(Equips_usuari!F593="","",Equips_usuari!F593)</f>
        <v/>
      </c>
      <c r="F593" s="3" t="str">
        <f>IF($C593="","",SUMIFS(Resultats_jugadores!$C:$C,Resultats_jugadores!$A:$A,$A593,Resultats_jugadores!$B:$B,$C593))</f>
        <v/>
      </c>
      <c r="G593" s="3" t="str">
        <f>IF($C593="","",SUMIFS(Resultats_jugadores!$D:$D,Resultats_jugadores!$A:$A,$A593,Resultats_jugadores!$B:$B,$C593))</f>
        <v/>
      </c>
      <c r="H593" s="3" t="str">
        <f t="shared" si="3"/>
        <v/>
      </c>
      <c r="I593" s="3" t="str">
        <f t="array" ref="I593">IF($C593="","",IFERROR(INDEX(Partits!$C:$C,MATCH($A593&amp;"_"&amp;$D593,Partits!$D:$D,0)),""))</f>
        <v/>
      </c>
      <c r="J593" s="3" t="str">
        <f t="shared" si="4"/>
        <v/>
      </c>
      <c r="K593" s="3" t="str">
        <f t="shared" si="5"/>
        <v/>
      </c>
      <c r="L593" s="3" t="str">
        <f t="shared" si="6"/>
        <v/>
      </c>
      <c r="M593" s="3" t="str">
        <f t="shared" si="7"/>
        <v/>
      </c>
    </row>
    <row r="594" ht="15.0" customHeight="1">
      <c r="A594" s="3" t="str">
        <f>IF(Equips_usuari!A594="","",Equips_usuari!A594)</f>
        <v/>
      </c>
      <c r="B594" s="3" t="str">
        <f>IF(Equips_usuari!B594="","",Equips_usuari!B594)</f>
        <v/>
      </c>
      <c r="C594" s="3" t="str">
        <f>IF(Equips_usuari!C594="","",Equips_usuari!C594)</f>
        <v/>
      </c>
      <c r="D594" s="3" t="str">
        <f>IF(Equips_usuari!D594="","",Equips_usuari!D594)</f>
        <v/>
      </c>
      <c r="E594" s="3" t="str">
        <f>IF(Equips_usuari!F594="","",Equips_usuari!F594)</f>
        <v/>
      </c>
      <c r="F594" s="3" t="str">
        <f>IF($C594="","",SUMIFS(Resultats_jugadores!$C:$C,Resultats_jugadores!$A:$A,$A594,Resultats_jugadores!$B:$B,$C594))</f>
        <v/>
      </c>
      <c r="G594" s="3" t="str">
        <f>IF($C594="","",SUMIFS(Resultats_jugadores!$D:$D,Resultats_jugadores!$A:$A,$A594,Resultats_jugadores!$B:$B,$C594))</f>
        <v/>
      </c>
      <c r="H594" s="3" t="str">
        <f t="shared" si="3"/>
        <v/>
      </c>
      <c r="I594" s="3" t="str">
        <f t="array" ref="I594">IF($C594="","",IFERROR(INDEX(Partits!$C:$C,MATCH($A594&amp;"_"&amp;$D594,Partits!$D:$D,0)),""))</f>
        <v/>
      </c>
      <c r="J594" s="3" t="str">
        <f t="shared" si="4"/>
        <v/>
      </c>
      <c r="K594" s="3" t="str">
        <f t="shared" si="5"/>
        <v/>
      </c>
      <c r="L594" s="3" t="str">
        <f t="shared" si="6"/>
        <v/>
      </c>
      <c r="M594" s="3" t="str">
        <f t="shared" si="7"/>
        <v/>
      </c>
    </row>
    <row r="595" ht="15.0" customHeight="1">
      <c r="A595" s="3" t="str">
        <f>IF(Equips_usuari!A595="","",Equips_usuari!A595)</f>
        <v/>
      </c>
      <c r="B595" s="3" t="str">
        <f>IF(Equips_usuari!B595="","",Equips_usuari!B595)</f>
        <v/>
      </c>
      <c r="C595" s="3" t="str">
        <f>IF(Equips_usuari!C595="","",Equips_usuari!C595)</f>
        <v/>
      </c>
      <c r="D595" s="3" t="str">
        <f>IF(Equips_usuari!D595="","",Equips_usuari!D595)</f>
        <v/>
      </c>
      <c r="E595" s="3" t="str">
        <f>IF(Equips_usuari!F595="","",Equips_usuari!F595)</f>
        <v/>
      </c>
      <c r="F595" s="3" t="str">
        <f>IF($C595="","",SUMIFS(Resultats_jugadores!$C:$C,Resultats_jugadores!$A:$A,$A595,Resultats_jugadores!$B:$B,$C595))</f>
        <v/>
      </c>
      <c r="G595" s="3" t="str">
        <f>IF($C595="","",SUMIFS(Resultats_jugadores!$D:$D,Resultats_jugadores!$A:$A,$A595,Resultats_jugadores!$B:$B,$C595))</f>
        <v/>
      </c>
      <c r="H595" s="3" t="str">
        <f t="shared" si="3"/>
        <v/>
      </c>
      <c r="I595" s="3" t="str">
        <f t="array" ref="I595">IF($C595="","",IFERROR(INDEX(Partits!$C:$C,MATCH($A595&amp;"_"&amp;$D595,Partits!$D:$D,0)),""))</f>
        <v/>
      </c>
      <c r="J595" s="3" t="str">
        <f t="shared" si="4"/>
        <v/>
      </c>
      <c r="K595" s="3" t="str">
        <f t="shared" si="5"/>
        <v/>
      </c>
      <c r="L595" s="3" t="str">
        <f t="shared" si="6"/>
        <v/>
      </c>
      <c r="M595" s="3" t="str">
        <f t="shared" si="7"/>
        <v/>
      </c>
    </row>
    <row r="596" ht="15.0" customHeight="1">
      <c r="A596" s="3" t="str">
        <f>IF(Equips_usuari!A596="","",Equips_usuari!A596)</f>
        <v/>
      </c>
      <c r="B596" s="3" t="str">
        <f>IF(Equips_usuari!B596="","",Equips_usuari!B596)</f>
        <v/>
      </c>
      <c r="C596" s="3" t="str">
        <f>IF(Equips_usuari!C596="","",Equips_usuari!C596)</f>
        <v/>
      </c>
      <c r="D596" s="3" t="str">
        <f>IF(Equips_usuari!D596="","",Equips_usuari!D596)</f>
        <v/>
      </c>
      <c r="E596" s="3" t="str">
        <f>IF(Equips_usuari!F596="","",Equips_usuari!F596)</f>
        <v/>
      </c>
      <c r="F596" s="3" t="str">
        <f>IF($C596="","",SUMIFS(Resultats_jugadores!$C:$C,Resultats_jugadores!$A:$A,$A596,Resultats_jugadores!$B:$B,$C596))</f>
        <v/>
      </c>
      <c r="G596" s="3" t="str">
        <f>IF($C596="","",SUMIFS(Resultats_jugadores!$D:$D,Resultats_jugadores!$A:$A,$A596,Resultats_jugadores!$B:$B,$C596))</f>
        <v/>
      </c>
      <c r="H596" s="3" t="str">
        <f t="shared" si="3"/>
        <v/>
      </c>
      <c r="I596" s="3" t="str">
        <f t="array" ref="I596">IF($C596="","",IFERROR(INDEX(Partits!$C:$C,MATCH($A596&amp;"_"&amp;$D596,Partits!$D:$D,0)),""))</f>
        <v/>
      </c>
      <c r="J596" s="3" t="str">
        <f t="shared" si="4"/>
        <v/>
      </c>
      <c r="K596" s="3" t="str">
        <f t="shared" si="5"/>
        <v/>
      </c>
      <c r="L596" s="3" t="str">
        <f t="shared" si="6"/>
        <v/>
      </c>
      <c r="M596" s="3" t="str">
        <f t="shared" si="7"/>
        <v/>
      </c>
    </row>
    <row r="597" ht="15.0" customHeight="1">
      <c r="A597" s="3" t="str">
        <f>IF(Equips_usuari!A597="","",Equips_usuari!A597)</f>
        <v/>
      </c>
      <c r="B597" s="3" t="str">
        <f>IF(Equips_usuari!B597="","",Equips_usuari!B597)</f>
        <v/>
      </c>
      <c r="C597" s="3" t="str">
        <f>IF(Equips_usuari!C597="","",Equips_usuari!C597)</f>
        <v/>
      </c>
      <c r="D597" s="3" t="str">
        <f>IF(Equips_usuari!D597="","",Equips_usuari!D597)</f>
        <v/>
      </c>
      <c r="E597" s="3" t="str">
        <f>IF(Equips_usuari!F597="","",Equips_usuari!F597)</f>
        <v/>
      </c>
      <c r="F597" s="3" t="str">
        <f>IF($C597="","",SUMIFS(Resultats_jugadores!$C:$C,Resultats_jugadores!$A:$A,$A597,Resultats_jugadores!$B:$B,$C597))</f>
        <v/>
      </c>
      <c r="G597" s="3" t="str">
        <f>IF($C597="","",SUMIFS(Resultats_jugadores!$D:$D,Resultats_jugadores!$A:$A,$A597,Resultats_jugadores!$B:$B,$C597))</f>
        <v/>
      </c>
      <c r="H597" s="3" t="str">
        <f t="shared" si="3"/>
        <v/>
      </c>
      <c r="I597" s="3" t="str">
        <f t="array" ref="I597">IF($C597="","",IFERROR(INDEX(Partits!$C:$C,MATCH($A597&amp;"_"&amp;$D597,Partits!$D:$D,0)),""))</f>
        <v/>
      </c>
      <c r="J597" s="3" t="str">
        <f t="shared" si="4"/>
        <v/>
      </c>
      <c r="K597" s="3" t="str">
        <f t="shared" si="5"/>
        <v/>
      </c>
      <c r="L597" s="3" t="str">
        <f t="shared" si="6"/>
        <v/>
      </c>
      <c r="M597" s="3" t="str">
        <f t="shared" si="7"/>
        <v/>
      </c>
    </row>
    <row r="598" ht="15.0" customHeight="1">
      <c r="A598" s="3" t="str">
        <f>IF(Equips_usuari!A598="","",Equips_usuari!A598)</f>
        <v/>
      </c>
      <c r="B598" s="3" t="str">
        <f>IF(Equips_usuari!B598="","",Equips_usuari!B598)</f>
        <v/>
      </c>
      <c r="C598" s="3" t="str">
        <f>IF(Equips_usuari!C598="","",Equips_usuari!C598)</f>
        <v/>
      </c>
      <c r="D598" s="3" t="str">
        <f>IF(Equips_usuari!D598="","",Equips_usuari!D598)</f>
        <v/>
      </c>
      <c r="E598" s="3" t="str">
        <f>IF(Equips_usuari!F598="","",Equips_usuari!F598)</f>
        <v/>
      </c>
      <c r="F598" s="3" t="str">
        <f>IF($C598="","",SUMIFS(Resultats_jugadores!$C:$C,Resultats_jugadores!$A:$A,$A598,Resultats_jugadores!$B:$B,$C598))</f>
        <v/>
      </c>
      <c r="G598" s="3" t="str">
        <f>IF($C598="","",SUMIFS(Resultats_jugadores!$D:$D,Resultats_jugadores!$A:$A,$A598,Resultats_jugadores!$B:$B,$C598))</f>
        <v/>
      </c>
      <c r="H598" s="3" t="str">
        <f t="shared" si="3"/>
        <v/>
      </c>
      <c r="I598" s="3" t="str">
        <f t="array" ref="I598">IF($C598="","",IFERROR(INDEX(Partits!$C:$C,MATCH($A598&amp;"_"&amp;$D598,Partits!$D:$D,0)),""))</f>
        <v/>
      </c>
      <c r="J598" s="3" t="str">
        <f t="shared" si="4"/>
        <v/>
      </c>
      <c r="K598" s="3" t="str">
        <f t="shared" si="5"/>
        <v/>
      </c>
      <c r="L598" s="3" t="str">
        <f t="shared" si="6"/>
        <v/>
      </c>
      <c r="M598" s="3" t="str">
        <f t="shared" si="7"/>
        <v/>
      </c>
    </row>
    <row r="599" ht="15.0" customHeight="1">
      <c r="A599" s="3" t="str">
        <f>IF(Equips_usuari!A599="","",Equips_usuari!A599)</f>
        <v/>
      </c>
      <c r="B599" s="3" t="str">
        <f>IF(Equips_usuari!B599="","",Equips_usuari!B599)</f>
        <v/>
      </c>
      <c r="C599" s="3" t="str">
        <f>IF(Equips_usuari!C599="","",Equips_usuari!C599)</f>
        <v/>
      </c>
      <c r="D599" s="3" t="str">
        <f>IF(Equips_usuari!D599="","",Equips_usuari!D599)</f>
        <v/>
      </c>
      <c r="E599" s="3" t="str">
        <f>IF(Equips_usuari!F599="","",Equips_usuari!F599)</f>
        <v/>
      </c>
      <c r="F599" s="3" t="str">
        <f>IF($C599="","",SUMIFS(Resultats_jugadores!$C:$C,Resultats_jugadores!$A:$A,$A599,Resultats_jugadores!$B:$B,$C599))</f>
        <v/>
      </c>
      <c r="G599" s="3" t="str">
        <f>IF($C599="","",SUMIFS(Resultats_jugadores!$D:$D,Resultats_jugadores!$A:$A,$A599,Resultats_jugadores!$B:$B,$C599))</f>
        <v/>
      </c>
      <c r="H599" s="3" t="str">
        <f t="shared" si="3"/>
        <v/>
      </c>
      <c r="I599" s="3" t="str">
        <f t="array" ref="I599">IF($C599="","",IFERROR(INDEX(Partits!$C:$C,MATCH($A599&amp;"_"&amp;$D599,Partits!$D:$D,0)),""))</f>
        <v/>
      </c>
      <c r="J599" s="3" t="str">
        <f t="shared" si="4"/>
        <v/>
      </c>
      <c r="K599" s="3" t="str">
        <f t="shared" si="5"/>
        <v/>
      </c>
      <c r="L599" s="3" t="str">
        <f t="shared" si="6"/>
        <v/>
      </c>
      <c r="M599" s="3" t="str">
        <f t="shared" si="7"/>
        <v/>
      </c>
    </row>
    <row r="600" ht="15.0" customHeight="1">
      <c r="A600" s="3" t="str">
        <f>IF(Equips_usuari!A600="","",Equips_usuari!A600)</f>
        <v/>
      </c>
      <c r="B600" s="3" t="str">
        <f>IF(Equips_usuari!B600="","",Equips_usuari!B600)</f>
        <v/>
      </c>
      <c r="C600" s="3" t="str">
        <f>IF(Equips_usuari!C600="","",Equips_usuari!C600)</f>
        <v/>
      </c>
      <c r="D600" s="3" t="str">
        <f>IF(Equips_usuari!D600="","",Equips_usuari!D600)</f>
        <v/>
      </c>
      <c r="E600" s="3" t="str">
        <f>IF(Equips_usuari!F600="","",Equips_usuari!F600)</f>
        <v/>
      </c>
      <c r="F600" s="3" t="str">
        <f>IF($C600="","",SUMIFS(Resultats_jugadores!$C:$C,Resultats_jugadores!$A:$A,$A600,Resultats_jugadores!$B:$B,$C600))</f>
        <v/>
      </c>
      <c r="G600" s="3" t="str">
        <f>IF($C600="","",SUMIFS(Resultats_jugadores!$D:$D,Resultats_jugadores!$A:$A,$A600,Resultats_jugadores!$B:$B,$C600))</f>
        <v/>
      </c>
      <c r="H600" s="3" t="str">
        <f t="shared" si="3"/>
        <v/>
      </c>
      <c r="I600" s="3" t="str">
        <f t="array" ref="I600">IF($C600="","",IFERROR(INDEX(Partits!$C:$C,MATCH($A600&amp;"_"&amp;$D600,Partits!$D:$D,0)),""))</f>
        <v/>
      </c>
      <c r="J600" s="3" t="str">
        <f t="shared" si="4"/>
        <v/>
      </c>
      <c r="K600" s="3" t="str">
        <f t="shared" si="5"/>
        <v/>
      </c>
      <c r="L600" s="3" t="str">
        <f t="shared" si="6"/>
        <v/>
      </c>
      <c r="M600" s="3" t="str">
        <f t="shared" si="7"/>
        <v/>
      </c>
    </row>
    <row r="601" ht="15.0" customHeight="1">
      <c r="A601" s="3" t="str">
        <f>IF(Equips_usuari!A601="","",Equips_usuari!A601)</f>
        <v/>
      </c>
      <c r="B601" s="3" t="str">
        <f>IF(Equips_usuari!B601="","",Equips_usuari!B601)</f>
        <v/>
      </c>
      <c r="C601" s="3" t="str">
        <f>IF(Equips_usuari!C601="","",Equips_usuari!C601)</f>
        <v/>
      </c>
      <c r="D601" s="3" t="str">
        <f>IF(Equips_usuari!D601="","",Equips_usuari!D601)</f>
        <v/>
      </c>
      <c r="E601" s="3" t="str">
        <f>IF(Equips_usuari!F601="","",Equips_usuari!F601)</f>
        <v/>
      </c>
      <c r="F601" s="3" t="str">
        <f>IF($C601="","",SUMIFS(Resultats_jugadores!$C:$C,Resultats_jugadores!$A:$A,$A601,Resultats_jugadores!$B:$B,$C601))</f>
        <v/>
      </c>
      <c r="G601" s="3" t="str">
        <f>IF($C601="","",SUMIFS(Resultats_jugadores!$D:$D,Resultats_jugadores!$A:$A,$A601,Resultats_jugadores!$B:$B,$C601))</f>
        <v/>
      </c>
      <c r="H601" s="3" t="str">
        <f t="shared" si="3"/>
        <v/>
      </c>
      <c r="I601" s="3" t="str">
        <f t="array" ref="I601">IF($C601="","",IFERROR(INDEX(Partits!$C:$C,MATCH($A601&amp;"_"&amp;$D601,Partits!$D:$D,0)),""))</f>
        <v/>
      </c>
      <c r="J601" s="3" t="str">
        <f t="shared" si="4"/>
        <v/>
      </c>
      <c r="K601" s="3" t="str">
        <f t="shared" si="5"/>
        <v/>
      </c>
      <c r="L601" s="3" t="str">
        <f t="shared" si="6"/>
        <v/>
      </c>
      <c r="M601" s="3" t="str">
        <f t="shared" si="7"/>
        <v/>
      </c>
    </row>
    <row r="602" ht="15.75" customHeight="1">
      <c r="A602" s="12"/>
      <c r="B602" s="12"/>
      <c r="C602" s="12"/>
      <c r="D602" s="12"/>
      <c r="E602" s="12"/>
      <c r="F602" s="12"/>
      <c r="G602" s="12"/>
      <c r="H602" s="12"/>
      <c r="I602" s="12"/>
      <c r="J602" s="12"/>
      <c r="K602" s="12"/>
      <c r="L602" s="12"/>
      <c r="M602" s="12"/>
    </row>
    <row r="603" ht="15.75" customHeight="1">
      <c r="A603" s="12"/>
      <c r="B603" s="12"/>
      <c r="C603" s="12"/>
      <c r="D603" s="12"/>
      <c r="E603" s="12"/>
      <c r="F603" s="12"/>
      <c r="G603" s="12"/>
      <c r="H603" s="12"/>
      <c r="I603" s="12"/>
      <c r="J603" s="12"/>
      <c r="K603" s="12"/>
      <c r="L603" s="12"/>
      <c r="M603" s="12"/>
    </row>
    <row r="604" ht="15.75" customHeight="1">
      <c r="A604" s="12"/>
      <c r="B604" s="12"/>
      <c r="C604" s="12"/>
      <c r="D604" s="12"/>
      <c r="E604" s="12"/>
      <c r="F604" s="12"/>
      <c r="G604" s="12"/>
      <c r="H604" s="12"/>
      <c r="I604" s="12"/>
      <c r="J604" s="12"/>
      <c r="K604" s="12"/>
      <c r="L604" s="12"/>
      <c r="M604" s="12"/>
    </row>
    <row r="605" ht="15.75" customHeight="1">
      <c r="A605" s="12"/>
      <c r="B605" s="12"/>
      <c r="C605" s="12"/>
      <c r="D605" s="12"/>
      <c r="E605" s="12"/>
      <c r="F605" s="12"/>
      <c r="G605" s="12"/>
      <c r="H605" s="12"/>
      <c r="I605" s="12"/>
      <c r="J605" s="12"/>
      <c r="K605" s="12"/>
      <c r="L605" s="12"/>
      <c r="M605" s="12"/>
    </row>
    <row r="606" ht="15.75" customHeight="1">
      <c r="A606" s="12"/>
      <c r="B606" s="12"/>
      <c r="C606" s="12"/>
      <c r="D606" s="12"/>
      <c r="E606" s="12"/>
      <c r="F606" s="12"/>
      <c r="G606" s="12"/>
      <c r="H606" s="12"/>
      <c r="I606" s="12"/>
      <c r="J606" s="12"/>
      <c r="K606" s="12"/>
      <c r="L606" s="12"/>
      <c r="M606" s="12"/>
    </row>
    <row r="607" ht="15.75" customHeight="1">
      <c r="A607" s="12"/>
      <c r="B607" s="12"/>
      <c r="C607" s="12"/>
      <c r="D607" s="12"/>
      <c r="E607" s="12"/>
      <c r="F607" s="12"/>
      <c r="G607" s="12"/>
      <c r="H607" s="12"/>
      <c r="I607" s="12"/>
      <c r="J607" s="12"/>
      <c r="K607" s="12"/>
      <c r="L607" s="12"/>
      <c r="M607" s="12"/>
    </row>
    <row r="608" ht="15.75" customHeight="1">
      <c r="A608" s="12"/>
      <c r="B608" s="12"/>
      <c r="C608" s="12"/>
      <c r="D608" s="12"/>
      <c r="E608" s="12"/>
      <c r="F608" s="12"/>
      <c r="G608" s="12"/>
      <c r="H608" s="12"/>
      <c r="I608" s="12"/>
      <c r="J608" s="12"/>
      <c r="K608" s="12"/>
      <c r="L608" s="12"/>
      <c r="M608" s="12"/>
    </row>
    <row r="609" ht="15.75" customHeight="1">
      <c r="A609" s="12"/>
      <c r="B609" s="12"/>
      <c r="C609" s="12"/>
      <c r="D609" s="12"/>
      <c r="E609" s="12"/>
      <c r="F609" s="12"/>
      <c r="G609" s="12"/>
      <c r="H609" s="12"/>
      <c r="I609" s="12"/>
      <c r="J609" s="12"/>
      <c r="K609" s="12"/>
      <c r="L609" s="12"/>
      <c r="M609" s="12"/>
    </row>
    <row r="610" ht="15.75" customHeight="1">
      <c r="A610" s="12"/>
      <c r="B610" s="12"/>
      <c r="C610" s="12"/>
      <c r="D610" s="12"/>
      <c r="E610" s="12"/>
      <c r="F610" s="12"/>
      <c r="G610" s="12"/>
      <c r="H610" s="12"/>
      <c r="I610" s="12"/>
      <c r="J610" s="12"/>
      <c r="K610" s="12"/>
      <c r="L610" s="12"/>
      <c r="M610" s="12"/>
    </row>
    <row r="611" ht="15.75" customHeight="1">
      <c r="A611" s="12"/>
      <c r="B611" s="12"/>
      <c r="C611" s="12"/>
      <c r="D611" s="12"/>
      <c r="E611" s="12"/>
      <c r="F611" s="12"/>
      <c r="G611" s="12"/>
      <c r="H611" s="12"/>
      <c r="I611" s="12"/>
      <c r="J611" s="12"/>
      <c r="K611" s="12"/>
      <c r="L611" s="12"/>
      <c r="M611" s="12"/>
    </row>
    <row r="612" ht="15.75" customHeight="1">
      <c r="A612" s="12"/>
      <c r="B612" s="12"/>
      <c r="C612" s="12"/>
      <c r="D612" s="12"/>
      <c r="E612" s="12"/>
      <c r="F612" s="12"/>
      <c r="G612" s="12"/>
      <c r="H612" s="12"/>
      <c r="I612" s="12"/>
      <c r="J612" s="12"/>
      <c r="K612" s="12"/>
      <c r="L612" s="12"/>
      <c r="M612" s="12"/>
    </row>
    <row r="613" ht="15.75" customHeight="1">
      <c r="A613" s="12"/>
      <c r="B613" s="12"/>
      <c r="C613" s="12"/>
      <c r="D613" s="12"/>
      <c r="E613" s="12"/>
      <c r="F613" s="12"/>
      <c r="G613" s="12"/>
      <c r="H613" s="12"/>
      <c r="I613" s="12"/>
      <c r="J613" s="12"/>
      <c r="K613" s="12"/>
      <c r="L613" s="12"/>
      <c r="M613" s="12"/>
    </row>
    <row r="614" ht="15.75" customHeight="1">
      <c r="A614" s="12"/>
      <c r="B614" s="12"/>
      <c r="C614" s="12"/>
      <c r="D614" s="12"/>
      <c r="E614" s="12"/>
      <c r="F614" s="12"/>
      <c r="G614" s="12"/>
      <c r="H614" s="12"/>
      <c r="I614" s="12"/>
      <c r="J614" s="12"/>
      <c r="K614" s="12"/>
      <c r="L614" s="12"/>
      <c r="M614" s="12"/>
    </row>
    <row r="615" ht="15.75" customHeight="1">
      <c r="A615" s="12"/>
      <c r="B615" s="12"/>
      <c r="C615" s="12"/>
      <c r="D615" s="12"/>
      <c r="E615" s="12"/>
      <c r="F615" s="12"/>
      <c r="G615" s="12"/>
      <c r="H615" s="12"/>
      <c r="I615" s="12"/>
      <c r="J615" s="12"/>
      <c r="K615" s="12"/>
      <c r="L615" s="12"/>
      <c r="M615" s="12"/>
    </row>
    <row r="616" ht="15.75" customHeight="1">
      <c r="A616" s="12"/>
      <c r="B616" s="12"/>
      <c r="C616" s="12"/>
      <c r="D616" s="12"/>
      <c r="E616" s="12"/>
      <c r="F616" s="12"/>
      <c r="G616" s="12"/>
      <c r="H616" s="12"/>
      <c r="I616" s="12"/>
      <c r="J616" s="12"/>
      <c r="K616" s="12"/>
      <c r="L616" s="12"/>
      <c r="M616" s="12"/>
    </row>
    <row r="617" ht="15.75" customHeight="1">
      <c r="A617" s="12"/>
      <c r="B617" s="12"/>
      <c r="C617" s="12"/>
      <c r="D617" s="12"/>
      <c r="E617" s="12"/>
      <c r="F617" s="12"/>
      <c r="G617" s="12"/>
      <c r="H617" s="12"/>
      <c r="I617" s="12"/>
      <c r="J617" s="12"/>
      <c r="K617" s="12"/>
      <c r="L617" s="12"/>
      <c r="M617" s="12"/>
    </row>
    <row r="618" ht="15.75" customHeight="1">
      <c r="A618" s="12"/>
      <c r="B618" s="12"/>
      <c r="C618" s="12"/>
      <c r="D618" s="12"/>
      <c r="E618" s="12"/>
      <c r="F618" s="12"/>
      <c r="G618" s="12"/>
      <c r="H618" s="12"/>
      <c r="I618" s="12"/>
      <c r="J618" s="12"/>
      <c r="K618" s="12"/>
      <c r="L618" s="12"/>
      <c r="M618" s="12"/>
    </row>
    <row r="619" ht="15.75" customHeight="1">
      <c r="A619" s="12"/>
      <c r="B619" s="12"/>
      <c r="C619" s="12"/>
      <c r="D619" s="12"/>
      <c r="E619" s="12"/>
      <c r="F619" s="12"/>
      <c r="G619" s="12"/>
      <c r="H619" s="12"/>
      <c r="I619" s="12"/>
      <c r="J619" s="12"/>
      <c r="K619" s="12"/>
      <c r="L619" s="12"/>
      <c r="M619" s="12"/>
    </row>
    <row r="620" ht="15.75" customHeight="1">
      <c r="A620" s="12"/>
      <c r="B620" s="12"/>
      <c r="C620" s="12"/>
      <c r="D620" s="12"/>
      <c r="E620" s="12"/>
      <c r="F620" s="12"/>
      <c r="G620" s="12"/>
      <c r="H620" s="12"/>
      <c r="I620" s="12"/>
      <c r="J620" s="12"/>
      <c r="K620" s="12"/>
      <c r="L620" s="12"/>
      <c r="M620" s="12"/>
    </row>
    <row r="621" ht="15.75" customHeight="1">
      <c r="A621" s="12"/>
      <c r="B621" s="12"/>
      <c r="C621" s="12"/>
      <c r="D621" s="12"/>
      <c r="E621" s="12"/>
      <c r="F621" s="12"/>
      <c r="G621" s="12"/>
      <c r="H621" s="12"/>
      <c r="I621" s="12"/>
      <c r="J621" s="12"/>
      <c r="K621" s="12"/>
      <c r="L621" s="12"/>
      <c r="M621" s="12"/>
    </row>
    <row r="622" ht="15.75" customHeight="1">
      <c r="A622" s="12"/>
      <c r="B622" s="12"/>
      <c r="C622" s="12"/>
      <c r="D622" s="12"/>
      <c r="E622" s="12"/>
      <c r="F622" s="12"/>
      <c r="G622" s="12"/>
      <c r="H622" s="12"/>
      <c r="I622" s="12"/>
      <c r="J622" s="12"/>
      <c r="K622" s="12"/>
      <c r="L622" s="12"/>
      <c r="M622" s="12"/>
    </row>
    <row r="623" ht="15.75" customHeight="1">
      <c r="A623" s="12"/>
      <c r="B623" s="12"/>
      <c r="C623" s="12"/>
      <c r="D623" s="12"/>
      <c r="E623" s="12"/>
      <c r="F623" s="12"/>
      <c r="G623" s="12"/>
      <c r="H623" s="12"/>
      <c r="I623" s="12"/>
      <c r="J623" s="12"/>
      <c r="K623" s="12"/>
      <c r="L623" s="12"/>
      <c r="M623" s="12"/>
    </row>
    <row r="624" ht="15.75" customHeight="1">
      <c r="A624" s="12"/>
      <c r="B624" s="12"/>
      <c r="C624" s="12"/>
      <c r="D624" s="12"/>
      <c r="E624" s="12"/>
      <c r="F624" s="12"/>
      <c r="G624" s="12"/>
      <c r="H624" s="12"/>
      <c r="I624" s="12"/>
      <c r="J624" s="12"/>
      <c r="K624" s="12"/>
      <c r="L624" s="12"/>
      <c r="M624" s="12"/>
    </row>
    <row r="625" ht="15.75" customHeight="1">
      <c r="A625" s="12"/>
      <c r="B625" s="12"/>
      <c r="C625" s="12"/>
      <c r="D625" s="12"/>
      <c r="E625" s="12"/>
      <c r="F625" s="12"/>
      <c r="G625" s="12"/>
      <c r="H625" s="12"/>
      <c r="I625" s="12"/>
      <c r="J625" s="12"/>
      <c r="K625" s="12"/>
      <c r="L625" s="12"/>
      <c r="M625" s="12"/>
    </row>
    <row r="626" ht="15.75" customHeight="1">
      <c r="A626" s="12"/>
      <c r="B626" s="12"/>
      <c r="C626" s="12"/>
      <c r="D626" s="12"/>
      <c r="E626" s="12"/>
      <c r="F626" s="12"/>
      <c r="G626" s="12"/>
      <c r="H626" s="12"/>
      <c r="I626" s="12"/>
      <c r="J626" s="12"/>
      <c r="K626" s="12"/>
      <c r="L626" s="12"/>
      <c r="M626" s="12"/>
    </row>
    <row r="627" ht="15.75" customHeight="1">
      <c r="A627" s="12"/>
      <c r="B627" s="12"/>
      <c r="C627" s="12"/>
      <c r="D627" s="12"/>
      <c r="E627" s="12"/>
      <c r="F627" s="12"/>
      <c r="G627" s="12"/>
      <c r="H627" s="12"/>
      <c r="I627" s="12"/>
      <c r="J627" s="12"/>
      <c r="K627" s="12"/>
      <c r="L627" s="12"/>
      <c r="M627" s="12"/>
    </row>
    <row r="628" ht="15.75" customHeight="1">
      <c r="A628" s="12"/>
      <c r="B628" s="12"/>
      <c r="C628" s="12"/>
      <c r="D628" s="12"/>
      <c r="E628" s="12"/>
      <c r="F628" s="12"/>
      <c r="G628" s="12"/>
      <c r="H628" s="12"/>
      <c r="I628" s="12"/>
      <c r="J628" s="12"/>
      <c r="K628" s="12"/>
      <c r="L628" s="12"/>
      <c r="M628" s="12"/>
    </row>
    <row r="629" ht="15.75" customHeight="1">
      <c r="A629" s="12"/>
      <c r="B629" s="12"/>
      <c r="C629" s="12"/>
      <c r="D629" s="12"/>
      <c r="E629" s="12"/>
      <c r="F629" s="12"/>
      <c r="G629" s="12"/>
      <c r="H629" s="12"/>
      <c r="I629" s="12"/>
      <c r="J629" s="12"/>
      <c r="K629" s="12"/>
      <c r="L629" s="12"/>
      <c r="M629" s="12"/>
    </row>
    <row r="630" ht="15.75" customHeight="1">
      <c r="A630" s="12"/>
      <c r="B630" s="12"/>
      <c r="C630" s="12"/>
      <c r="D630" s="12"/>
      <c r="E630" s="12"/>
      <c r="F630" s="12"/>
      <c r="G630" s="12"/>
      <c r="H630" s="12"/>
      <c r="I630" s="12"/>
      <c r="J630" s="12"/>
      <c r="K630" s="12"/>
      <c r="L630" s="12"/>
      <c r="M630" s="12"/>
    </row>
    <row r="631" ht="15.75" customHeight="1">
      <c r="A631" s="12"/>
      <c r="B631" s="12"/>
      <c r="C631" s="12"/>
      <c r="D631" s="12"/>
      <c r="E631" s="12"/>
      <c r="F631" s="12"/>
      <c r="G631" s="12"/>
      <c r="H631" s="12"/>
      <c r="I631" s="12"/>
      <c r="J631" s="12"/>
      <c r="K631" s="12"/>
      <c r="L631" s="12"/>
      <c r="M631" s="12"/>
    </row>
    <row r="632" ht="15.75" customHeight="1">
      <c r="A632" s="12"/>
      <c r="B632" s="12"/>
      <c r="C632" s="12"/>
      <c r="D632" s="12"/>
      <c r="E632" s="12"/>
      <c r="F632" s="12"/>
      <c r="G632" s="12"/>
      <c r="H632" s="12"/>
      <c r="I632" s="12"/>
      <c r="J632" s="12"/>
      <c r="K632" s="12"/>
      <c r="L632" s="12"/>
      <c r="M632" s="12"/>
    </row>
    <row r="633" ht="15.75" customHeight="1">
      <c r="A633" s="12"/>
      <c r="B633" s="12"/>
      <c r="C633" s="12"/>
      <c r="D633" s="12"/>
      <c r="E633" s="12"/>
      <c r="F633" s="12"/>
      <c r="G633" s="12"/>
      <c r="H633" s="12"/>
      <c r="I633" s="12"/>
      <c r="J633" s="12"/>
      <c r="K633" s="12"/>
      <c r="L633" s="12"/>
      <c r="M633" s="12"/>
    </row>
    <row r="634" ht="15.75" customHeight="1">
      <c r="A634" s="12"/>
      <c r="B634" s="12"/>
      <c r="C634" s="12"/>
      <c r="D634" s="12"/>
      <c r="E634" s="12"/>
      <c r="F634" s="12"/>
      <c r="G634" s="12"/>
      <c r="H634" s="12"/>
      <c r="I634" s="12"/>
      <c r="J634" s="12"/>
      <c r="K634" s="12"/>
      <c r="L634" s="12"/>
      <c r="M634" s="12"/>
    </row>
    <row r="635" ht="15.75" customHeight="1">
      <c r="A635" s="12"/>
      <c r="B635" s="12"/>
      <c r="C635" s="12"/>
      <c r="D635" s="12"/>
      <c r="E635" s="12"/>
      <c r="F635" s="12"/>
      <c r="G635" s="12"/>
      <c r="H635" s="12"/>
      <c r="I635" s="12"/>
      <c r="J635" s="12"/>
      <c r="K635" s="12"/>
      <c r="L635" s="12"/>
      <c r="M635" s="12"/>
    </row>
    <row r="636" ht="15.75" customHeight="1">
      <c r="A636" s="12"/>
      <c r="B636" s="12"/>
      <c r="C636" s="12"/>
      <c r="D636" s="12"/>
      <c r="E636" s="12"/>
      <c r="F636" s="12"/>
      <c r="G636" s="12"/>
      <c r="H636" s="12"/>
      <c r="I636" s="12"/>
      <c r="J636" s="12"/>
      <c r="K636" s="12"/>
      <c r="L636" s="12"/>
      <c r="M636" s="12"/>
    </row>
    <row r="637" ht="15.75" customHeight="1">
      <c r="A637" s="12"/>
      <c r="B637" s="12"/>
      <c r="C637" s="12"/>
      <c r="D637" s="12"/>
      <c r="E637" s="12"/>
      <c r="F637" s="12"/>
      <c r="G637" s="12"/>
      <c r="H637" s="12"/>
      <c r="I637" s="12"/>
      <c r="J637" s="12"/>
      <c r="K637" s="12"/>
      <c r="L637" s="12"/>
      <c r="M637" s="12"/>
    </row>
    <row r="638" ht="15.75" customHeight="1">
      <c r="A638" s="12"/>
      <c r="B638" s="12"/>
      <c r="C638" s="12"/>
      <c r="D638" s="12"/>
      <c r="E638" s="12"/>
      <c r="F638" s="12"/>
      <c r="G638" s="12"/>
      <c r="H638" s="12"/>
      <c r="I638" s="12"/>
      <c r="J638" s="12"/>
      <c r="K638" s="12"/>
      <c r="L638" s="12"/>
      <c r="M638" s="12"/>
    </row>
    <row r="639" ht="15.75" customHeight="1">
      <c r="A639" s="12"/>
      <c r="B639" s="12"/>
      <c r="C639" s="12"/>
      <c r="D639" s="12"/>
      <c r="E639" s="12"/>
      <c r="F639" s="12"/>
      <c r="G639" s="12"/>
      <c r="H639" s="12"/>
      <c r="I639" s="12"/>
      <c r="J639" s="12"/>
      <c r="K639" s="12"/>
      <c r="L639" s="12"/>
      <c r="M639" s="12"/>
    </row>
    <row r="640" ht="15.75" customHeight="1">
      <c r="A640" s="12"/>
      <c r="B640" s="12"/>
      <c r="C640" s="12"/>
      <c r="D640" s="12"/>
      <c r="E640" s="12"/>
      <c r="F640" s="12"/>
      <c r="G640" s="12"/>
      <c r="H640" s="12"/>
      <c r="I640" s="12"/>
      <c r="J640" s="12"/>
      <c r="K640" s="12"/>
      <c r="L640" s="12"/>
      <c r="M640" s="12"/>
    </row>
    <row r="641" ht="15.75" customHeight="1">
      <c r="A641" s="12"/>
      <c r="B641" s="12"/>
      <c r="C641" s="12"/>
      <c r="D641" s="12"/>
      <c r="E641" s="12"/>
      <c r="F641" s="12"/>
      <c r="G641" s="12"/>
      <c r="H641" s="12"/>
      <c r="I641" s="12"/>
      <c r="J641" s="12"/>
      <c r="K641" s="12"/>
      <c r="L641" s="12"/>
      <c r="M641" s="12"/>
    </row>
    <row r="642" ht="15.75" customHeight="1">
      <c r="A642" s="12"/>
      <c r="B642" s="12"/>
      <c r="C642" s="12"/>
      <c r="D642" s="12"/>
      <c r="E642" s="12"/>
      <c r="F642" s="12"/>
      <c r="G642" s="12"/>
      <c r="H642" s="12"/>
      <c r="I642" s="12"/>
      <c r="J642" s="12"/>
      <c r="K642" s="12"/>
      <c r="L642" s="12"/>
      <c r="M642" s="12"/>
    </row>
    <row r="643" ht="15.75" customHeight="1">
      <c r="A643" s="12"/>
      <c r="B643" s="12"/>
      <c r="C643" s="12"/>
      <c r="D643" s="12"/>
      <c r="E643" s="12"/>
      <c r="F643" s="12"/>
      <c r="G643" s="12"/>
      <c r="H643" s="12"/>
      <c r="I643" s="12"/>
      <c r="J643" s="12"/>
      <c r="K643" s="12"/>
      <c r="L643" s="12"/>
      <c r="M643" s="12"/>
    </row>
    <row r="644" ht="15.75" customHeight="1">
      <c r="A644" s="12"/>
      <c r="B644" s="12"/>
      <c r="C644" s="12"/>
      <c r="D644" s="12"/>
      <c r="E644" s="12"/>
      <c r="F644" s="12"/>
      <c r="G644" s="12"/>
      <c r="H644" s="12"/>
      <c r="I644" s="12"/>
      <c r="J644" s="12"/>
      <c r="K644" s="12"/>
      <c r="L644" s="12"/>
      <c r="M644" s="12"/>
    </row>
    <row r="645" ht="15.75" customHeight="1">
      <c r="A645" s="12"/>
      <c r="B645" s="12"/>
      <c r="C645" s="12"/>
      <c r="D645" s="12"/>
      <c r="E645" s="12"/>
      <c r="F645" s="12"/>
      <c r="G645" s="12"/>
      <c r="H645" s="12"/>
      <c r="I645" s="12"/>
      <c r="J645" s="12"/>
      <c r="K645" s="12"/>
      <c r="L645" s="12"/>
      <c r="M645" s="12"/>
    </row>
    <row r="646" ht="15.75" customHeight="1">
      <c r="A646" s="12"/>
      <c r="B646" s="12"/>
      <c r="C646" s="12"/>
      <c r="D646" s="12"/>
      <c r="E646" s="12"/>
      <c r="F646" s="12"/>
      <c r="G646" s="12"/>
      <c r="H646" s="12"/>
      <c r="I646" s="12"/>
      <c r="J646" s="12"/>
      <c r="K646" s="12"/>
      <c r="L646" s="12"/>
      <c r="M646" s="12"/>
    </row>
    <row r="647" ht="15.75" customHeight="1">
      <c r="A647" s="12"/>
      <c r="B647" s="12"/>
      <c r="C647" s="12"/>
      <c r="D647" s="12"/>
      <c r="E647" s="12"/>
      <c r="F647" s="12"/>
      <c r="G647" s="12"/>
      <c r="H647" s="12"/>
      <c r="I647" s="12"/>
      <c r="J647" s="12"/>
      <c r="K647" s="12"/>
      <c r="L647" s="12"/>
      <c r="M647" s="12"/>
    </row>
    <row r="648" ht="15.75" customHeight="1">
      <c r="A648" s="12"/>
      <c r="B648" s="12"/>
      <c r="C648" s="12"/>
      <c r="D648" s="12"/>
      <c r="E648" s="12"/>
      <c r="F648" s="12"/>
      <c r="G648" s="12"/>
      <c r="H648" s="12"/>
      <c r="I648" s="12"/>
      <c r="J648" s="12"/>
      <c r="K648" s="12"/>
      <c r="L648" s="12"/>
      <c r="M648" s="12"/>
    </row>
    <row r="649" ht="15.75" customHeight="1">
      <c r="A649" s="12"/>
      <c r="B649" s="12"/>
      <c r="C649" s="12"/>
      <c r="D649" s="12"/>
      <c r="E649" s="12"/>
      <c r="F649" s="12"/>
      <c r="G649" s="12"/>
      <c r="H649" s="12"/>
      <c r="I649" s="12"/>
      <c r="J649" s="12"/>
      <c r="K649" s="12"/>
      <c r="L649" s="12"/>
      <c r="M649" s="12"/>
    </row>
    <row r="650" ht="15.75" customHeight="1">
      <c r="A650" s="12"/>
      <c r="B650" s="12"/>
      <c r="C650" s="12"/>
      <c r="D650" s="12"/>
      <c r="E650" s="12"/>
      <c r="F650" s="12"/>
      <c r="G650" s="12"/>
      <c r="H650" s="12"/>
      <c r="I650" s="12"/>
      <c r="J650" s="12"/>
      <c r="K650" s="12"/>
      <c r="L650" s="12"/>
      <c r="M650" s="12"/>
    </row>
    <row r="651" ht="15.75" customHeight="1">
      <c r="A651" s="12"/>
      <c r="B651" s="12"/>
      <c r="C651" s="12"/>
      <c r="D651" s="12"/>
      <c r="E651" s="12"/>
      <c r="F651" s="12"/>
      <c r="G651" s="12"/>
      <c r="H651" s="12"/>
      <c r="I651" s="12"/>
      <c r="J651" s="12"/>
      <c r="K651" s="12"/>
      <c r="L651" s="12"/>
      <c r="M651" s="12"/>
    </row>
    <row r="652" ht="15.75" customHeight="1">
      <c r="A652" s="12"/>
      <c r="B652" s="12"/>
      <c r="C652" s="12"/>
      <c r="D652" s="12"/>
      <c r="E652" s="12"/>
      <c r="F652" s="12"/>
      <c r="G652" s="12"/>
      <c r="H652" s="12"/>
      <c r="I652" s="12"/>
      <c r="J652" s="12"/>
      <c r="K652" s="12"/>
      <c r="L652" s="12"/>
      <c r="M652" s="12"/>
    </row>
    <row r="653" ht="15.75" customHeight="1">
      <c r="A653" s="12"/>
      <c r="B653" s="12"/>
      <c r="C653" s="12"/>
      <c r="D653" s="12"/>
      <c r="E653" s="12"/>
      <c r="F653" s="12"/>
      <c r="G653" s="12"/>
      <c r="H653" s="12"/>
      <c r="I653" s="12"/>
      <c r="J653" s="12"/>
      <c r="K653" s="12"/>
      <c r="L653" s="12"/>
      <c r="M653" s="12"/>
    </row>
    <row r="654" ht="15.75" customHeight="1">
      <c r="A654" s="12"/>
      <c r="B654" s="12"/>
      <c r="C654" s="12"/>
      <c r="D654" s="12"/>
      <c r="E654" s="12"/>
      <c r="F654" s="12"/>
      <c r="G654" s="12"/>
      <c r="H654" s="12"/>
      <c r="I654" s="12"/>
      <c r="J654" s="12"/>
      <c r="K654" s="12"/>
      <c r="L654" s="12"/>
      <c r="M654" s="12"/>
    </row>
    <row r="655" ht="15.75" customHeight="1">
      <c r="A655" s="12"/>
      <c r="B655" s="12"/>
      <c r="C655" s="12"/>
      <c r="D655" s="12"/>
      <c r="E655" s="12"/>
      <c r="F655" s="12"/>
      <c r="G655" s="12"/>
      <c r="H655" s="12"/>
      <c r="I655" s="12"/>
      <c r="J655" s="12"/>
      <c r="K655" s="12"/>
      <c r="L655" s="12"/>
      <c r="M655" s="12"/>
    </row>
    <row r="656" ht="15.75" customHeight="1">
      <c r="A656" s="12"/>
      <c r="B656" s="12"/>
      <c r="C656" s="12"/>
      <c r="D656" s="12"/>
      <c r="E656" s="12"/>
      <c r="F656" s="12"/>
      <c r="G656" s="12"/>
      <c r="H656" s="12"/>
      <c r="I656" s="12"/>
      <c r="J656" s="12"/>
      <c r="K656" s="12"/>
      <c r="L656" s="12"/>
      <c r="M656" s="12"/>
    </row>
    <row r="657" ht="15.75" customHeight="1">
      <c r="A657" s="12"/>
      <c r="B657" s="12"/>
      <c r="C657" s="12"/>
      <c r="D657" s="12"/>
      <c r="E657" s="12"/>
      <c r="F657" s="12"/>
      <c r="G657" s="12"/>
      <c r="H657" s="12"/>
      <c r="I657" s="12"/>
      <c r="J657" s="12"/>
      <c r="K657" s="12"/>
      <c r="L657" s="12"/>
      <c r="M657" s="12"/>
    </row>
    <row r="658" ht="15.75" customHeight="1">
      <c r="A658" s="12"/>
      <c r="B658" s="12"/>
      <c r="C658" s="12"/>
      <c r="D658" s="12"/>
      <c r="E658" s="12"/>
      <c r="F658" s="12"/>
      <c r="G658" s="12"/>
      <c r="H658" s="12"/>
      <c r="I658" s="12"/>
      <c r="J658" s="12"/>
      <c r="K658" s="12"/>
      <c r="L658" s="12"/>
      <c r="M658" s="12"/>
    </row>
    <row r="659" ht="15.75" customHeight="1">
      <c r="A659" s="12"/>
      <c r="B659" s="12"/>
      <c r="C659" s="12"/>
      <c r="D659" s="12"/>
      <c r="E659" s="12"/>
      <c r="F659" s="12"/>
      <c r="G659" s="12"/>
      <c r="H659" s="12"/>
      <c r="I659" s="12"/>
      <c r="J659" s="12"/>
      <c r="K659" s="12"/>
      <c r="L659" s="12"/>
      <c r="M659" s="12"/>
    </row>
    <row r="660" ht="15.75" customHeight="1">
      <c r="A660" s="12"/>
      <c r="B660" s="12"/>
      <c r="C660" s="12"/>
      <c r="D660" s="12"/>
      <c r="E660" s="12"/>
      <c r="F660" s="12"/>
      <c r="G660" s="12"/>
      <c r="H660" s="12"/>
      <c r="I660" s="12"/>
      <c r="J660" s="12"/>
      <c r="K660" s="12"/>
      <c r="L660" s="12"/>
      <c r="M660" s="12"/>
    </row>
    <row r="661" ht="15.75" customHeight="1">
      <c r="A661" s="12"/>
      <c r="B661" s="12"/>
      <c r="C661" s="12"/>
      <c r="D661" s="12"/>
      <c r="E661" s="12"/>
      <c r="F661" s="12"/>
      <c r="G661" s="12"/>
      <c r="H661" s="12"/>
      <c r="I661" s="12"/>
      <c r="J661" s="12"/>
      <c r="K661" s="12"/>
      <c r="L661" s="12"/>
      <c r="M661" s="12"/>
    </row>
    <row r="662" ht="15.75" customHeight="1">
      <c r="A662" s="12"/>
      <c r="B662" s="12"/>
      <c r="C662" s="12"/>
      <c r="D662" s="12"/>
      <c r="E662" s="12"/>
      <c r="F662" s="12"/>
      <c r="G662" s="12"/>
      <c r="H662" s="12"/>
      <c r="I662" s="12"/>
      <c r="J662" s="12"/>
      <c r="K662" s="12"/>
      <c r="L662" s="12"/>
      <c r="M662" s="12"/>
    </row>
    <row r="663" ht="15.75" customHeight="1">
      <c r="A663" s="12"/>
      <c r="B663" s="12"/>
      <c r="C663" s="12"/>
      <c r="D663" s="12"/>
      <c r="E663" s="12"/>
      <c r="F663" s="12"/>
      <c r="G663" s="12"/>
      <c r="H663" s="12"/>
      <c r="I663" s="12"/>
      <c r="J663" s="12"/>
      <c r="K663" s="12"/>
      <c r="L663" s="12"/>
      <c r="M663" s="12"/>
    </row>
    <row r="664" ht="15.75" customHeight="1">
      <c r="A664" s="12"/>
      <c r="B664" s="12"/>
      <c r="C664" s="12"/>
      <c r="D664" s="12"/>
      <c r="E664" s="12"/>
      <c r="F664" s="12"/>
      <c r="G664" s="12"/>
      <c r="H664" s="12"/>
      <c r="I664" s="12"/>
      <c r="J664" s="12"/>
      <c r="K664" s="12"/>
      <c r="L664" s="12"/>
      <c r="M664" s="12"/>
    </row>
    <row r="665" ht="15.75" customHeight="1">
      <c r="A665" s="12"/>
      <c r="B665" s="12"/>
      <c r="C665" s="12"/>
      <c r="D665" s="12"/>
      <c r="E665" s="12"/>
      <c r="F665" s="12"/>
      <c r="G665" s="12"/>
      <c r="H665" s="12"/>
      <c r="I665" s="12"/>
      <c r="J665" s="12"/>
      <c r="K665" s="12"/>
      <c r="L665" s="12"/>
      <c r="M665" s="12"/>
    </row>
    <row r="666" ht="15.75" customHeight="1">
      <c r="A666" s="12"/>
      <c r="B666" s="12"/>
      <c r="C666" s="12"/>
      <c r="D666" s="12"/>
      <c r="E666" s="12"/>
      <c r="F666" s="12"/>
      <c r="G666" s="12"/>
      <c r="H666" s="12"/>
      <c r="I666" s="12"/>
      <c r="J666" s="12"/>
      <c r="K666" s="12"/>
      <c r="L666" s="12"/>
      <c r="M666" s="12"/>
    </row>
    <row r="667" ht="15.75" customHeight="1">
      <c r="A667" s="12"/>
      <c r="B667" s="12"/>
      <c r="C667" s="12"/>
      <c r="D667" s="12"/>
      <c r="E667" s="12"/>
      <c r="F667" s="12"/>
      <c r="G667" s="12"/>
      <c r="H667" s="12"/>
      <c r="I667" s="12"/>
      <c r="J667" s="12"/>
      <c r="K667" s="12"/>
      <c r="L667" s="12"/>
      <c r="M667" s="12"/>
    </row>
    <row r="668" ht="15.75" customHeight="1">
      <c r="A668" s="12"/>
      <c r="B668" s="12"/>
      <c r="C668" s="12"/>
      <c r="D668" s="12"/>
      <c r="E668" s="12"/>
      <c r="F668" s="12"/>
      <c r="G668" s="12"/>
      <c r="H668" s="12"/>
      <c r="I668" s="12"/>
      <c r="J668" s="12"/>
      <c r="K668" s="12"/>
      <c r="L668" s="12"/>
      <c r="M668" s="12"/>
    </row>
    <row r="669" ht="15.75" customHeight="1">
      <c r="A669" s="12"/>
      <c r="B669" s="12"/>
      <c r="C669" s="12"/>
      <c r="D669" s="12"/>
      <c r="E669" s="12"/>
      <c r="F669" s="12"/>
      <c r="G669" s="12"/>
      <c r="H669" s="12"/>
      <c r="I669" s="12"/>
      <c r="J669" s="12"/>
      <c r="K669" s="12"/>
      <c r="L669" s="12"/>
      <c r="M669" s="12"/>
    </row>
    <row r="670" ht="15.75" customHeight="1">
      <c r="A670" s="12"/>
      <c r="B670" s="12"/>
      <c r="C670" s="12"/>
      <c r="D670" s="12"/>
      <c r="E670" s="12"/>
      <c r="F670" s="12"/>
      <c r="G670" s="12"/>
      <c r="H670" s="12"/>
      <c r="I670" s="12"/>
      <c r="J670" s="12"/>
      <c r="K670" s="12"/>
      <c r="L670" s="12"/>
      <c r="M670" s="12"/>
    </row>
    <row r="671" ht="15.75" customHeight="1">
      <c r="A671" s="12"/>
      <c r="B671" s="12"/>
      <c r="C671" s="12"/>
      <c r="D671" s="12"/>
      <c r="E671" s="12"/>
      <c r="F671" s="12"/>
      <c r="G671" s="12"/>
      <c r="H671" s="12"/>
      <c r="I671" s="12"/>
      <c r="J671" s="12"/>
      <c r="K671" s="12"/>
      <c r="L671" s="12"/>
      <c r="M671" s="12"/>
    </row>
    <row r="672" ht="15.75" customHeight="1">
      <c r="A672" s="12"/>
      <c r="B672" s="12"/>
      <c r="C672" s="12"/>
      <c r="D672" s="12"/>
      <c r="E672" s="12"/>
      <c r="F672" s="12"/>
      <c r="G672" s="12"/>
      <c r="H672" s="12"/>
      <c r="I672" s="12"/>
      <c r="J672" s="12"/>
      <c r="K672" s="12"/>
      <c r="L672" s="12"/>
      <c r="M672" s="12"/>
    </row>
    <row r="673" ht="15.75" customHeight="1">
      <c r="A673" s="12"/>
      <c r="B673" s="12"/>
      <c r="C673" s="12"/>
      <c r="D673" s="12"/>
      <c r="E673" s="12"/>
      <c r="F673" s="12"/>
      <c r="G673" s="12"/>
      <c r="H673" s="12"/>
      <c r="I673" s="12"/>
      <c r="J673" s="12"/>
      <c r="K673" s="12"/>
      <c r="L673" s="12"/>
      <c r="M673" s="12"/>
    </row>
    <row r="674" ht="15.75" customHeight="1">
      <c r="A674" s="12"/>
      <c r="B674" s="12"/>
      <c r="C674" s="12"/>
      <c r="D674" s="12"/>
      <c r="E674" s="12"/>
      <c r="F674" s="12"/>
      <c r="G674" s="12"/>
      <c r="H674" s="12"/>
      <c r="I674" s="12"/>
      <c r="J674" s="12"/>
      <c r="K674" s="12"/>
      <c r="L674" s="12"/>
      <c r="M674" s="12"/>
    </row>
    <row r="675" ht="15.75" customHeight="1">
      <c r="A675" s="12"/>
      <c r="B675" s="12"/>
      <c r="C675" s="12"/>
      <c r="D675" s="12"/>
      <c r="E675" s="12"/>
      <c r="F675" s="12"/>
      <c r="G675" s="12"/>
      <c r="H675" s="12"/>
      <c r="I675" s="12"/>
      <c r="J675" s="12"/>
      <c r="K675" s="12"/>
      <c r="L675" s="12"/>
      <c r="M675" s="12"/>
    </row>
    <row r="676" ht="15.75" customHeight="1">
      <c r="A676" s="12"/>
      <c r="B676" s="12"/>
      <c r="C676" s="12"/>
      <c r="D676" s="12"/>
      <c r="E676" s="12"/>
      <c r="F676" s="12"/>
      <c r="G676" s="12"/>
      <c r="H676" s="12"/>
      <c r="I676" s="12"/>
      <c r="J676" s="12"/>
      <c r="K676" s="12"/>
      <c r="L676" s="12"/>
      <c r="M676" s="12"/>
    </row>
    <row r="677" ht="15.75" customHeight="1">
      <c r="A677" s="12"/>
      <c r="B677" s="12"/>
      <c r="C677" s="12"/>
      <c r="D677" s="12"/>
      <c r="E677" s="12"/>
      <c r="F677" s="12"/>
      <c r="G677" s="12"/>
      <c r="H677" s="12"/>
      <c r="I677" s="12"/>
      <c r="J677" s="12"/>
      <c r="K677" s="12"/>
      <c r="L677" s="12"/>
      <c r="M677" s="12"/>
    </row>
    <row r="678" ht="15.75" customHeight="1">
      <c r="A678" s="12"/>
      <c r="B678" s="12"/>
      <c r="C678" s="12"/>
      <c r="D678" s="12"/>
      <c r="E678" s="12"/>
      <c r="F678" s="12"/>
      <c r="G678" s="12"/>
      <c r="H678" s="12"/>
      <c r="I678" s="12"/>
      <c r="J678" s="12"/>
      <c r="K678" s="12"/>
      <c r="L678" s="12"/>
      <c r="M678" s="12"/>
    </row>
    <row r="679" ht="15.75" customHeight="1">
      <c r="A679" s="12"/>
      <c r="B679" s="12"/>
      <c r="C679" s="12"/>
      <c r="D679" s="12"/>
      <c r="E679" s="12"/>
      <c r="F679" s="12"/>
      <c r="G679" s="12"/>
      <c r="H679" s="12"/>
      <c r="I679" s="12"/>
      <c r="J679" s="12"/>
      <c r="K679" s="12"/>
      <c r="L679" s="12"/>
      <c r="M679" s="12"/>
    </row>
    <row r="680" ht="15.75" customHeight="1">
      <c r="A680" s="12"/>
      <c r="B680" s="12"/>
      <c r="C680" s="12"/>
      <c r="D680" s="12"/>
      <c r="E680" s="12"/>
      <c r="F680" s="12"/>
      <c r="G680" s="12"/>
      <c r="H680" s="12"/>
      <c r="I680" s="12"/>
      <c r="J680" s="12"/>
      <c r="K680" s="12"/>
      <c r="L680" s="12"/>
      <c r="M680" s="12"/>
    </row>
    <row r="681" ht="15.75" customHeight="1">
      <c r="A681" s="12"/>
      <c r="B681" s="12"/>
      <c r="C681" s="12"/>
      <c r="D681" s="12"/>
      <c r="E681" s="12"/>
      <c r="F681" s="12"/>
      <c r="G681" s="12"/>
      <c r="H681" s="12"/>
      <c r="I681" s="12"/>
      <c r="J681" s="12"/>
      <c r="K681" s="12"/>
      <c r="L681" s="12"/>
      <c r="M681" s="12"/>
    </row>
    <row r="682" ht="15.75" customHeight="1">
      <c r="A682" s="12"/>
      <c r="B682" s="12"/>
      <c r="C682" s="12"/>
      <c r="D682" s="12"/>
      <c r="E682" s="12"/>
      <c r="F682" s="12"/>
      <c r="G682" s="12"/>
      <c r="H682" s="12"/>
      <c r="I682" s="12"/>
      <c r="J682" s="12"/>
      <c r="K682" s="12"/>
      <c r="L682" s="12"/>
      <c r="M682" s="12"/>
    </row>
    <row r="683" ht="15.75" customHeight="1">
      <c r="A683" s="12"/>
      <c r="B683" s="12"/>
      <c r="C683" s="12"/>
      <c r="D683" s="12"/>
      <c r="E683" s="12"/>
      <c r="F683" s="12"/>
      <c r="G683" s="12"/>
      <c r="H683" s="12"/>
      <c r="I683" s="12"/>
      <c r="J683" s="12"/>
      <c r="K683" s="12"/>
      <c r="L683" s="12"/>
      <c r="M683" s="12"/>
    </row>
    <row r="684" ht="15.75" customHeight="1">
      <c r="A684" s="12"/>
      <c r="B684" s="12"/>
      <c r="C684" s="12"/>
      <c r="D684" s="12"/>
      <c r="E684" s="12"/>
      <c r="F684" s="12"/>
      <c r="G684" s="12"/>
      <c r="H684" s="12"/>
      <c r="I684" s="12"/>
      <c r="J684" s="12"/>
      <c r="K684" s="12"/>
      <c r="L684" s="12"/>
      <c r="M684" s="12"/>
    </row>
    <row r="685" ht="15.75" customHeight="1">
      <c r="A685" s="12"/>
      <c r="B685" s="12"/>
      <c r="C685" s="12"/>
      <c r="D685" s="12"/>
      <c r="E685" s="12"/>
      <c r="F685" s="12"/>
      <c r="G685" s="12"/>
      <c r="H685" s="12"/>
      <c r="I685" s="12"/>
      <c r="J685" s="12"/>
      <c r="K685" s="12"/>
      <c r="L685" s="12"/>
      <c r="M685" s="12"/>
    </row>
    <row r="686" ht="15.75" customHeight="1">
      <c r="A686" s="12"/>
      <c r="B686" s="12"/>
      <c r="C686" s="12"/>
      <c r="D686" s="12"/>
      <c r="E686" s="12"/>
      <c r="F686" s="12"/>
      <c r="G686" s="12"/>
      <c r="H686" s="12"/>
      <c r="I686" s="12"/>
      <c r="J686" s="12"/>
      <c r="K686" s="12"/>
      <c r="L686" s="12"/>
      <c r="M686" s="12"/>
    </row>
    <row r="687" ht="15.75" customHeight="1">
      <c r="A687" s="12"/>
      <c r="B687" s="12"/>
      <c r="C687" s="12"/>
      <c r="D687" s="12"/>
      <c r="E687" s="12"/>
      <c r="F687" s="12"/>
      <c r="G687" s="12"/>
      <c r="H687" s="12"/>
      <c r="I687" s="12"/>
      <c r="J687" s="12"/>
      <c r="K687" s="12"/>
      <c r="L687" s="12"/>
      <c r="M687" s="12"/>
    </row>
    <row r="688" ht="15.75" customHeight="1">
      <c r="A688" s="12"/>
      <c r="B688" s="12"/>
      <c r="C688" s="12"/>
      <c r="D688" s="12"/>
      <c r="E688" s="12"/>
      <c r="F688" s="12"/>
      <c r="G688" s="12"/>
      <c r="H688" s="12"/>
      <c r="I688" s="12"/>
      <c r="J688" s="12"/>
      <c r="K688" s="12"/>
      <c r="L688" s="12"/>
      <c r="M688" s="12"/>
    </row>
    <row r="689" ht="15.75" customHeight="1">
      <c r="A689" s="12"/>
      <c r="B689" s="12"/>
      <c r="C689" s="12"/>
      <c r="D689" s="12"/>
      <c r="E689" s="12"/>
      <c r="F689" s="12"/>
      <c r="G689" s="12"/>
      <c r="H689" s="12"/>
      <c r="I689" s="12"/>
      <c r="J689" s="12"/>
      <c r="K689" s="12"/>
      <c r="L689" s="12"/>
      <c r="M689" s="12"/>
    </row>
    <row r="690" ht="15.75" customHeight="1">
      <c r="A690" s="12"/>
      <c r="B690" s="12"/>
      <c r="C690" s="12"/>
      <c r="D690" s="12"/>
      <c r="E690" s="12"/>
      <c r="F690" s="12"/>
      <c r="G690" s="12"/>
      <c r="H690" s="12"/>
      <c r="I690" s="12"/>
      <c r="J690" s="12"/>
      <c r="K690" s="12"/>
      <c r="L690" s="12"/>
      <c r="M690" s="12"/>
    </row>
    <row r="691" ht="15.75" customHeight="1">
      <c r="A691" s="12"/>
      <c r="B691" s="12"/>
      <c r="C691" s="12"/>
      <c r="D691" s="12"/>
      <c r="E691" s="12"/>
      <c r="F691" s="12"/>
      <c r="G691" s="12"/>
      <c r="H691" s="12"/>
      <c r="I691" s="12"/>
      <c r="J691" s="12"/>
      <c r="K691" s="12"/>
      <c r="L691" s="12"/>
      <c r="M691" s="12"/>
    </row>
    <row r="692" ht="15.75" customHeight="1">
      <c r="A692" s="12"/>
      <c r="B692" s="12"/>
      <c r="C692" s="12"/>
      <c r="D692" s="12"/>
      <c r="E692" s="12"/>
      <c r="F692" s="12"/>
      <c r="G692" s="12"/>
      <c r="H692" s="12"/>
      <c r="I692" s="12"/>
      <c r="J692" s="12"/>
      <c r="K692" s="12"/>
      <c r="L692" s="12"/>
      <c r="M692" s="12"/>
    </row>
    <row r="693" ht="15.75" customHeight="1">
      <c r="A693" s="12"/>
      <c r="B693" s="12"/>
      <c r="C693" s="12"/>
      <c r="D693" s="12"/>
      <c r="E693" s="12"/>
      <c r="F693" s="12"/>
      <c r="G693" s="12"/>
      <c r="H693" s="12"/>
      <c r="I693" s="12"/>
      <c r="J693" s="12"/>
      <c r="K693" s="12"/>
      <c r="L693" s="12"/>
      <c r="M693" s="12"/>
    </row>
    <row r="694" ht="15.75" customHeight="1">
      <c r="A694" s="12"/>
      <c r="B694" s="12"/>
      <c r="C694" s="12"/>
      <c r="D694" s="12"/>
      <c r="E694" s="12"/>
      <c r="F694" s="12"/>
      <c r="G694" s="12"/>
      <c r="H694" s="12"/>
      <c r="I694" s="12"/>
      <c r="J694" s="12"/>
      <c r="K694" s="12"/>
      <c r="L694" s="12"/>
      <c r="M694" s="12"/>
    </row>
    <row r="695" ht="15.75" customHeight="1">
      <c r="A695" s="12"/>
      <c r="B695" s="12"/>
      <c r="C695" s="12"/>
      <c r="D695" s="12"/>
      <c r="E695" s="12"/>
      <c r="F695" s="12"/>
      <c r="G695" s="12"/>
      <c r="H695" s="12"/>
      <c r="I695" s="12"/>
      <c r="J695" s="12"/>
      <c r="K695" s="12"/>
      <c r="L695" s="12"/>
      <c r="M695" s="12"/>
    </row>
    <row r="696" ht="15.75" customHeight="1">
      <c r="A696" s="12"/>
      <c r="B696" s="12"/>
      <c r="C696" s="12"/>
      <c r="D696" s="12"/>
      <c r="E696" s="12"/>
      <c r="F696" s="12"/>
      <c r="G696" s="12"/>
      <c r="H696" s="12"/>
      <c r="I696" s="12"/>
      <c r="J696" s="12"/>
      <c r="K696" s="12"/>
      <c r="L696" s="12"/>
      <c r="M696" s="12"/>
    </row>
    <row r="697" ht="15.75" customHeight="1">
      <c r="A697" s="12"/>
      <c r="B697" s="12"/>
      <c r="C697" s="12"/>
      <c r="D697" s="12"/>
      <c r="E697" s="12"/>
      <c r="F697" s="12"/>
      <c r="G697" s="12"/>
      <c r="H697" s="12"/>
      <c r="I697" s="12"/>
      <c r="J697" s="12"/>
      <c r="K697" s="12"/>
      <c r="L697" s="12"/>
      <c r="M697" s="12"/>
    </row>
    <row r="698" ht="15.75" customHeight="1">
      <c r="A698" s="12"/>
      <c r="B698" s="12"/>
      <c r="C698" s="12"/>
      <c r="D698" s="12"/>
      <c r="E698" s="12"/>
      <c r="F698" s="12"/>
      <c r="G698" s="12"/>
      <c r="H698" s="12"/>
      <c r="I698" s="12"/>
      <c r="J698" s="12"/>
      <c r="K698" s="12"/>
      <c r="L698" s="12"/>
      <c r="M698" s="12"/>
    </row>
    <row r="699" ht="15.75" customHeight="1">
      <c r="A699" s="12"/>
      <c r="B699" s="12"/>
      <c r="C699" s="12"/>
      <c r="D699" s="12"/>
      <c r="E699" s="12"/>
      <c r="F699" s="12"/>
      <c r="G699" s="12"/>
      <c r="H699" s="12"/>
      <c r="I699" s="12"/>
      <c r="J699" s="12"/>
      <c r="K699" s="12"/>
      <c r="L699" s="12"/>
      <c r="M699" s="12"/>
    </row>
    <row r="700" ht="15.75" customHeight="1">
      <c r="A700" s="12"/>
      <c r="B700" s="12"/>
      <c r="C700" s="12"/>
      <c r="D700" s="12"/>
      <c r="E700" s="12"/>
      <c r="F700" s="12"/>
      <c r="G700" s="12"/>
      <c r="H700" s="12"/>
      <c r="I700" s="12"/>
      <c r="J700" s="12"/>
      <c r="K700" s="12"/>
      <c r="L700" s="12"/>
      <c r="M700" s="12"/>
    </row>
    <row r="701" ht="15.75" customHeight="1">
      <c r="A701" s="12"/>
      <c r="B701" s="12"/>
      <c r="C701" s="12"/>
      <c r="D701" s="12"/>
      <c r="E701" s="12"/>
      <c r="F701" s="12"/>
      <c r="G701" s="12"/>
      <c r="H701" s="12"/>
      <c r="I701" s="12"/>
      <c r="J701" s="12"/>
      <c r="K701" s="12"/>
      <c r="L701" s="12"/>
      <c r="M701" s="12"/>
    </row>
    <row r="702" ht="15.75" customHeight="1">
      <c r="A702" s="12"/>
      <c r="B702" s="12"/>
      <c r="C702" s="12"/>
      <c r="D702" s="12"/>
      <c r="E702" s="12"/>
      <c r="F702" s="12"/>
      <c r="G702" s="12"/>
      <c r="H702" s="12"/>
      <c r="I702" s="12"/>
      <c r="J702" s="12"/>
      <c r="K702" s="12"/>
      <c r="L702" s="12"/>
      <c r="M702" s="12"/>
    </row>
    <row r="703" ht="15.75" customHeight="1">
      <c r="A703" s="12"/>
      <c r="B703" s="12"/>
      <c r="C703" s="12"/>
      <c r="D703" s="12"/>
      <c r="E703" s="12"/>
      <c r="F703" s="12"/>
      <c r="G703" s="12"/>
      <c r="H703" s="12"/>
      <c r="I703" s="12"/>
      <c r="J703" s="12"/>
      <c r="K703" s="12"/>
      <c r="L703" s="12"/>
      <c r="M703" s="12"/>
    </row>
    <row r="704" ht="15.75" customHeight="1">
      <c r="A704" s="12"/>
      <c r="B704" s="12"/>
      <c r="C704" s="12"/>
      <c r="D704" s="12"/>
      <c r="E704" s="12"/>
      <c r="F704" s="12"/>
      <c r="G704" s="12"/>
      <c r="H704" s="12"/>
      <c r="I704" s="12"/>
      <c r="J704" s="12"/>
      <c r="K704" s="12"/>
      <c r="L704" s="12"/>
      <c r="M704" s="12"/>
    </row>
    <row r="705" ht="15.75" customHeight="1">
      <c r="A705" s="12"/>
      <c r="B705" s="12"/>
      <c r="C705" s="12"/>
      <c r="D705" s="12"/>
      <c r="E705" s="12"/>
      <c r="F705" s="12"/>
      <c r="G705" s="12"/>
      <c r="H705" s="12"/>
      <c r="I705" s="12"/>
      <c r="J705" s="12"/>
      <c r="K705" s="12"/>
      <c r="L705" s="12"/>
      <c r="M705" s="12"/>
    </row>
    <row r="706" ht="15.75" customHeight="1">
      <c r="A706" s="12"/>
      <c r="B706" s="12"/>
      <c r="C706" s="12"/>
      <c r="D706" s="12"/>
      <c r="E706" s="12"/>
      <c r="F706" s="12"/>
      <c r="G706" s="12"/>
      <c r="H706" s="12"/>
      <c r="I706" s="12"/>
      <c r="J706" s="12"/>
      <c r="K706" s="12"/>
      <c r="L706" s="12"/>
      <c r="M706" s="12"/>
    </row>
    <row r="707" ht="15.75" customHeight="1">
      <c r="A707" s="12"/>
      <c r="B707" s="12"/>
      <c r="C707" s="12"/>
      <c r="D707" s="12"/>
      <c r="E707" s="12"/>
      <c r="F707" s="12"/>
      <c r="G707" s="12"/>
      <c r="H707" s="12"/>
      <c r="I707" s="12"/>
      <c r="J707" s="12"/>
      <c r="K707" s="12"/>
      <c r="L707" s="12"/>
      <c r="M707" s="12"/>
    </row>
    <row r="708" ht="15.75" customHeight="1">
      <c r="A708" s="12"/>
      <c r="B708" s="12"/>
      <c r="C708" s="12"/>
      <c r="D708" s="12"/>
      <c r="E708" s="12"/>
      <c r="F708" s="12"/>
      <c r="G708" s="12"/>
      <c r="H708" s="12"/>
      <c r="I708" s="12"/>
      <c r="J708" s="12"/>
      <c r="K708" s="12"/>
      <c r="L708" s="12"/>
      <c r="M708" s="12"/>
    </row>
    <row r="709" ht="15.75" customHeight="1">
      <c r="A709" s="12"/>
      <c r="B709" s="12"/>
      <c r="C709" s="12"/>
      <c r="D709" s="12"/>
      <c r="E709" s="12"/>
      <c r="F709" s="12"/>
      <c r="G709" s="12"/>
      <c r="H709" s="12"/>
      <c r="I709" s="12"/>
      <c r="J709" s="12"/>
      <c r="K709" s="12"/>
      <c r="L709" s="12"/>
      <c r="M709" s="12"/>
    </row>
    <row r="710" ht="15.75" customHeight="1">
      <c r="A710" s="12"/>
      <c r="B710" s="12"/>
      <c r="C710" s="12"/>
      <c r="D710" s="12"/>
      <c r="E710" s="12"/>
      <c r="F710" s="12"/>
      <c r="G710" s="12"/>
      <c r="H710" s="12"/>
      <c r="I710" s="12"/>
      <c r="J710" s="12"/>
      <c r="K710" s="12"/>
      <c r="L710" s="12"/>
      <c r="M710" s="12"/>
    </row>
    <row r="711" ht="15.75" customHeight="1">
      <c r="A711" s="12"/>
      <c r="B711" s="12"/>
      <c r="C711" s="12"/>
      <c r="D711" s="12"/>
      <c r="E711" s="12"/>
      <c r="F711" s="12"/>
      <c r="G711" s="12"/>
      <c r="H711" s="12"/>
      <c r="I711" s="12"/>
      <c r="J711" s="12"/>
      <c r="K711" s="12"/>
      <c r="L711" s="12"/>
      <c r="M711" s="12"/>
    </row>
    <row r="712" ht="15.75" customHeight="1">
      <c r="A712" s="12"/>
      <c r="B712" s="12"/>
      <c r="C712" s="12"/>
      <c r="D712" s="12"/>
      <c r="E712" s="12"/>
      <c r="F712" s="12"/>
      <c r="G712" s="12"/>
      <c r="H712" s="12"/>
      <c r="I712" s="12"/>
      <c r="J712" s="12"/>
      <c r="K712" s="12"/>
      <c r="L712" s="12"/>
      <c r="M712" s="12"/>
    </row>
    <row r="713" ht="15.75" customHeight="1">
      <c r="A713" s="12"/>
      <c r="B713" s="12"/>
      <c r="C713" s="12"/>
      <c r="D713" s="12"/>
      <c r="E713" s="12"/>
      <c r="F713" s="12"/>
      <c r="G713" s="12"/>
      <c r="H713" s="12"/>
      <c r="I713" s="12"/>
      <c r="J713" s="12"/>
      <c r="K713" s="12"/>
      <c r="L713" s="12"/>
      <c r="M713" s="12"/>
    </row>
    <row r="714" ht="15.75" customHeight="1">
      <c r="A714" s="12"/>
      <c r="B714" s="12"/>
      <c r="C714" s="12"/>
      <c r="D714" s="12"/>
      <c r="E714" s="12"/>
      <c r="F714" s="12"/>
      <c r="G714" s="12"/>
      <c r="H714" s="12"/>
      <c r="I714" s="12"/>
      <c r="J714" s="12"/>
      <c r="K714" s="12"/>
      <c r="L714" s="12"/>
      <c r="M714" s="12"/>
    </row>
    <row r="715" ht="15.75" customHeight="1">
      <c r="A715" s="12"/>
      <c r="B715" s="12"/>
      <c r="C715" s="12"/>
      <c r="D715" s="12"/>
      <c r="E715" s="12"/>
      <c r="F715" s="12"/>
      <c r="G715" s="12"/>
      <c r="H715" s="12"/>
      <c r="I715" s="12"/>
      <c r="J715" s="12"/>
      <c r="K715" s="12"/>
      <c r="L715" s="12"/>
      <c r="M715" s="12"/>
    </row>
    <row r="716" ht="15.75" customHeight="1">
      <c r="A716" s="12"/>
      <c r="B716" s="12"/>
      <c r="C716" s="12"/>
      <c r="D716" s="12"/>
      <c r="E716" s="12"/>
      <c r="F716" s="12"/>
      <c r="G716" s="12"/>
      <c r="H716" s="12"/>
      <c r="I716" s="12"/>
      <c r="J716" s="12"/>
      <c r="K716" s="12"/>
      <c r="L716" s="12"/>
      <c r="M716" s="12"/>
    </row>
    <row r="717" ht="15.75" customHeight="1">
      <c r="A717" s="12"/>
      <c r="B717" s="12"/>
      <c r="C717" s="12"/>
      <c r="D717" s="12"/>
      <c r="E717" s="12"/>
      <c r="F717" s="12"/>
      <c r="G717" s="12"/>
      <c r="H717" s="12"/>
      <c r="I717" s="12"/>
      <c r="J717" s="12"/>
      <c r="K717" s="12"/>
      <c r="L717" s="12"/>
      <c r="M717" s="12"/>
    </row>
    <row r="718" ht="15.75" customHeight="1">
      <c r="A718" s="12"/>
      <c r="B718" s="12"/>
      <c r="C718" s="12"/>
      <c r="D718" s="12"/>
      <c r="E718" s="12"/>
      <c r="F718" s="12"/>
      <c r="G718" s="12"/>
      <c r="H718" s="12"/>
      <c r="I718" s="12"/>
      <c r="J718" s="12"/>
      <c r="K718" s="12"/>
      <c r="L718" s="12"/>
      <c r="M718" s="12"/>
    </row>
    <row r="719" ht="15.75" customHeight="1">
      <c r="A719" s="12"/>
      <c r="B719" s="12"/>
      <c r="C719" s="12"/>
      <c r="D719" s="12"/>
      <c r="E719" s="12"/>
      <c r="F719" s="12"/>
      <c r="G719" s="12"/>
      <c r="H719" s="12"/>
      <c r="I719" s="12"/>
      <c r="J719" s="12"/>
      <c r="K719" s="12"/>
      <c r="L719" s="12"/>
      <c r="M719" s="12"/>
    </row>
    <row r="720" ht="15.75" customHeight="1">
      <c r="A720" s="12"/>
      <c r="B720" s="12"/>
      <c r="C720" s="12"/>
      <c r="D720" s="12"/>
      <c r="E720" s="12"/>
      <c r="F720" s="12"/>
      <c r="G720" s="12"/>
      <c r="H720" s="12"/>
      <c r="I720" s="12"/>
      <c r="J720" s="12"/>
      <c r="K720" s="12"/>
      <c r="L720" s="12"/>
      <c r="M720" s="12"/>
    </row>
    <row r="721" ht="15.75" customHeight="1">
      <c r="A721" s="12"/>
      <c r="B721" s="12"/>
      <c r="C721" s="12"/>
      <c r="D721" s="12"/>
      <c r="E721" s="12"/>
      <c r="F721" s="12"/>
      <c r="G721" s="12"/>
      <c r="H721" s="12"/>
      <c r="I721" s="12"/>
      <c r="J721" s="12"/>
      <c r="K721" s="12"/>
      <c r="L721" s="12"/>
      <c r="M721" s="12"/>
    </row>
    <row r="722" ht="15.75" customHeight="1">
      <c r="A722" s="12"/>
      <c r="B722" s="12"/>
      <c r="C722" s="12"/>
      <c r="D722" s="12"/>
      <c r="E722" s="12"/>
      <c r="F722" s="12"/>
      <c r="G722" s="12"/>
      <c r="H722" s="12"/>
      <c r="I722" s="12"/>
      <c r="J722" s="12"/>
      <c r="K722" s="12"/>
      <c r="L722" s="12"/>
      <c r="M722" s="12"/>
    </row>
    <row r="723" ht="15.75" customHeight="1">
      <c r="A723" s="12"/>
      <c r="B723" s="12"/>
      <c r="C723" s="12"/>
      <c r="D723" s="12"/>
      <c r="E723" s="12"/>
      <c r="F723" s="12"/>
      <c r="G723" s="12"/>
      <c r="H723" s="12"/>
      <c r="I723" s="12"/>
      <c r="J723" s="12"/>
      <c r="K723" s="12"/>
      <c r="L723" s="12"/>
      <c r="M723" s="12"/>
    </row>
    <row r="724" ht="15.75" customHeight="1">
      <c r="A724" s="12"/>
      <c r="B724" s="12"/>
      <c r="C724" s="12"/>
      <c r="D724" s="12"/>
      <c r="E724" s="12"/>
      <c r="F724" s="12"/>
      <c r="G724" s="12"/>
      <c r="H724" s="12"/>
      <c r="I724" s="12"/>
      <c r="J724" s="12"/>
      <c r="K724" s="12"/>
      <c r="L724" s="12"/>
      <c r="M724" s="12"/>
    </row>
    <row r="725" ht="15.75" customHeight="1">
      <c r="A725" s="12"/>
      <c r="B725" s="12"/>
      <c r="C725" s="12"/>
      <c r="D725" s="12"/>
      <c r="E725" s="12"/>
      <c r="F725" s="12"/>
      <c r="G725" s="12"/>
      <c r="H725" s="12"/>
      <c r="I725" s="12"/>
      <c r="J725" s="12"/>
      <c r="K725" s="12"/>
      <c r="L725" s="12"/>
      <c r="M725" s="12"/>
    </row>
    <row r="726" ht="15.75" customHeight="1">
      <c r="A726" s="12"/>
      <c r="B726" s="12"/>
      <c r="C726" s="12"/>
      <c r="D726" s="12"/>
      <c r="E726" s="12"/>
      <c r="F726" s="12"/>
      <c r="G726" s="12"/>
      <c r="H726" s="12"/>
      <c r="I726" s="12"/>
      <c r="J726" s="12"/>
      <c r="K726" s="12"/>
      <c r="L726" s="12"/>
      <c r="M726" s="12"/>
    </row>
    <row r="727" ht="15.75" customHeight="1">
      <c r="A727" s="12"/>
      <c r="B727" s="12"/>
      <c r="C727" s="12"/>
      <c r="D727" s="12"/>
      <c r="E727" s="12"/>
      <c r="F727" s="12"/>
      <c r="G727" s="12"/>
      <c r="H727" s="12"/>
      <c r="I727" s="12"/>
      <c r="J727" s="12"/>
      <c r="K727" s="12"/>
      <c r="L727" s="12"/>
      <c r="M727" s="12"/>
    </row>
    <row r="728" ht="15.75" customHeight="1">
      <c r="A728" s="12"/>
      <c r="B728" s="12"/>
      <c r="C728" s="12"/>
      <c r="D728" s="12"/>
      <c r="E728" s="12"/>
      <c r="F728" s="12"/>
      <c r="G728" s="12"/>
      <c r="H728" s="12"/>
      <c r="I728" s="12"/>
      <c r="J728" s="12"/>
      <c r="K728" s="12"/>
      <c r="L728" s="12"/>
      <c r="M728" s="12"/>
    </row>
    <row r="729" ht="15.75" customHeight="1">
      <c r="A729" s="12"/>
      <c r="B729" s="12"/>
      <c r="C729" s="12"/>
      <c r="D729" s="12"/>
      <c r="E729" s="12"/>
      <c r="F729" s="12"/>
      <c r="G729" s="12"/>
      <c r="H729" s="12"/>
      <c r="I729" s="12"/>
      <c r="J729" s="12"/>
      <c r="K729" s="12"/>
      <c r="L729" s="12"/>
      <c r="M729" s="12"/>
    </row>
    <row r="730" ht="15.75" customHeight="1">
      <c r="A730" s="12"/>
      <c r="B730" s="12"/>
      <c r="C730" s="12"/>
      <c r="D730" s="12"/>
      <c r="E730" s="12"/>
      <c r="F730" s="12"/>
      <c r="G730" s="12"/>
      <c r="H730" s="12"/>
      <c r="I730" s="12"/>
      <c r="J730" s="12"/>
      <c r="K730" s="12"/>
      <c r="L730" s="12"/>
      <c r="M730" s="12"/>
    </row>
    <row r="731" ht="15.75" customHeight="1">
      <c r="A731" s="12"/>
      <c r="B731" s="12"/>
      <c r="C731" s="12"/>
      <c r="D731" s="12"/>
      <c r="E731" s="12"/>
      <c r="F731" s="12"/>
      <c r="G731" s="12"/>
      <c r="H731" s="12"/>
      <c r="I731" s="12"/>
      <c r="J731" s="12"/>
      <c r="K731" s="12"/>
      <c r="L731" s="12"/>
      <c r="M731" s="12"/>
    </row>
    <row r="732" ht="15.75" customHeight="1">
      <c r="A732" s="12"/>
      <c r="B732" s="12"/>
      <c r="C732" s="12"/>
      <c r="D732" s="12"/>
      <c r="E732" s="12"/>
      <c r="F732" s="12"/>
      <c r="G732" s="12"/>
      <c r="H732" s="12"/>
      <c r="I732" s="12"/>
      <c r="J732" s="12"/>
      <c r="K732" s="12"/>
      <c r="L732" s="12"/>
      <c r="M732" s="12"/>
    </row>
    <row r="733" ht="15.75" customHeight="1">
      <c r="A733" s="12"/>
      <c r="B733" s="12"/>
      <c r="C733" s="12"/>
      <c r="D733" s="12"/>
      <c r="E733" s="12"/>
      <c r="F733" s="12"/>
      <c r="G733" s="12"/>
      <c r="H733" s="12"/>
      <c r="I733" s="12"/>
      <c r="J733" s="12"/>
      <c r="K733" s="12"/>
      <c r="L733" s="12"/>
      <c r="M733" s="12"/>
    </row>
    <row r="734" ht="15.75" customHeight="1">
      <c r="A734" s="12"/>
      <c r="B734" s="12"/>
      <c r="C734" s="12"/>
      <c r="D734" s="12"/>
      <c r="E734" s="12"/>
      <c r="F734" s="12"/>
      <c r="G734" s="12"/>
      <c r="H734" s="12"/>
      <c r="I734" s="12"/>
      <c r="J734" s="12"/>
      <c r="K734" s="12"/>
      <c r="L734" s="12"/>
      <c r="M734" s="12"/>
    </row>
    <row r="735" ht="15.75" customHeight="1">
      <c r="A735" s="12"/>
      <c r="B735" s="12"/>
      <c r="C735" s="12"/>
      <c r="D735" s="12"/>
      <c r="E735" s="12"/>
      <c r="F735" s="12"/>
      <c r="G735" s="12"/>
      <c r="H735" s="12"/>
      <c r="I735" s="12"/>
      <c r="J735" s="12"/>
      <c r="K735" s="12"/>
      <c r="L735" s="12"/>
      <c r="M735" s="12"/>
    </row>
    <row r="736" ht="15.75" customHeight="1">
      <c r="A736" s="12"/>
      <c r="B736" s="12"/>
      <c r="C736" s="12"/>
      <c r="D736" s="12"/>
      <c r="E736" s="12"/>
      <c r="F736" s="12"/>
      <c r="G736" s="12"/>
      <c r="H736" s="12"/>
      <c r="I736" s="12"/>
      <c r="J736" s="12"/>
      <c r="K736" s="12"/>
      <c r="L736" s="12"/>
      <c r="M736" s="12"/>
    </row>
    <row r="737" ht="15.75" customHeight="1">
      <c r="A737" s="12"/>
      <c r="B737" s="12"/>
      <c r="C737" s="12"/>
      <c r="D737" s="12"/>
      <c r="E737" s="12"/>
      <c r="F737" s="12"/>
      <c r="G737" s="12"/>
      <c r="H737" s="12"/>
      <c r="I737" s="12"/>
      <c r="J737" s="12"/>
      <c r="K737" s="12"/>
      <c r="L737" s="12"/>
      <c r="M737" s="12"/>
    </row>
    <row r="738" ht="15.75" customHeight="1">
      <c r="A738" s="12"/>
      <c r="B738" s="12"/>
      <c r="C738" s="12"/>
      <c r="D738" s="12"/>
      <c r="E738" s="12"/>
      <c r="F738" s="12"/>
      <c r="G738" s="12"/>
      <c r="H738" s="12"/>
      <c r="I738" s="12"/>
      <c r="J738" s="12"/>
      <c r="K738" s="12"/>
      <c r="L738" s="12"/>
      <c r="M738" s="12"/>
    </row>
    <row r="739" ht="15.75" customHeight="1">
      <c r="A739" s="12"/>
      <c r="B739" s="12"/>
      <c r="C739" s="12"/>
      <c r="D739" s="12"/>
      <c r="E739" s="12"/>
      <c r="F739" s="12"/>
      <c r="G739" s="12"/>
      <c r="H739" s="12"/>
      <c r="I739" s="12"/>
      <c r="J739" s="12"/>
      <c r="K739" s="12"/>
      <c r="L739" s="12"/>
      <c r="M739" s="12"/>
    </row>
    <row r="740" ht="15.75" customHeight="1">
      <c r="A740" s="12"/>
      <c r="B740" s="12"/>
      <c r="C740" s="12"/>
      <c r="D740" s="12"/>
      <c r="E740" s="12"/>
      <c r="F740" s="12"/>
      <c r="G740" s="12"/>
      <c r="H740" s="12"/>
      <c r="I740" s="12"/>
      <c r="J740" s="12"/>
      <c r="K740" s="12"/>
      <c r="L740" s="12"/>
      <c r="M740" s="12"/>
    </row>
    <row r="741" ht="15.75" customHeight="1">
      <c r="A741" s="12"/>
      <c r="B741" s="12"/>
      <c r="C741" s="12"/>
      <c r="D741" s="12"/>
      <c r="E741" s="12"/>
      <c r="F741" s="12"/>
      <c r="G741" s="12"/>
      <c r="H741" s="12"/>
      <c r="I741" s="12"/>
      <c r="J741" s="12"/>
      <c r="K741" s="12"/>
      <c r="L741" s="12"/>
      <c r="M741" s="12"/>
    </row>
    <row r="742" ht="15.75" customHeight="1">
      <c r="A742" s="12"/>
      <c r="B742" s="12"/>
      <c r="C742" s="12"/>
      <c r="D742" s="12"/>
      <c r="E742" s="12"/>
      <c r="F742" s="12"/>
      <c r="G742" s="12"/>
      <c r="H742" s="12"/>
      <c r="I742" s="12"/>
      <c r="J742" s="12"/>
      <c r="K742" s="12"/>
      <c r="L742" s="12"/>
      <c r="M742" s="12"/>
    </row>
    <row r="743" ht="15.75" customHeight="1">
      <c r="A743" s="12"/>
      <c r="B743" s="12"/>
      <c r="C743" s="12"/>
      <c r="D743" s="12"/>
      <c r="E743" s="12"/>
      <c r="F743" s="12"/>
      <c r="G743" s="12"/>
      <c r="H743" s="12"/>
      <c r="I743" s="12"/>
      <c r="J743" s="12"/>
      <c r="K743" s="12"/>
      <c r="L743" s="12"/>
      <c r="M743" s="12"/>
    </row>
    <row r="744" ht="15.75" customHeight="1">
      <c r="A744" s="12"/>
      <c r="B744" s="12"/>
      <c r="C744" s="12"/>
      <c r="D744" s="12"/>
      <c r="E744" s="12"/>
      <c r="F744" s="12"/>
      <c r="G744" s="12"/>
      <c r="H744" s="12"/>
      <c r="I744" s="12"/>
      <c r="J744" s="12"/>
      <c r="K744" s="12"/>
      <c r="L744" s="12"/>
      <c r="M744" s="12"/>
    </row>
    <row r="745" ht="15.75" customHeight="1">
      <c r="A745" s="12"/>
      <c r="B745" s="12"/>
      <c r="C745" s="12"/>
      <c r="D745" s="12"/>
      <c r="E745" s="12"/>
      <c r="F745" s="12"/>
      <c r="G745" s="12"/>
      <c r="H745" s="12"/>
      <c r="I745" s="12"/>
      <c r="J745" s="12"/>
      <c r="K745" s="12"/>
      <c r="L745" s="12"/>
      <c r="M745" s="12"/>
    </row>
    <row r="746" ht="15.75" customHeight="1">
      <c r="A746" s="12"/>
      <c r="B746" s="12"/>
      <c r="C746" s="12"/>
      <c r="D746" s="12"/>
      <c r="E746" s="12"/>
      <c r="F746" s="12"/>
      <c r="G746" s="12"/>
      <c r="H746" s="12"/>
      <c r="I746" s="12"/>
      <c r="J746" s="12"/>
      <c r="K746" s="12"/>
      <c r="L746" s="12"/>
      <c r="M746" s="12"/>
    </row>
    <row r="747" ht="15.75" customHeight="1">
      <c r="A747" s="12"/>
      <c r="B747" s="12"/>
      <c r="C747" s="12"/>
      <c r="D747" s="12"/>
      <c r="E747" s="12"/>
      <c r="F747" s="12"/>
      <c r="G747" s="12"/>
      <c r="H747" s="12"/>
      <c r="I747" s="12"/>
      <c r="J747" s="12"/>
      <c r="K747" s="12"/>
      <c r="L747" s="12"/>
      <c r="M747" s="12"/>
    </row>
    <row r="748" ht="15.75" customHeight="1">
      <c r="A748" s="12"/>
      <c r="B748" s="12"/>
      <c r="C748" s="12"/>
      <c r="D748" s="12"/>
      <c r="E748" s="12"/>
      <c r="F748" s="12"/>
      <c r="G748" s="12"/>
      <c r="H748" s="12"/>
      <c r="I748" s="12"/>
      <c r="J748" s="12"/>
      <c r="K748" s="12"/>
      <c r="L748" s="12"/>
      <c r="M748" s="12"/>
    </row>
    <row r="749" ht="15.75" customHeight="1">
      <c r="A749" s="12"/>
      <c r="B749" s="12"/>
      <c r="C749" s="12"/>
      <c r="D749" s="12"/>
      <c r="E749" s="12"/>
      <c r="F749" s="12"/>
      <c r="G749" s="12"/>
      <c r="H749" s="12"/>
      <c r="I749" s="12"/>
      <c r="J749" s="12"/>
      <c r="K749" s="12"/>
      <c r="L749" s="12"/>
      <c r="M749" s="12"/>
    </row>
    <row r="750" ht="15.75" customHeight="1">
      <c r="A750" s="12"/>
      <c r="B750" s="12"/>
      <c r="C750" s="12"/>
      <c r="D750" s="12"/>
      <c r="E750" s="12"/>
      <c r="F750" s="12"/>
      <c r="G750" s="12"/>
      <c r="H750" s="12"/>
      <c r="I750" s="12"/>
      <c r="J750" s="12"/>
      <c r="K750" s="12"/>
      <c r="L750" s="12"/>
      <c r="M750" s="12"/>
    </row>
    <row r="751" ht="15.75" customHeight="1">
      <c r="A751" s="12"/>
      <c r="B751" s="12"/>
      <c r="C751" s="12"/>
      <c r="D751" s="12"/>
      <c r="E751" s="12"/>
      <c r="F751" s="12"/>
      <c r="G751" s="12"/>
      <c r="H751" s="12"/>
      <c r="I751" s="12"/>
      <c r="J751" s="12"/>
      <c r="K751" s="12"/>
      <c r="L751" s="12"/>
      <c r="M751" s="12"/>
    </row>
    <row r="752" ht="15.75" customHeight="1">
      <c r="A752" s="12"/>
      <c r="B752" s="12"/>
      <c r="C752" s="12"/>
      <c r="D752" s="12"/>
      <c r="E752" s="12"/>
      <c r="F752" s="12"/>
      <c r="G752" s="12"/>
      <c r="H752" s="12"/>
      <c r="I752" s="12"/>
      <c r="J752" s="12"/>
      <c r="K752" s="12"/>
      <c r="L752" s="12"/>
      <c r="M752" s="12"/>
    </row>
    <row r="753" ht="15.75" customHeight="1">
      <c r="A753" s="12"/>
      <c r="B753" s="12"/>
      <c r="C753" s="12"/>
      <c r="D753" s="12"/>
      <c r="E753" s="12"/>
      <c r="F753" s="12"/>
      <c r="G753" s="12"/>
      <c r="H753" s="12"/>
      <c r="I753" s="12"/>
      <c r="J753" s="12"/>
      <c r="K753" s="12"/>
      <c r="L753" s="12"/>
      <c r="M753" s="12"/>
    </row>
    <row r="754" ht="15.75" customHeight="1">
      <c r="A754" s="12"/>
      <c r="B754" s="12"/>
      <c r="C754" s="12"/>
      <c r="D754" s="12"/>
      <c r="E754" s="12"/>
      <c r="F754" s="12"/>
      <c r="G754" s="12"/>
      <c r="H754" s="12"/>
      <c r="I754" s="12"/>
      <c r="J754" s="12"/>
      <c r="K754" s="12"/>
      <c r="L754" s="12"/>
      <c r="M754" s="12"/>
    </row>
    <row r="755" ht="15.75" customHeight="1">
      <c r="A755" s="12"/>
      <c r="B755" s="12"/>
      <c r="C755" s="12"/>
      <c r="D755" s="12"/>
      <c r="E755" s="12"/>
      <c r="F755" s="12"/>
      <c r="G755" s="12"/>
      <c r="H755" s="12"/>
      <c r="I755" s="12"/>
      <c r="J755" s="12"/>
      <c r="K755" s="12"/>
      <c r="L755" s="12"/>
      <c r="M755" s="12"/>
    </row>
    <row r="756" ht="15.75" customHeight="1">
      <c r="A756" s="12"/>
      <c r="B756" s="12"/>
      <c r="C756" s="12"/>
      <c r="D756" s="12"/>
      <c r="E756" s="12"/>
      <c r="F756" s="12"/>
      <c r="G756" s="12"/>
      <c r="H756" s="12"/>
      <c r="I756" s="12"/>
      <c r="J756" s="12"/>
      <c r="K756" s="12"/>
      <c r="L756" s="12"/>
      <c r="M756" s="12"/>
    </row>
    <row r="757" ht="15.75" customHeight="1">
      <c r="A757" s="12"/>
      <c r="B757" s="12"/>
      <c r="C757" s="12"/>
      <c r="D757" s="12"/>
      <c r="E757" s="12"/>
      <c r="F757" s="12"/>
      <c r="G757" s="12"/>
      <c r="H757" s="12"/>
      <c r="I757" s="12"/>
      <c r="J757" s="12"/>
      <c r="K757" s="12"/>
      <c r="L757" s="12"/>
      <c r="M757" s="12"/>
    </row>
    <row r="758" ht="15.75" customHeight="1">
      <c r="A758" s="12"/>
      <c r="B758" s="12"/>
      <c r="C758" s="12"/>
      <c r="D758" s="12"/>
      <c r="E758" s="12"/>
      <c r="F758" s="12"/>
      <c r="G758" s="12"/>
      <c r="H758" s="12"/>
      <c r="I758" s="12"/>
      <c r="J758" s="12"/>
      <c r="K758" s="12"/>
      <c r="L758" s="12"/>
      <c r="M758" s="12"/>
    </row>
    <row r="759" ht="15.75" customHeight="1">
      <c r="A759" s="12"/>
      <c r="B759" s="12"/>
      <c r="C759" s="12"/>
      <c r="D759" s="12"/>
      <c r="E759" s="12"/>
      <c r="F759" s="12"/>
      <c r="G759" s="12"/>
      <c r="H759" s="12"/>
      <c r="I759" s="12"/>
      <c r="J759" s="12"/>
      <c r="K759" s="12"/>
      <c r="L759" s="12"/>
      <c r="M759" s="12"/>
    </row>
    <row r="760" ht="15.75" customHeight="1">
      <c r="A760" s="12"/>
      <c r="B760" s="12"/>
      <c r="C760" s="12"/>
      <c r="D760" s="12"/>
      <c r="E760" s="12"/>
      <c r="F760" s="12"/>
      <c r="G760" s="12"/>
      <c r="H760" s="12"/>
      <c r="I760" s="12"/>
      <c r="J760" s="12"/>
      <c r="K760" s="12"/>
      <c r="L760" s="12"/>
      <c r="M760" s="12"/>
    </row>
    <row r="761" ht="15.75" customHeight="1">
      <c r="A761" s="12"/>
      <c r="B761" s="12"/>
      <c r="C761" s="12"/>
      <c r="D761" s="12"/>
      <c r="E761" s="12"/>
      <c r="F761" s="12"/>
      <c r="G761" s="12"/>
      <c r="H761" s="12"/>
      <c r="I761" s="12"/>
      <c r="J761" s="12"/>
      <c r="K761" s="12"/>
      <c r="L761" s="12"/>
      <c r="M761" s="12"/>
    </row>
    <row r="762" ht="15.75" customHeight="1">
      <c r="A762" s="12"/>
      <c r="B762" s="12"/>
      <c r="C762" s="12"/>
      <c r="D762" s="12"/>
      <c r="E762" s="12"/>
      <c r="F762" s="12"/>
      <c r="G762" s="12"/>
      <c r="H762" s="12"/>
      <c r="I762" s="12"/>
      <c r="J762" s="12"/>
      <c r="K762" s="12"/>
      <c r="L762" s="12"/>
      <c r="M762" s="12"/>
    </row>
    <row r="763" ht="15.75" customHeight="1">
      <c r="A763" s="12"/>
      <c r="B763" s="12"/>
      <c r="C763" s="12"/>
      <c r="D763" s="12"/>
      <c r="E763" s="12"/>
      <c r="F763" s="12"/>
      <c r="G763" s="12"/>
      <c r="H763" s="12"/>
      <c r="I763" s="12"/>
      <c r="J763" s="12"/>
      <c r="K763" s="12"/>
      <c r="L763" s="12"/>
      <c r="M763" s="12"/>
    </row>
    <row r="764" ht="15.75" customHeight="1">
      <c r="A764" s="12"/>
      <c r="B764" s="12"/>
      <c r="C764" s="12"/>
      <c r="D764" s="12"/>
      <c r="E764" s="12"/>
      <c r="F764" s="12"/>
      <c r="G764" s="12"/>
      <c r="H764" s="12"/>
      <c r="I764" s="12"/>
      <c r="J764" s="12"/>
      <c r="K764" s="12"/>
      <c r="L764" s="12"/>
      <c r="M764" s="12"/>
    </row>
    <row r="765" ht="15.75" customHeight="1">
      <c r="A765" s="12"/>
      <c r="B765" s="12"/>
      <c r="C765" s="12"/>
      <c r="D765" s="12"/>
      <c r="E765" s="12"/>
      <c r="F765" s="12"/>
      <c r="G765" s="12"/>
      <c r="H765" s="12"/>
      <c r="I765" s="12"/>
      <c r="J765" s="12"/>
      <c r="K765" s="12"/>
      <c r="L765" s="12"/>
      <c r="M765" s="12"/>
    </row>
    <row r="766" ht="15.75" customHeight="1">
      <c r="A766" s="12"/>
      <c r="B766" s="12"/>
      <c r="C766" s="12"/>
      <c r="D766" s="12"/>
      <c r="E766" s="12"/>
      <c r="F766" s="12"/>
      <c r="G766" s="12"/>
      <c r="H766" s="12"/>
      <c r="I766" s="12"/>
      <c r="J766" s="12"/>
      <c r="K766" s="12"/>
      <c r="L766" s="12"/>
      <c r="M766" s="12"/>
    </row>
    <row r="767" ht="15.75" customHeight="1">
      <c r="A767" s="12"/>
      <c r="B767" s="12"/>
      <c r="C767" s="12"/>
      <c r="D767" s="12"/>
      <c r="E767" s="12"/>
      <c r="F767" s="12"/>
      <c r="G767" s="12"/>
      <c r="H767" s="12"/>
      <c r="I767" s="12"/>
      <c r="J767" s="12"/>
      <c r="K767" s="12"/>
      <c r="L767" s="12"/>
      <c r="M767" s="12"/>
    </row>
    <row r="768" ht="15.75" customHeight="1">
      <c r="A768" s="12"/>
      <c r="B768" s="12"/>
      <c r="C768" s="12"/>
      <c r="D768" s="12"/>
      <c r="E768" s="12"/>
      <c r="F768" s="12"/>
      <c r="G768" s="12"/>
      <c r="H768" s="12"/>
      <c r="I768" s="12"/>
      <c r="J768" s="12"/>
      <c r="K768" s="12"/>
      <c r="L768" s="12"/>
      <c r="M768" s="12"/>
    </row>
    <row r="769" ht="15.75" customHeight="1">
      <c r="A769" s="12"/>
      <c r="B769" s="12"/>
      <c r="C769" s="12"/>
      <c r="D769" s="12"/>
      <c r="E769" s="12"/>
      <c r="F769" s="12"/>
      <c r="G769" s="12"/>
      <c r="H769" s="12"/>
      <c r="I769" s="12"/>
      <c r="J769" s="12"/>
      <c r="K769" s="12"/>
      <c r="L769" s="12"/>
      <c r="M769" s="12"/>
    </row>
    <row r="770" ht="15.75" customHeight="1">
      <c r="A770" s="12"/>
      <c r="B770" s="12"/>
      <c r="C770" s="12"/>
      <c r="D770" s="12"/>
      <c r="E770" s="12"/>
      <c r="F770" s="12"/>
      <c r="G770" s="12"/>
      <c r="H770" s="12"/>
      <c r="I770" s="12"/>
      <c r="J770" s="12"/>
      <c r="K770" s="12"/>
      <c r="L770" s="12"/>
      <c r="M770" s="12"/>
    </row>
    <row r="771" ht="15.75" customHeight="1">
      <c r="A771" s="12"/>
      <c r="B771" s="12"/>
      <c r="C771" s="12"/>
      <c r="D771" s="12"/>
      <c r="E771" s="12"/>
      <c r="F771" s="12"/>
      <c r="G771" s="12"/>
      <c r="H771" s="12"/>
      <c r="I771" s="12"/>
      <c r="J771" s="12"/>
      <c r="K771" s="12"/>
      <c r="L771" s="12"/>
      <c r="M771" s="12"/>
    </row>
    <row r="772" ht="15.75" customHeight="1">
      <c r="A772" s="12"/>
      <c r="B772" s="12"/>
      <c r="C772" s="12"/>
      <c r="D772" s="12"/>
      <c r="E772" s="12"/>
      <c r="F772" s="12"/>
      <c r="G772" s="12"/>
      <c r="H772" s="12"/>
      <c r="I772" s="12"/>
      <c r="J772" s="12"/>
      <c r="K772" s="12"/>
      <c r="L772" s="12"/>
      <c r="M772" s="12"/>
    </row>
    <row r="773" ht="15.75" customHeight="1">
      <c r="A773" s="12"/>
      <c r="B773" s="12"/>
      <c r="C773" s="12"/>
      <c r="D773" s="12"/>
      <c r="E773" s="12"/>
      <c r="F773" s="12"/>
      <c r="G773" s="12"/>
      <c r="H773" s="12"/>
      <c r="I773" s="12"/>
      <c r="J773" s="12"/>
      <c r="K773" s="12"/>
      <c r="L773" s="12"/>
      <c r="M773" s="12"/>
    </row>
    <row r="774" ht="15.75" customHeight="1">
      <c r="A774" s="12"/>
      <c r="B774" s="12"/>
      <c r="C774" s="12"/>
      <c r="D774" s="12"/>
      <c r="E774" s="12"/>
      <c r="F774" s="12"/>
      <c r="G774" s="12"/>
      <c r="H774" s="12"/>
      <c r="I774" s="12"/>
      <c r="J774" s="12"/>
      <c r="K774" s="12"/>
      <c r="L774" s="12"/>
      <c r="M774" s="12"/>
    </row>
    <row r="775" ht="15.75" customHeight="1">
      <c r="A775" s="12"/>
      <c r="B775" s="12"/>
      <c r="C775" s="12"/>
      <c r="D775" s="12"/>
      <c r="E775" s="12"/>
      <c r="F775" s="12"/>
      <c r="G775" s="12"/>
      <c r="H775" s="12"/>
      <c r="I775" s="12"/>
      <c r="J775" s="12"/>
      <c r="K775" s="12"/>
      <c r="L775" s="12"/>
      <c r="M775" s="12"/>
    </row>
    <row r="776" ht="15.75" customHeight="1">
      <c r="A776" s="12"/>
      <c r="B776" s="12"/>
      <c r="C776" s="12"/>
      <c r="D776" s="12"/>
      <c r="E776" s="12"/>
      <c r="F776" s="12"/>
      <c r="G776" s="12"/>
      <c r="H776" s="12"/>
      <c r="I776" s="12"/>
      <c r="J776" s="12"/>
      <c r="K776" s="12"/>
      <c r="L776" s="12"/>
      <c r="M776" s="12"/>
    </row>
    <row r="777" ht="15.75" customHeight="1">
      <c r="A777" s="12"/>
      <c r="B777" s="12"/>
      <c r="C777" s="12"/>
      <c r="D777" s="12"/>
      <c r="E777" s="12"/>
      <c r="F777" s="12"/>
      <c r="G777" s="12"/>
      <c r="H777" s="12"/>
      <c r="I777" s="12"/>
      <c r="J777" s="12"/>
      <c r="K777" s="12"/>
      <c r="L777" s="12"/>
      <c r="M777" s="12"/>
    </row>
    <row r="778" ht="15.75" customHeight="1">
      <c r="A778" s="12"/>
      <c r="B778" s="12"/>
      <c r="C778" s="12"/>
      <c r="D778" s="12"/>
      <c r="E778" s="12"/>
      <c r="F778" s="12"/>
      <c r="G778" s="12"/>
      <c r="H778" s="12"/>
      <c r="I778" s="12"/>
      <c r="J778" s="12"/>
      <c r="K778" s="12"/>
      <c r="L778" s="12"/>
      <c r="M778" s="12"/>
    </row>
    <row r="779" ht="15.75" customHeight="1">
      <c r="A779" s="12"/>
      <c r="B779" s="12"/>
      <c r="C779" s="12"/>
      <c r="D779" s="12"/>
      <c r="E779" s="12"/>
      <c r="F779" s="12"/>
      <c r="G779" s="12"/>
      <c r="H779" s="12"/>
      <c r="I779" s="12"/>
      <c r="J779" s="12"/>
      <c r="K779" s="12"/>
      <c r="L779" s="12"/>
      <c r="M779" s="12"/>
    </row>
    <row r="780" ht="15.75" customHeight="1">
      <c r="A780" s="12"/>
      <c r="B780" s="12"/>
      <c r="C780" s="12"/>
      <c r="D780" s="12"/>
      <c r="E780" s="12"/>
      <c r="F780" s="12"/>
      <c r="G780" s="12"/>
      <c r="H780" s="12"/>
      <c r="I780" s="12"/>
      <c r="J780" s="12"/>
      <c r="K780" s="12"/>
      <c r="L780" s="12"/>
      <c r="M780" s="12"/>
    </row>
    <row r="781" ht="15.75" customHeight="1">
      <c r="A781" s="12"/>
      <c r="B781" s="12"/>
      <c r="C781" s="12"/>
      <c r="D781" s="12"/>
      <c r="E781" s="12"/>
      <c r="F781" s="12"/>
      <c r="G781" s="12"/>
      <c r="H781" s="12"/>
      <c r="I781" s="12"/>
      <c r="J781" s="12"/>
      <c r="K781" s="12"/>
      <c r="L781" s="12"/>
      <c r="M781" s="12"/>
    </row>
    <row r="782" ht="15.75" customHeight="1">
      <c r="A782" s="12"/>
      <c r="B782" s="12"/>
      <c r="C782" s="12"/>
      <c r="D782" s="12"/>
      <c r="E782" s="12"/>
      <c r="F782" s="12"/>
      <c r="G782" s="12"/>
      <c r="H782" s="12"/>
      <c r="I782" s="12"/>
      <c r="J782" s="12"/>
      <c r="K782" s="12"/>
      <c r="L782" s="12"/>
      <c r="M782" s="12"/>
    </row>
    <row r="783" ht="15.75" customHeight="1">
      <c r="A783" s="12"/>
      <c r="B783" s="12"/>
      <c r="C783" s="12"/>
      <c r="D783" s="12"/>
      <c r="E783" s="12"/>
      <c r="F783" s="12"/>
      <c r="G783" s="12"/>
      <c r="H783" s="12"/>
      <c r="I783" s="12"/>
      <c r="J783" s="12"/>
      <c r="K783" s="12"/>
      <c r="L783" s="12"/>
      <c r="M783" s="12"/>
    </row>
    <row r="784" ht="15.75" customHeight="1">
      <c r="A784" s="12"/>
      <c r="B784" s="12"/>
      <c r="C784" s="12"/>
      <c r="D784" s="12"/>
      <c r="E784" s="12"/>
      <c r="F784" s="12"/>
      <c r="G784" s="12"/>
      <c r="H784" s="12"/>
      <c r="I784" s="12"/>
      <c r="J784" s="12"/>
      <c r="K784" s="12"/>
      <c r="L784" s="12"/>
      <c r="M784" s="12"/>
    </row>
    <row r="785" ht="15.75" customHeight="1">
      <c r="A785" s="12"/>
      <c r="B785" s="12"/>
      <c r="C785" s="12"/>
      <c r="D785" s="12"/>
      <c r="E785" s="12"/>
      <c r="F785" s="12"/>
      <c r="G785" s="12"/>
      <c r="H785" s="12"/>
      <c r="I785" s="12"/>
      <c r="J785" s="12"/>
      <c r="K785" s="12"/>
      <c r="L785" s="12"/>
      <c r="M785" s="12"/>
    </row>
    <row r="786" ht="15.75" customHeight="1">
      <c r="A786" s="12"/>
      <c r="B786" s="12"/>
      <c r="C786" s="12"/>
      <c r="D786" s="12"/>
      <c r="E786" s="12"/>
      <c r="F786" s="12"/>
      <c r="G786" s="12"/>
      <c r="H786" s="12"/>
      <c r="I786" s="12"/>
      <c r="J786" s="12"/>
      <c r="K786" s="12"/>
      <c r="L786" s="12"/>
      <c r="M786" s="12"/>
    </row>
    <row r="787" ht="15.75" customHeight="1">
      <c r="A787" s="12"/>
      <c r="B787" s="12"/>
      <c r="C787" s="12"/>
      <c r="D787" s="12"/>
      <c r="E787" s="12"/>
      <c r="F787" s="12"/>
      <c r="G787" s="12"/>
      <c r="H787" s="12"/>
      <c r="I787" s="12"/>
      <c r="J787" s="12"/>
      <c r="K787" s="12"/>
      <c r="L787" s="12"/>
      <c r="M787" s="12"/>
    </row>
    <row r="788" ht="15.75" customHeight="1">
      <c r="A788" s="12"/>
      <c r="B788" s="12"/>
      <c r="C788" s="12"/>
      <c r="D788" s="12"/>
      <c r="E788" s="12"/>
      <c r="F788" s="12"/>
      <c r="G788" s="12"/>
      <c r="H788" s="12"/>
      <c r="I788" s="12"/>
      <c r="J788" s="12"/>
      <c r="K788" s="12"/>
      <c r="L788" s="12"/>
      <c r="M788" s="12"/>
    </row>
    <row r="789" ht="15.75" customHeight="1">
      <c r="A789" s="12"/>
      <c r="B789" s="12"/>
      <c r="C789" s="12"/>
      <c r="D789" s="12"/>
      <c r="E789" s="12"/>
      <c r="F789" s="12"/>
      <c r="G789" s="12"/>
      <c r="H789" s="12"/>
      <c r="I789" s="12"/>
      <c r="J789" s="12"/>
      <c r="K789" s="12"/>
      <c r="L789" s="12"/>
      <c r="M789" s="12"/>
    </row>
    <row r="790" ht="15.75" customHeight="1">
      <c r="A790" s="12"/>
      <c r="B790" s="12"/>
      <c r="C790" s="12"/>
      <c r="D790" s="12"/>
      <c r="E790" s="12"/>
      <c r="F790" s="12"/>
      <c r="G790" s="12"/>
      <c r="H790" s="12"/>
      <c r="I790" s="12"/>
      <c r="J790" s="12"/>
      <c r="K790" s="12"/>
      <c r="L790" s="12"/>
      <c r="M790" s="12"/>
    </row>
    <row r="791" ht="15.75" customHeight="1">
      <c r="A791" s="12"/>
      <c r="B791" s="12"/>
      <c r="C791" s="12"/>
      <c r="D791" s="12"/>
      <c r="E791" s="12"/>
      <c r="F791" s="12"/>
      <c r="G791" s="12"/>
      <c r="H791" s="12"/>
      <c r="I791" s="12"/>
      <c r="J791" s="12"/>
      <c r="K791" s="12"/>
      <c r="L791" s="12"/>
      <c r="M791" s="12"/>
    </row>
    <row r="792" ht="15.75" customHeight="1">
      <c r="A792" s="12"/>
      <c r="B792" s="12"/>
      <c r="C792" s="12"/>
      <c r="D792" s="12"/>
      <c r="E792" s="12"/>
      <c r="F792" s="12"/>
      <c r="G792" s="12"/>
      <c r="H792" s="12"/>
      <c r="I792" s="12"/>
      <c r="J792" s="12"/>
      <c r="K792" s="12"/>
      <c r="L792" s="12"/>
      <c r="M792" s="12"/>
    </row>
    <row r="793" ht="15.75" customHeight="1">
      <c r="A793" s="12"/>
      <c r="B793" s="12"/>
      <c r="C793" s="12"/>
      <c r="D793" s="12"/>
      <c r="E793" s="12"/>
      <c r="F793" s="12"/>
      <c r="G793" s="12"/>
      <c r="H793" s="12"/>
      <c r="I793" s="12"/>
      <c r="J793" s="12"/>
      <c r="K793" s="12"/>
      <c r="L793" s="12"/>
      <c r="M793" s="12"/>
    </row>
    <row r="794" ht="15.75" customHeight="1">
      <c r="A794" s="12"/>
      <c r="B794" s="12"/>
      <c r="C794" s="12"/>
      <c r="D794" s="12"/>
      <c r="E794" s="12"/>
      <c r="F794" s="12"/>
      <c r="G794" s="12"/>
      <c r="H794" s="12"/>
      <c r="I794" s="12"/>
      <c r="J794" s="12"/>
      <c r="K794" s="12"/>
      <c r="L794" s="12"/>
      <c r="M794" s="12"/>
    </row>
    <row r="795" ht="15.75" customHeight="1">
      <c r="A795" s="12"/>
      <c r="B795" s="12"/>
      <c r="C795" s="12"/>
      <c r="D795" s="12"/>
      <c r="E795" s="12"/>
      <c r="F795" s="12"/>
      <c r="G795" s="12"/>
      <c r="H795" s="12"/>
      <c r="I795" s="12"/>
      <c r="J795" s="12"/>
      <c r="K795" s="12"/>
      <c r="L795" s="12"/>
      <c r="M795" s="12"/>
    </row>
    <row r="796" ht="15.75" customHeight="1">
      <c r="A796" s="12"/>
      <c r="B796" s="12"/>
      <c r="C796" s="12"/>
      <c r="D796" s="12"/>
      <c r="E796" s="12"/>
      <c r="F796" s="12"/>
      <c r="G796" s="12"/>
      <c r="H796" s="12"/>
      <c r="I796" s="12"/>
      <c r="J796" s="12"/>
      <c r="K796" s="12"/>
      <c r="L796" s="12"/>
      <c r="M796" s="12"/>
    </row>
    <row r="797" ht="15.75" customHeight="1">
      <c r="A797" s="12"/>
      <c r="B797" s="12"/>
      <c r="C797" s="12"/>
      <c r="D797" s="12"/>
      <c r="E797" s="12"/>
      <c r="F797" s="12"/>
      <c r="G797" s="12"/>
      <c r="H797" s="12"/>
      <c r="I797" s="12"/>
      <c r="J797" s="12"/>
      <c r="K797" s="12"/>
      <c r="L797" s="12"/>
      <c r="M797" s="12"/>
    </row>
    <row r="798" ht="15.75" customHeight="1">
      <c r="A798" s="12"/>
      <c r="B798" s="12"/>
      <c r="C798" s="12"/>
      <c r="D798" s="12"/>
      <c r="E798" s="12"/>
      <c r="F798" s="12"/>
      <c r="G798" s="12"/>
      <c r="H798" s="12"/>
      <c r="I798" s="12"/>
      <c r="J798" s="12"/>
      <c r="K798" s="12"/>
      <c r="L798" s="12"/>
      <c r="M798" s="12"/>
    </row>
    <row r="799" ht="15.75" customHeight="1">
      <c r="A799" s="12"/>
      <c r="B799" s="12"/>
      <c r="C799" s="12"/>
      <c r="D799" s="12"/>
      <c r="E799" s="12"/>
      <c r="F799" s="12"/>
      <c r="G799" s="12"/>
      <c r="H799" s="12"/>
      <c r="I799" s="12"/>
      <c r="J799" s="12"/>
      <c r="K799" s="12"/>
      <c r="L799" s="12"/>
      <c r="M799" s="12"/>
    </row>
    <row r="800" ht="15.75" customHeight="1">
      <c r="A800" s="12"/>
      <c r="B800" s="12"/>
      <c r="C800" s="12"/>
      <c r="D800" s="12"/>
      <c r="E800" s="12"/>
      <c r="F800" s="12"/>
      <c r="G800" s="12"/>
      <c r="H800" s="12"/>
      <c r="I800" s="12"/>
      <c r="J800" s="12"/>
      <c r="K800" s="12"/>
      <c r="L800" s="12"/>
      <c r="M800" s="12"/>
    </row>
    <row r="801" ht="15.75" customHeight="1">
      <c r="A801" s="12"/>
      <c r="B801" s="12"/>
      <c r="C801" s="12"/>
      <c r="D801" s="12"/>
      <c r="E801" s="12"/>
      <c r="F801" s="12"/>
      <c r="G801" s="12"/>
      <c r="H801" s="12"/>
      <c r="I801" s="12"/>
      <c r="J801" s="12"/>
      <c r="K801" s="12"/>
      <c r="L801" s="12"/>
      <c r="M801" s="12"/>
    </row>
    <row r="802" ht="15.75" customHeight="1">
      <c r="A802" s="12"/>
      <c r="B802" s="12"/>
      <c r="C802" s="12"/>
      <c r="D802" s="12"/>
      <c r="E802" s="12"/>
      <c r="F802" s="12"/>
      <c r="G802" s="12"/>
      <c r="H802" s="12"/>
      <c r="I802" s="12"/>
      <c r="J802" s="12"/>
      <c r="K802" s="12"/>
      <c r="L802" s="12"/>
      <c r="M802" s="12"/>
    </row>
    <row r="803" ht="15.75" customHeight="1">
      <c r="A803" s="12"/>
      <c r="B803" s="12"/>
      <c r="C803" s="12"/>
      <c r="D803" s="12"/>
      <c r="E803" s="12"/>
      <c r="F803" s="12"/>
      <c r="G803" s="12"/>
      <c r="H803" s="12"/>
      <c r="I803" s="12"/>
      <c r="J803" s="12"/>
      <c r="K803" s="12"/>
      <c r="L803" s="12"/>
      <c r="M803" s="12"/>
    </row>
    <row r="804" ht="15.75" customHeight="1">
      <c r="A804" s="12"/>
      <c r="B804" s="12"/>
      <c r="C804" s="12"/>
      <c r="D804" s="12"/>
      <c r="E804" s="12"/>
      <c r="F804" s="12"/>
      <c r="G804" s="12"/>
      <c r="H804" s="12"/>
      <c r="I804" s="12"/>
      <c r="J804" s="12"/>
      <c r="K804" s="12"/>
      <c r="L804" s="12"/>
      <c r="M804" s="12"/>
    </row>
    <row r="805" ht="15.75" customHeight="1">
      <c r="A805" s="12"/>
      <c r="B805" s="12"/>
      <c r="C805" s="12"/>
      <c r="D805" s="12"/>
      <c r="E805" s="12"/>
      <c r="F805" s="12"/>
      <c r="G805" s="12"/>
      <c r="H805" s="12"/>
      <c r="I805" s="12"/>
      <c r="J805" s="12"/>
      <c r="K805" s="12"/>
      <c r="L805" s="12"/>
      <c r="M805" s="12"/>
    </row>
    <row r="806" ht="15.75" customHeight="1">
      <c r="A806" s="12"/>
      <c r="B806" s="12"/>
      <c r="C806" s="12"/>
      <c r="D806" s="12"/>
      <c r="E806" s="12"/>
      <c r="F806" s="12"/>
      <c r="G806" s="12"/>
      <c r="H806" s="12"/>
      <c r="I806" s="12"/>
      <c r="J806" s="12"/>
      <c r="K806" s="12"/>
      <c r="L806" s="12"/>
      <c r="M806" s="12"/>
    </row>
    <row r="807" ht="15.75" customHeight="1">
      <c r="A807" s="12"/>
      <c r="B807" s="12"/>
      <c r="C807" s="12"/>
      <c r="D807" s="12"/>
      <c r="E807" s="12"/>
      <c r="F807" s="12"/>
      <c r="G807" s="12"/>
      <c r="H807" s="12"/>
      <c r="I807" s="12"/>
      <c r="J807" s="12"/>
      <c r="K807" s="12"/>
      <c r="L807" s="12"/>
      <c r="M807" s="12"/>
    </row>
    <row r="808" ht="15.75" customHeight="1">
      <c r="A808" s="12"/>
      <c r="B808" s="12"/>
      <c r="C808" s="12"/>
      <c r="D808" s="12"/>
      <c r="E808" s="12"/>
      <c r="F808" s="12"/>
      <c r="G808" s="12"/>
      <c r="H808" s="12"/>
      <c r="I808" s="12"/>
      <c r="J808" s="12"/>
      <c r="K808" s="12"/>
      <c r="L808" s="12"/>
      <c r="M808" s="12"/>
    </row>
    <row r="809" ht="15.75" customHeight="1">
      <c r="A809" s="12"/>
      <c r="B809" s="12"/>
      <c r="C809" s="12"/>
      <c r="D809" s="12"/>
      <c r="E809" s="12"/>
      <c r="F809" s="12"/>
      <c r="G809" s="12"/>
      <c r="H809" s="12"/>
      <c r="I809" s="12"/>
      <c r="J809" s="12"/>
      <c r="K809" s="12"/>
      <c r="L809" s="12"/>
      <c r="M809" s="12"/>
    </row>
    <row r="810" ht="15.75" customHeight="1">
      <c r="A810" s="12"/>
      <c r="B810" s="12"/>
      <c r="C810" s="12"/>
      <c r="D810" s="12"/>
      <c r="E810" s="12"/>
      <c r="F810" s="12"/>
      <c r="G810" s="12"/>
      <c r="H810" s="12"/>
      <c r="I810" s="12"/>
      <c r="J810" s="12"/>
      <c r="K810" s="12"/>
      <c r="L810" s="12"/>
      <c r="M810" s="12"/>
    </row>
    <row r="811" ht="15.75" customHeight="1">
      <c r="A811" s="12"/>
      <c r="B811" s="12"/>
      <c r="C811" s="12"/>
      <c r="D811" s="12"/>
      <c r="E811" s="12"/>
      <c r="F811" s="12"/>
      <c r="G811" s="12"/>
      <c r="H811" s="12"/>
      <c r="I811" s="12"/>
      <c r="J811" s="12"/>
      <c r="K811" s="12"/>
      <c r="L811" s="12"/>
      <c r="M811" s="12"/>
    </row>
    <row r="812" ht="15.75" customHeight="1">
      <c r="A812" s="12"/>
      <c r="B812" s="12"/>
      <c r="C812" s="12"/>
      <c r="D812" s="12"/>
      <c r="E812" s="12"/>
      <c r="F812" s="12"/>
      <c r="G812" s="12"/>
      <c r="H812" s="12"/>
      <c r="I812" s="12"/>
      <c r="J812" s="12"/>
      <c r="K812" s="12"/>
      <c r="L812" s="12"/>
      <c r="M812" s="12"/>
    </row>
    <row r="813" ht="15.75" customHeight="1">
      <c r="A813" s="12"/>
      <c r="B813" s="12"/>
      <c r="C813" s="12"/>
      <c r="D813" s="12"/>
      <c r="E813" s="12"/>
      <c r="F813" s="12"/>
      <c r="G813" s="12"/>
      <c r="H813" s="12"/>
      <c r="I813" s="12"/>
      <c r="J813" s="12"/>
      <c r="K813" s="12"/>
      <c r="L813" s="12"/>
      <c r="M813" s="12"/>
    </row>
    <row r="814" ht="15.75" customHeight="1">
      <c r="A814" s="12"/>
      <c r="B814" s="12"/>
      <c r="C814" s="12"/>
      <c r="D814" s="12"/>
      <c r="E814" s="12"/>
      <c r="F814" s="12"/>
      <c r="G814" s="12"/>
      <c r="H814" s="12"/>
      <c r="I814" s="12"/>
      <c r="J814" s="12"/>
      <c r="K814" s="12"/>
      <c r="L814" s="12"/>
      <c r="M814" s="12"/>
    </row>
    <row r="815" ht="15.75" customHeight="1">
      <c r="A815" s="12"/>
      <c r="B815" s="12"/>
      <c r="C815" s="12"/>
      <c r="D815" s="12"/>
      <c r="E815" s="12"/>
      <c r="F815" s="12"/>
      <c r="G815" s="12"/>
      <c r="H815" s="12"/>
      <c r="I815" s="12"/>
      <c r="J815" s="12"/>
      <c r="K815" s="12"/>
      <c r="L815" s="12"/>
      <c r="M815" s="12"/>
    </row>
    <row r="816" ht="15.75" customHeight="1">
      <c r="A816" s="12"/>
      <c r="B816" s="12"/>
      <c r="C816" s="12"/>
      <c r="D816" s="12"/>
      <c r="E816" s="12"/>
      <c r="F816" s="12"/>
      <c r="G816" s="12"/>
      <c r="H816" s="12"/>
      <c r="I816" s="12"/>
      <c r="J816" s="12"/>
      <c r="K816" s="12"/>
      <c r="L816" s="12"/>
      <c r="M816" s="12"/>
    </row>
    <row r="817" ht="15.75" customHeight="1">
      <c r="A817" s="12"/>
      <c r="B817" s="12"/>
      <c r="C817" s="12"/>
      <c r="D817" s="12"/>
      <c r="E817" s="12"/>
      <c r="F817" s="12"/>
      <c r="G817" s="12"/>
      <c r="H817" s="12"/>
      <c r="I817" s="12"/>
      <c r="J817" s="12"/>
      <c r="K817" s="12"/>
      <c r="L817" s="12"/>
      <c r="M817" s="12"/>
    </row>
    <row r="818" ht="15.75" customHeight="1">
      <c r="A818" s="12"/>
      <c r="B818" s="12"/>
      <c r="C818" s="12"/>
      <c r="D818" s="12"/>
      <c r="E818" s="12"/>
      <c r="F818" s="12"/>
      <c r="G818" s="12"/>
      <c r="H818" s="12"/>
      <c r="I818" s="12"/>
      <c r="J818" s="12"/>
      <c r="K818" s="12"/>
      <c r="L818" s="12"/>
      <c r="M818" s="12"/>
    </row>
    <row r="819" ht="15.75" customHeight="1">
      <c r="A819" s="12"/>
      <c r="B819" s="12"/>
      <c r="C819" s="12"/>
      <c r="D819" s="12"/>
      <c r="E819" s="12"/>
      <c r="F819" s="12"/>
      <c r="G819" s="12"/>
      <c r="H819" s="12"/>
      <c r="I819" s="12"/>
      <c r="J819" s="12"/>
      <c r="K819" s="12"/>
      <c r="L819" s="12"/>
      <c r="M819" s="12"/>
    </row>
    <row r="820" ht="15.75" customHeight="1">
      <c r="A820" s="12"/>
      <c r="B820" s="12"/>
      <c r="C820" s="12"/>
      <c r="D820" s="12"/>
      <c r="E820" s="12"/>
      <c r="F820" s="12"/>
      <c r="G820" s="12"/>
      <c r="H820" s="12"/>
      <c r="I820" s="12"/>
      <c r="J820" s="12"/>
      <c r="K820" s="12"/>
      <c r="L820" s="12"/>
      <c r="M820" s="12"/>
    </row>
    <row r="821" ht="15.75" customHeight="1">
      <c r="A821" s="12"/>
      <c r="B821" s="12"/>
      <c r="C821" s="12"/>
      <c r="D821" s="12"/>
      <c r="E821" s="12"/>
      <c r="F821" s="12"/>
      <c r="G821" s="12"/>
      <c r="H821" s="12"/>
      <c r="I821" s="12"/>
      <c r="J821" s="12"/>
      <c r="K821" s="12"/>
      <c r="L821" s="12"/>
      <c r="M821" s="12"/>
    </row>
    <row r="822" ht="15.75" customHeight="1">
      <c r="A822" s="12"/>
      <c r="B822" s="12"/>
      <c r="C822" s="12"/>
      <c r="D822" s="12"/>
      <c r="E822" s="12"/>
      <c r="F822" s="12"/>
      <c r="G822" s="12"/>
      <c r="H822" s="12"/>
      <c r="I822" s="12"/>
      <c r="J822" s="12"/>
      <c r="K822" s="12"/>
      <c r="L822" s="12"/>
      <c r="M822" s="12"/>
    </row>
    <row r="823" ht="15.75" customHeight="1">
      <c r="A823" s="12"/>
      <c r="B823" s="12"/>
      <c r="C823" s="12"/>
      <c r="D823" s="12"/>
      <c r="E823" s="12"/>
      <c r="F823" s="12"/>
      <c r="G823" s="12"/>
      <c r="H823" s="12"/>
      <c r="I823" s="12"/>
      <c r="J823" s="12"/>
      <c r="K823" s="12"/>
      <c r="L823" s="12"/>
      <c r="M823" s="12"/>
    </row>
    <row r="824" ht="15.75" customHeight="1">
      <c r="A824" s="12"/>
      <c r="B824" s="12"/>
      <c r="C824" s="12"/>
      <c r="D824" s="12"/>
      <c r="E824" s="12"/>
      <c r="F824" s="12"/>
      <c r="G824" s="12"/>
      <c r="H824" s="12"/>
      <c r="I824" s="12"/>
      <c r="J824" s="12"/>
      <c r="K824" s="12"/>
      <c r="L824" s="12"/>
      <c r="M824" s="12"/>
    </row>
    <row r="825" ht="15.75" customHeight="1">
      <c r="A825" s="12"/>
      <c r="B825" s="12"/>
      <c r="C825" s="12"/>
      <c r="D825" s="12"/>
      <c r="E825" s="12"/>
      <c r="F825" s="12"/>
      <c r="G825" s="12"/>
      <c r="H825" s="12"/>
      <c r="I825" s="12"/>
      <c r="J825" s="12"/>
      <c r="K825" s="12"/>
      <c r="L825" s="12"/>
      <c r="M825" s="12"/>
    </row>
    <row r="826" ht="15.75" customHeight="1">
      <c r="A826" s="12"/>
      <c r="B826" s="12"/>
      <c r="C826" s="12"/>
      <c r="D826" s="12"/>
      <c r="E826" s="12"/>
      <c r="F826" s="12"/>
      <c r="G826" s="12"/>
      <c r="H826" s="12"/>
      <c r="I826" s="12"/>
      <c r="J826" s="12"/>
      <c r="K826" s="12"/>
      <c r="L826" s="12"/>
      <c r="M826" s="12"/>
    </row>
    <row r="827" ht="15.75" customHeight="1">
      <c r="A827" s="12"/>
      <c r="B827" s="12"/>
      <c r="C827" s="12"/>
      <c r="D827" s="12"/>
      <c r="E827" s="12"/>
      <c r="F827" s="12"/>
      <c r="G827" s="12"/>
      <c r="H827" s="12"/>
      <c r="I827" s="12"/>
      <c r="J827" s="12"/>
      <c r="K827" s="12"/>
      <c r="L827" s="12"/>
      <c r="M827" s="12"/>
    </row>
    <row r="828" ht="15.75" customHeight="1">
      <c r="A828" s="12"/>
      <c r="B828" s="12"/>
      <c r="C828" s="12"/>
      <c r="D828" s="12"/>
      <c r="E828" s="12"/>
      <c r="F828" s="12"/>
      <c r="G828" s="12"/>
      <c r="H828" s="12"/>
      <c r="I828" s="12"/>
      <c r="J828" s="12"/>
      <c r="K828" s="12"/>
      <c r="L828" s="12"/>
      <c r="M828" s="12"/>
    </row>
    <row r="829" ht="15.75" customHeight="1">
      <c r="A829" s="12"/>
      <c r="B829" s="12"/>
      <c r="C829" s="12"/>
      <c r="D829" s="12"/>
      <c r="E829" s="12"/>
      <c r="F829" s="12"/>
      <c r="G829" s="12"/>
      <c r="H829" s="12"/>
      <c r="I829" s="12"/>
      <c r="J829" s="12"/>
      <c r="K829" s="12"/>
      <c r="L829" s="12"/>
      <c r="M829" s="12"/>
    </row>
    <row r="830" ht="15.75" customHeight="1">
      <c r="A830" s="12"/>
      <c r="B830" s="12"/>
      <c r="C830" s="12"/>
      <c r="D830" s="12"/>
      <c r="E830" s="12"/>
      <c r="F830" s="12"/>
      <c r="G830" s="12"/>
      <c r="H830" s="12"/>
      <c r="I830" s="12"/>
      <c r="J830" s="12"/>
      <c r="K830" s="12"/>
      <c r="L830" s="12"/>
      <c r="M830" s="12"/>
    </row>
    <row r="831" ht="15.75" customHeight="1">
      <c r="A831" s="12"/>
      <c r="B831" s="12"/>
      <c r="C831" s="12"/>
      <c r="D831" s="12"/>
      <c r="E831" s="12"/>
      <c r="F831" s="12"/>
      <c r="G831" s="12"/>
      <c r="H831" s="12"/>
      <c r="I831" s="12"/>
      <c r="J831" s="12"/>
      <c r="K831" s="12"/>
      <c r="L831" s="12"/>
      <c r="M831" s="12"/>
    </row>
    <row r="832" ht="15.75" customHeight="1">
      <c r="A832" s="12"/>
      <c r="B832" s="12"/>
      <c r="C832" s="12"/>
      <c r="D832" s="12"/>
      <c r="E832" s="12"/>
      <c r="F832" s="12"/>
      <c r="G832" s="12"/>
      <c r="H832" s="12"/>
      <c r="I832" s="12"/>
      <c r="J832" s="12"/>
      <c r="K832" s="12"/>
      <c r="L832" s="12"/>
      <c r="M832" s="12"/>
    </row>
    <row r="833" ht="15.75" customHeight="1">
      <c r="A833" s="12"/>
      <c r="B833" s="12"/>
      <c r="C833" s="12"/>
      <c r="D833" s="12"/>
      <c r="E833" s="12"/>
      <c r="F833" s="12"/>
      <c r="G833" s="12"/>
      <c r="H833" s="12"/>
      <c r="I833" s="12"/>
      <c r="J833" s="12"/>
      <c r="K833" s="12"/>
      <c r="L833" s="12"/>
      <c r="M833" s="12"/>
    </row>
    <row r="834" ht="15.75" customHeight="1">
      <c r="A834" s="12"/>
      <c r="B834" s="12"/>
      <c r="C834" s="12"/>
      <c r="D834" s="12"/>
      <c r="E834" s="12"/>
      <c r="F834" s="12"/>
      <c r="G834" s="12"/>
      <c r="H834" s="12"/>
      <c r="I834" s="12"/>
      <c r="J834" s="12"/>
      <c r="K834" s="12"/>
      <c r="L834" s="12"/>
      <c r="M834" s="12"/>
    </row>
    <row r="835" ht="15.75" customHeight="1">
      <c r="A835" s="12"/>
      <c r="B835" s="12"/>
      <c r="C835" s="12"/>
      <c r="D835" s="12"/>
      <c r="E835" s="12"/>
      <c r="F835" s="12"/>
      <c r="G835" s="12"/>
      <c r="H835" s="12"/>
      <c r="I835" s="12"/>
      <c r="J835" s="12"/>
      <c r="K835" s="12"/>
      <c r="L835" s="12"/>
      <c r="M835" s="12"/>
    </row>
    <row r="836" ht="15.75" customHeight="1">
      <c r="A836" s="12"/>
      <c r="B836" s="12"/>
      <c r="C836" s="12"/>
      <c r="D836" s="12"/>
      <c r="E836" s="12"/>
      <c r="F836" s="12"/>
      <c r="G836" s="12"/>
      <c r="H836" s="12"/>
      <c r="I836" s="12"/>
      <c r="J836" s="12"/>
      <c r="K836" s="12"/>
      <c r="L836" s="12"/>
      <c r="M836" s="12"/>
    </row>
    <row r="837" ht="15.75" customHeight="1">
      <c r="A837" s="12"/>
      <c r="B837" s="12"/>
      <c r="C837" s="12"/>
      <c r="D837" s="12"/>
      <c r="E837" s="12"/>
      <c r="F837" s="12"/>
      <c r="G837" s="12"/>
      <c r="H837" s="12"/>
      <c r="I837" s="12"/>
      <c r="J837" s="12"/>
      <c r="K837" s="12"/>
      <c r="L837" s="12"/>
      <c r="M837" s="12"/>
    </row>
    <row r="838" ht="15.75" customHeight="1">
      <c r="A838" s="12"/>
      <c r="B838" s="12"/>
      <c r="C838" s="12"/>
      <c r="D838" s="12"/>
      <c r="E838" s="12"/>
      <c r="F838" s="12"/>
      <c r="G838" s="12"/>
      <c r="H838" s="12"/>
      <c r="I838" s="12"/>
      <c r="J838" s="12"/>
      <c r="K838" s="12"/>
      <c r="L838" s="12"/>
      <c r="M838" s="12"/>
    </row>
    <row r="839" ht="15.75" customHeight="1">
      <c r="A839" s="12"/>
      <c r="B839" s="12"/>
      <c r="C839" s="12"/>
      <c r="D839" s="12"/>
      <c r="E839" s="12"/>
      <c r="F839" s="12"/>
      <c r="G839" s="12"/>
      <c r="H839" s="12"/>
      <c r="I839" s="12"/>
      <c r="J839" s="12"/>
      <c r="K839" s="12"/>
      <c r="L839" s="12"/>
      <c r="M839" s="12"/>
    </row>
    <row r="840" ht="15.75" customHeight="1">
      <c r="A840" s="12"/>
      <c r="B840" s="12"/>
      <c r="C840" s="12"/>
      <c r="D840" s="12"/>
      <c r="E840" s="12"/>
      <c r="F840" s="12"/>
      <c r="G840" s="12"/>
      <c r="H840" s="12"/>
      <c r="I840" s="12"/>
      <c r="J840" s="12"/>
      <c r="K840" s="12"/>
      <c r="L840" s="12"/>
      <c r="M840" s="12"/>
    </row>
    <row r="841" ht="15.75" customHeight="1">
      <c r="A841" s="12"/>
      <c r="B841" s="12"/>
      <c r="C841" s="12"/>
      <c r="D841" s="12"/>
      <c r="E841" s="12"/>
      <c r="F841" s="12"/>
      <c r="G841" s="12"/>
      <c r="H841" s="12"/>
      <c r="I841" s="12"/>
      <c r="J841" s="12"/>
      <c r="K841" s="12"/>
      <c r="L841" s="12"/>
      <c r="M841" s="12"/>
    </row>
    <row r="842" ht="15.75" customHeight="1">
      <c r="A842" s="12"/>
      <c r="B842" s="12"/>
      <c r="C842" s="12"/>
      <c r="D842" s="12"/>
      <c r="E842" s="12"/>
      <c r="F842" s="12"/>
      <c r="G842" s="12"/>
      <c r="H842" s="12"/>
      <c r="I842" s="12"/>
      <c r="J842" s="12"/>
      <c r="K842" s="12"/>
      <c r="L842" s="12"/>
      <c r="M842" s="12"/>
    </row>
    <row r="843" ht="15.75" customHeight="1">
      <c r="A843" s="12"/>
      <c r="B843" s="12"/>
      <c r="C843" s="12"/>
      <c r="D843" s="12"/>
      <c r="E843" s="12"/>
      <c r="F843" s="12"/>
      <c r="G843" s="12"/>
      <c r="H843" s="12"/>
      <c r="I843" s="12"/>
      <c r="J843" s="12"/>
      <c r="K843" s="12"/>
      <c r="L843" s="12"/>
      <c r="M843" s="12"/>
    </row>
    <row r="844" ht="15.75" customHeight="1">
      <c r="A844" s="12"/>
      <c r="B844" s="12"/>
      <c r="C844" s="12"/>
      <c r="D844" s="12"/>
      <c r="E844" s="12"/>
      <c r="F844" s="12"/>
      <c r="G844" s="12"/>
      <c r="H844" s="12"/>
      <c r="I844" s="12"/>
      <c r="J844" s="12"/>
      <c r="K844" s="12"/>
      <c r="L844" s="12"/>
      <c r="M844" s="12"/>
    </row>
    <row r="845" ht="15.75" customHeight="1">
      <c r="A845" s="12"/>
      <c r="B845" s="12"/>
      <c r="C845" s="12"/>
      <c r="D845" s="12"/>
      <c r="E845" s="12"/>
      <c r="F845" s="12"/>
      <c r="G845" s="12"/>
      <c r="H845" s="12"/>
      <c r="I845" s="12"/>
      <c r="J845" s="12"/>
      <c r="K845" s="12"/>
      <c r="L845" s="12"/>
      <c r="M845" s="12"/>
    </row>
    <row r="846" ht="15.75" customHeight="1">
      <c r="A846" s="12"/>
      <c r="B846" s="12"/>
      <c r="C846" s="12"/>
      <c r="D846" s="12"/>
      <c r="E846" s="12"/>
      <c r="F846" s="12"/>
      <c r="G846" s="12"/>
      <c r="H846" s="12"/>
      <c r="I846" s="12"/>
      <c r="J846" s="12"/>
      <c r="K846" s="12"/>
      <c r="L846" s="12"/>
      <c r="M846" s="12"/>
    </row>
    <row r="847" ht="15.75" customHeight="1">
      <c r="A847" s="12"/>
      <c r="B847" s="12"/>
      <c r="C847" s="12"/>
      <c r="D847" s="12"/>
      <c r="E847" s="12"/>
      <c r="F847" s="12"/>
      <c r="G847" s="12"/>
      <c r="H847" s="12"/>
      <c r="I847" s="12"/>
      <c r="J847" s="12"/>
      <c r="K847" s="12"/>
      <c r="L847" s="12"/>
      <c r="M847" s="12"/>
    </row>
    <row r="848" ht="15.75" customHeight="1">
      <c r="A848" s="12"/>
      <c r="B848" s="12"/>
      <c r="C848" s="12"/>
      <c r="D848" s="12"/>
      <c r="E848" s="12"/>
      <c r="F848" s="12"/>
      <c r="G848" s="12"/>
      <c r="H848" s="12"/>
      <c r="I848" s="12"/>
      <c r="J848" s="12"/>
      <c r="K848" s="12"/>
      <c r="L848" s="12"/>
      <c r="M848" s="12"/>
    </row>
    <row r="849" ht="15.75" customHeight="1">
      <c r="A849" s="12"/>
      <c r="B849" s="12"/>
      <c r="C849" s="12"/>
      <c r="D849" s="12"/>
      <c r="E849" s="12"/>
      <c r="F849" s="12"/>
      <c r="G849" s="12"/>
      <c r="H849" s="12"/>
      <c r="I849" s="12"/>
      <c r="J849" s="12"/>
      <c r="K849" s="12"/>
      <c r="L849" s="12"/>
      <c r="M849" s="12"/>
    </row>
    <row r="850" ht="15.75" customHeight="1">
      <c r="A850" s="12"/>
      <c r="B850" s="12"/>
      <c r="C850" s="12"/>
      <c r="D850" s="12"/>
      <c r="E850" s="12"/>
      <c r="F850" s="12"/>
      <c r="G850" s="12"/>
      <c r="H850" s="12"/>
      <c r="I850" s="12"/>
      <c r="J850" s="12"/>
      <c r="K850" s="12"/>
      <c r="L850" s="12"/>
      <c r="M850" s="12"/>
    </row>
    <row r="851" ht="15.75" customHeight="1">
      <c r="A851" s="12"/>
      <c r="B851" s="12"/>
      <c r="C851" s="12"/>
      <c r="D851" s="12"/>
      <c r="E851" s="12"/>
      <c r="F851" s="12"/>
      <c r="G851" s="12"/>
      <c r="H851" s="12"/>
      <c r="I851" s="12"/>
      <c r="J851" s="12"/>
      <c r="K851" s="12"/>
      <c r="L851" s="12"/>
      <c r="M851" s="12"/>
    </row>
    <row r="852" ht="15.75" customHeight="1">
      <c r="A852" s="12"/>
      <c r="B852" s="12"/>
      <c r="C852" s="12"/>
      <c r="D852" s="12"/>
      <c r="E852" s="12"/>
      <c r="F852" s="12"/>
      <c r="G852" s="12"/>
      <c r="H852" s="12"/>
      <c r="I852" s="12"/>
      <c r="J852" s="12"/>
      <c r="K852" s="12"/>
      <c r="L852" s="12"/>
      <c r="M852" s="12"/>
    </row>
    <row r="853" ht="15.75" customHeight="1">
      <c r="A853" s="12"/>
      <c r="B853" s="12"/>
      <c r="C853" s="12"/>
      <c r="D853" s="12"/>
      <c r="E853" s="12"/>
      <c r="F853" s="12"/>
      <c r="G853" s="12"/>
      <c r="H853" s="12"/>
      <c r="I853" s="12"/>
      <c r="J853" s="12"/>
      <c r="K853" s="12"/>
      <c r="L853" s="12"/>
      <c r="M853" s="12"/>
    </row>
    <row r="854" ht="15.75" customHeight="1">
      <c r="A854" s="12"/>
      <c r="B854" s="12"/>
      <c r="C854" s="12"/>
      <c r="D854" s="12"/>
      <c r="E854" s="12"/>
      <c r="F854" s="12"/>
      <c r="G854" s="12"/>
      <c r="H854" s="12"/>
      <c r="I854" s="12"/>
      <c r="J854" s="12"/>
      <c r="K854" s="12"/>
      <c r="L854" s="12"/>
      <c r="M854" s="12"/>
    </row>
    <row r="855" ht="15.75" customHeight="1">
      <c r="A855" s="12"/>
      <c r="B855" s="12"/>
      <c r="C855" s="12"/>
      <c r="D855" s="12"/>
      <c r="E855" s="12"/>
      <c r="F855" s="12"/>
      <c r="G855" s="12"/>
      <c r="H855" s="12"/>
      <c r="I855" s="12"/>
      <c r="J855" s="12"/>
      <c r="K855" s="12"/>
      <c r="L855" s="12"/>
      <c r="M855" s="12"/>
    </row>
    <row r="856" ht="15.75" customHeight="1">
      <c r="A856" s="12"/>
      <c r="B856" s="12"/>
      <c r="C856" s="12"/>
      <c r="D856" s="12"/>
      <c r="E856" s="12"/>
      <c r="F856" s="12"/>
      <c r="G856" s="12"/>
      <c r="H856" s="12"/>
      <c r="I856" s="12"/>
      <c r="J856" s="12"/>
      <c r="K856" s="12"/>
      <c r="L856" s="12"/>
      <c r="M856" s="12"/>
    </row>
    <row r="857" ht="15.75" customHeight="1">
      <c r="A857" s="12"/>
      <c r="B857" s="12"/>
      <c r="C857" s="12"/>
      <c r="D857" s="12"/>
      <c r="E857" s="12"/>
      <c r="F857" s="12"/>
      <c r="G857" s="12"/>
      <c r="H857" s="12"/>
      <c r="I857" s="12"/>
      <c r="J857" s="12"/>
      <c r="K857" s="12"/>
      <c r="L857" s="12"/>
      <c r="M857" s="12"/>
    </row>
    <row r="858" ht="15.75" customHeight="1">
      <c r="A858" s="12"/>
      <c r="B858" s="12"/>
      <c r="C858" s="12"/>
      <c r="D858" s="12"/>
      <c r="E858" s="12"/>
      <c r="F858" s="12"/>
      <c r="G858" s="12"/>
      <c r="H858" s="12"/>
      <c r="I858" s="12"/>
      <c r="J858" s="12"/>
      <c r="K858" s="12"/>
      <c r="L858" s="12"/>
      <c r="M858" s="12"/>
    </row>
    <row r="859" ht="15.75" customHeight="1">
      <c r="A859" s="12"/>
      <c r="B859" s="12"/>
      <c r="C859" s="12"/>
      <c r="D859" s="12"/>
      <c r="E859" s="12"/>
      <c r="F859" s="12"/>
      <c r="G859" s="12"/>
      <c r="H859" s="12"/>
      <c r="I859" s="12"/>
      <c r="J859" s="12"/>
      <c r="K859" s="12"/>
      <c r="L859" s="12"/>
      <c r="M859" s="12"/>
    </row>
    <row r="860" ht="15.75" customHeight="1">
      <c r="A860" s="12"/>
      <c r="B860" s="12"/>
      <c r="C860" s="12"/>
      <c r="D860" s="12"/>
      <c r="E860" s="12"/>
      <c r="F860" s="12"/>
      <c r="G860" s="12"/>
      <c r="H860" s="12"/>
      <c r="I860" s="12"/>
      <c r="J860" s="12"/>
      <c r="K860" s="12"/>
      <c r="L860" s="12"/>
      <c r="M860" s="12"/>
    </row>
    <row r="861" ht="15.75" customHeight="1">
      <c r="A861" s="12"/>
      <c r="B861" s="12"/>
      <c r="C861" s="12"/>
      <c r="D861" s="12"/>
      <c r="E861" s="12"/>
      <c r="F861" s="12"/>
      <c r="G861" s="12"/>
      <c r="H861" s="12"/>
      <c r="I861" s="12"/>
      <c r="J861" s="12"/>
      <c r="K861" s="12"/>
      <c r="L861" s="12"/>
      <c r="M861" s="12"/>
    </row>
    <row r="862" ht="15.75" customHeight="1">
      <c r="A862" s="12"/>
      <c r="B862" s="12"/>
      <c r="C862" s="12"/>
      <c r="D862" s="12"/>
      <c r="E862" s="12"/>
      <c r="F862" s="12"/>
      <c r="G862" s="12"/>
      <c r="H862" s="12"/>
      <c r="I862" s="12"/>
      <c r="J862" s="12"/>
      <c r="K862" s="12"/>
      <c r="L862" s="12"/>
      <c r="M862" s="12"/>
    </row>
    <row r="863" ht="15.75" customHeight="1">
      <c r="A863" s="12"/>
      <c r="B863" s="12"/>
      <c r="C863" s="12"/>
      <c r="D863" s="12"/>
      <c r="E863" s="12"/>
      <c r="F863" s="12"/>
      <c r="G863" s="12"/>
      <c r="H863" s="12"/>
      <c r="I863" s="12"/>
      <c r="J863" s="12"/>
      <c r="K863" s="12"/>
      <c r="L863" s="12"/>
      <c r="M863" s="12"/>
    </row>
    <row r="864" ht="15.75" customHeight="1">
      <c r="A864" s="12"/>
      <c r="B864" s="12"/>
      <c r="C864" s="12"/>
      <c r="D864" s="12"/>
      <c r="E864" s="12"/>
      <c r="F864" s="12"/>
      <c r="G864" s="12"/>
      <c r="H864" s="12"/>
      <c r="I864" s="12"/>
      <c r="J864" s="12"/>
      <c r="K864" s="12"/>
      <c r="L864" s="12"/>
      <c r="M864" s="12"/>
    </row>
    <row r="865" ht="15.75" customHeight="1">
      <c r="A865" s="12"/>
      <c r="B865" s="12"/>
      <c r="C865" s="12"/>
      <c r="D865" s="12"/>
      <c r="E865" s="12"/>
      <c r="F865" s="12"/>
      <c r="G865" s="12"/>
      <c r="H865" s="12"/>
      <c r="I865" s="12"/>
      <c r="J865" s="12"/>
      <c r="K865" s="12"/>
      <c r="L865" s="12"/>
      <c r="M865" s="12"/>
    </row>
    <row r="866" ht="15.75" customHeight="1">
      <c r="A866" s="12"/>
      <c r="B866" s="12"/>
      <c r="C866" s="12"/>
      <c r="D866" s="12"/>
      <c r="E866" s="12"/>
      <c r="F866" s="12"/>
      <c r="G866" s="12"/>
      <c r="H866" s="12"/>
      <c r="I866" s="12"/>
      <c r="J866" s="12"/>
      <c r="K866" s="12"/>
      <c r="L866" s="12"/>
      <c r="M866" s="12"/>
    </row>
    <row r="867" ht="15.75" customHeight="1">
      <c r="A867" s="12"/>
      <c r="B867" s="12"/>
      <c r="C867" s="12"/>
      <c r="D867" s="12"/>
      <c r="E867" s="12"/>
      <c r="F867" s="12"/>
      <c r="G867" s="12"/>
      <c r="H867" s="12"/>
      <c r="I867" s="12"/>
      <c r="J867" s="12"/>
      <c r="K867" s="12"/>
      <c r="L867" s="12"/>
      <c r="M867" s="12"/>
    </row>
    <row r="868" ht="15.75" customHeight="1">
      <c r="A868" s="12"/>
      <c r="B868" s="12"/>
      <c r="C868" s="12"/>
      <c r="D868" s="12"/>
      <c r="E868" s="12"/>
      <c r="F868" s="12"/>
      <c r="G868" s="12"/>
      <c r="H868" s="12"/>
      <c r="I868" s="12"/>
      <c r="J868" s="12"/>
      <c r="K868" s="12"/>
      <c r="L868" s="12"/>
      <c r="M868" s="12"/>
    </row>
    <row r="869" ht="15.75" customHeight="1">
      <c r="A869" s="12"/>
      <c r="B869" s="12"/>
      <c r="C869" s="12"/>
      <c r="D869" s="12"/>
      <c r="E869" s="12"/>
      <c r="F869" s="12"/>
      <c r="G869" s="12"/>
      <c r="H869" s="12"/>
      <c r="I869" s="12"/>
      <c r="J869" s="12"/>
      <c r="K869" s="12"/>
      <c r="L869" s="12"/>
      <c r="M869" s="12"/>
    </row>
    <row r="870" ht="15.75" customHeight="1">
      <c r="A870" s="12"/>
      <c r="B870" s="12"/>
      <c r="C870" s="12"/>
      <c r="D870" s="12"/>
      <c r="E870" s="12"/>
      <c r="F870" s="12"/>
      <c r="G870" s="12"/>
      <c r="H870" s="12"/>
      <c r="I870" s="12"/>
      <c r="J870" s="12"/>
      <c r="K870" s="12"/>
      <c r="L870" s="12"/>
      <c r="M870" s="12"/>
    </row>
    <row r="871" ht="15.75" customHeight="1">
      <c r="A871" s="12"/>
      <c r="B871" s="12"/>
      <c r="C871" s="12"/>
      <c r="D871" s="12"/>
      <c r="E871" s="12"/>
      <c r="F871" s="12"/>
      <c r="G871" s="12"/>
      <c r="H871" s="12"/>
      <c r="I871" s="12"/>
      <c r="J871" s="12"/>
      <c r="K871" s="12"/>
      <c r="L871" s="12"/>
      <c r="M871" s="12"/>
    </row>
    <row r="872" ht="15.75" customHeight="1">
      <c r="A872" s="12"/>
      <c r="B872" s="12"/>
      <c r="C872" s="12"/>
      <c r="D872" s="12"/>
      <c r="E872" s="12"/>
      <c r="F872" s="12"/>
      <c r="G872" s="12"/>
      <c r="H872" s="12"/>
      <c r="I872" s="12"/>
      <c r="J872" s="12"/>
      <c r="K872" s="12"/>
      <c r="L872" s="12"/>
      <c r="M872" s="12"/>
    </row>
    <row r="873" ht="15.75" customHeight="1">
      <c r="A873" s="12"/>
      <c r="B873" s="12"/>
      <c r="C873" s="12"/>
      <c r="D873" s="12"/>
      <c r="E873" s="12"/>
      <c r="F873" s="12"/>
      <c r="G873" s="12"/>
      <c r="H873" s="12"/>
      <c r="I873" s="12"/>
      <c r="J873" s="12"/>
      <c r="K873" s="12"/>
      <c r="L873" s="12"/>
      <c r="M873" s="12"/>
    </row>
    <row r="874" ht="15.75" customHeight="1">
      <c r="A874" s="12"/>
      <c r="B874" s="12"/>
      <c r="C874" s="12"/>
      <c r="D874" s="12"/>
      <c r="E874" s="12"/>
      <c r="F874" s="12"/>
      <c r="G874" s="12"/>
      <c r="H874" s="12"/>
      <c r="I874" s="12"/>
      <c r="J874" s="12"/>
      <c r="K874" s="12"/>
      <c r="L874" s="12"/>
      <c r="M874" s="12"/>
    </row>
    <row r="875" ht="15.75" customHeight="1">
      <c r="A875" s="12"/>
      <c r="B875" s="12"/>
      <c r="C875" s="12"/>
      <c r="D875" s="12"/>
      <c r="E875" s="12"/>
      <c r="F875" s="12"/>
      <c r="G875" s="12"/>
      <c r="H875" s="12"/>
      <c r="I875" s="12"/>
      <c r="J875" s="12"/>
      <c r="K875" s="12"/>
      <c r="L875" s="12"/>
      <c r="M875" s="12"/>
    </row>
    <row r="876" ht="15.75" customHeight="1">
      <c r="A876" s="12"/>
      <c r="B876" s="12"/>
      <c r="C876" s="12"/>
      <c r="D876" s="12"/>
      <c r="E876" s="12"/>
      <c r="F876" s="12"/>
      <c r="G876" s="12"/>
      <c r="H876" s="12"/>
      <c r="I876" s="12"/>
      <c r="J876" s="12"/>
      <c r="K876" s="12"/>
      <c r="L876" s="12"/>
      <c r="M876" s="12"/>
    </row>
    <row r="877" ht="15.75" customHeight="1">
      <c r="A877" s="12"/>
      <c r="B877" s="12"/>
      <c r="C877" s="12"/>
      <c r="D877" s="12"/>
      <c r="E877" s="12"/>
      <c r="F877" s="12"/>
      <c r="G877" s="12"/>
      <c r="H877" s="12"/>
      <c r="I877" s="12"/>
      <c r="J877" s="12"/>
      <c r="K877" s="12"/>
      <c r="L877" s="12"/>
      <c r="M877" s="12"/>
    </row>
    <row r="878" ht="15.75" customHeight="1">
      <c r="A878" s="12"/>
      <c r="B878" s="12"/>
      <c r="C878" s="12"/>
      <c r="D878" s="12"/>
      <c r="E878" s="12"/>
      <c r="F878" s="12"/>
      <c r="G878" s="12"/>
      <c r="H878" s="12"/>
      <c r="I878" s="12"/>
      <c r="J878" s="12"/>
      <c r="K878" s="12"/>
      <c r="L878" s="12"/>
      <c r="M878" s="12"/>
    </row>
    <row r="879" ht="15.75" customHeight="1">
      <c r="A879" s="12"/>
      <c r="B879" s="12"/>
      <c r="C879" s="12"/>
      <c r="D879" s="12"/>
      <c r="E879" s="12"/>
      <c r="F879" s="12"/>
      <c r="G879" s="12"/>
      <c r="H879" s="12"/>
      <c r="I879" s="12"/>
      <c r="J879" s="12"/>
      <c r="K879" s="12"/>
      <c r="L879" s="12"/>
      <c r="M879" s="12"/>
    </row>
    <row r="880" ht="15.75" customHeight="1">
      <c r="A880" s="12"/>
      <c r="B880" s="12"/>
      <c r="C880" s="12"/>
      <c r="D880" s="12"/>
      <c r="E880" s="12"/>
      <c r="F880" s="12"/>
      <c r="G880" s="12"/>
      <c r="H880" s="12"/>
      <c r="I880" s="12"/>
      <c r="J880" s="12"/>
      <c r="K880" s="12"/>
      <c r="L880" s="12"/>
      <c r="M880" s="12"/>
    </row>
    <row r="881" ht="15.75" customHeight="1">
      <c r="A881" s="12"/>
      <c r="B881" s="12"/>
      <c r="C881" s="12"/>
      <c r="D881" s="12"/>
      <c r="E881" s="12"/>
      <c r="F881" s="12"/>
      <c r="G881" s="12"/>
      <c r="H881" s="12"/>
      <c r="I881" s="12"/>
      <c r="J881" s="12"/>
      <c r="K881" s="12"/>
      <c r="L881" s="12"/>
      <c r="M881" s="12"/>
    </row>
    <row r="882" ht="15.75" customHeight="1">
      <c r="A882" s="12"/>
      <c r="B882" s="12"/>
      <c r="C882" s="12"/>
      <c r="D882" s="12"/>
      <c r="E882" s="12"/>
      <c r="F882" s="12"/>
      <c r="G882" s="12"/>
      <c r="H882" s="12"/>
      <c r="I882" s="12"/>
      <c r="J882" s="12"/>
      <c r="K882" s="12"/>
      <c r="L882" s="12"/>
      <c r="M882" s="12"/>
    </row>
    <row r="883" ht="15.75" customHeight="1">
      <c r="A883" s="12"/>
      <c r="B883" s="12"/>
      <c r="C883" s="12"/>
      <c r="D883" s="12"/>
      <c r="E883" s="12"/>
      <c r="F883" s="12"/>
      <c r="G883" s="12"/>
      <c r="H883" s="12"/>
      <c r="I883" s="12"/>
      <c r="J883" s="12"/>
      <c r="K883" s="12"/>
      <c r="L883" s="12"/>
      <c r="M883" s="12"/>
    </row>
    <row r="884" ht="15.75" customHeight="1">
      <c r="A884" s="12"/>
      <c r="B884" s="12"/>
      <c r="C884" s="12"/>
      <c r="D884" s="12"/>
      <c r="E884" s="12"/>
      <c r="F884" s="12"/>
      <c r="G884" s="12"/>
      <c r="H884" s="12"/>
      <c r="I884" s="12"/>
      <c r="J884" s="12"/>
      <c r="K884" s="12"/>
      <c r="L884" s="12"/>
      <c r="M884" s="12"/>
    </row>
    <row r="885" ht="15.75" customHeight="1">
      <c r="A885" s="12"/>
      <c r="B885" s="12"/>
      <c r="C885" s="12"/>
      <c r="D885" s="12"/>
      <c r="E885" s="12"/>
      <c r="F885" s="12"/>
      <c r="G885" s="12"/>
      <c r="H885" s="12"/>
      <c r="I885" s="12"/>
      <c r="J885" s="12"/>
      <c r="K885" s="12"/>
      <c r="L885" s="12"/>
      <c r="M885" s="12"/>
    </row>
    <row r="886" ht="15.75" customHeight="1">
      <c r="A886" s="12"/>
      <c r="B886" s="12"/>
      <c r="C886" s="12"/>
      <c r="D886" s="12"/>
      <c r="E886" s="12"/>
      <c r="F886" s="12"/>
      <c r="G886" s="12"/>
      <c r="H886" s="12"/>
      <c r="I886" s="12"/>
      <c r="J886" s="12"/>
      <c r="K886" s="12"/>
      <c r="L886" s="12"/>
      <c r="M886" s="12"/>
    </row>
    <row r="887" ht="15.75" customHeight="1">
      <c r="A887" s="12"/>
      <c r="B887" s="12"/>
      <c r="C887" s="12"/>
      <c r="D887" s="12"/>
      <c r="E887" s="12"/>
      <c r="F887" s="12"/>
      <c r="G887" s="12"/>
      <c r="H887" s="12"/>
      <c r="I887" s="12"/>
      <c r="J887" s="12"/>
      <c r="K887" s="12"/>
      <c r="L887" s="12"/>
      <c r="M887" s="12"/>
    </row>
    <row r="888" ht="15.75" customHeight="1">
      <c r="A888" s="12"/>
      <c r="B888" s="12"/>
      <c r="C888" s="12"/>
      <c r="D888" s="12"/>
      <c r="E888" s="12"/>
      <c r="F888" s="12"/>
      <c r="G888" s="12"/>
      <c r="H888" s="12"/>
      <c r="I888" s="12"/>
      <c r="J888" s="12"/>
      <c r="K888" s="12"/>
      <c r="L888" s="12"/>
      <c r="M888" s="12"/>
    </row>
    <row r="889" ht="15.75" customHeight="1">
      <c r="A889" s="12"/>
      <c r="B889" s="12"/>
      <c r="C889" s="12"/>
      <c r="D889" s="12"/>
      <c r="E889" s="12"/>
      <c r="F889" s="12"/>
      <c r="G889" s="12"/>
      <c r="H889" s="12"/>
      <c r="I889" s="12"/>
      <c r="J889" s="12"/>
      <c r="K889" s="12"/>
      <c r="L889" s="12"/>
      <c r="M889" s="12"/>
    </row>
    <row r="890" ht="15.75" customHeight="1">
      <c r="A890" s="12"/>
      <c r="B890" s="12"/>
      <c r="C890" s="12"/>
      <c r="D890" s="12"/>
      <c r="E890" s="12"/>
      <c r="F890" s="12"/>
      <c r="G890" s="12"/>
      <c r="H890" s="12"/>
      <c r="I890" s="12"/>
      <c r="J890" s="12"/>
      <c r="K890" s="12"/>
      <c r="L890" s="12"/>
      <c r="M890" s="12"/>
    </row>
    <row r="891" ht="15.75" customHeight="1">
      <c r="A891" s="12"/>
      <c r="B891" s="12"/>
      <c r="C891" s="12"/>
      <c r="D891" s="12"/>
      <c r="E891" s="12"/>
      <c r="F891" s="12"/>
      <c r="G891" s="12"/>
      <c r="H891" s="12"/>
      <c r="I891" s="12"/>
      <c r="J891" s="12"/>
      <c r="K891" s="12"/>
      <c r="L891" s="12"/>
      <c r="M891" s="12"/>
    </row>
    <row r="892" ht="15.75" customHeight="1">
      <c r="A892" s="12"/>
      <c r="B892" s="12"/>
      <c r="C892" s="12"/>
      <c r="D892" s="12"/>
      <c r="E892" s="12"/>
      <c r="F892" s="12"/>
      <c r="G892" s="12"/>
      <c r="H892" s="12"/>
      <c r="I892" s="12"/>
      <c r="J892" s="12"/>
      <c r="K892" s="12"/>
      <c r="L892" s="12"/>
      <c r="M892" s="12"/>
    </row>
    <row r="893" ht="15.75" customHeight="1">
      <c r="A893" s="12"/>
      <c r="B893" s="12"/>
      <c r="C893" s="12"/>
      <c r="D893" s="12"/>
      <c r="E893" s="12"/>
      <c r="F893" s="12"/>
      <c r="G893" s="12"/>
      <c r="H893" s="12"/>
      <c r="I893" s="12"/>
      <c r="J893" s="12"/>
      <c r="K893" s="12"/>
      <c r="L893" s="12"/>
      <c r="M893" s="12"/>
    </row>
    <row r="894" ht="15.75" customHeight="1">
      <c r="A894" s="12"/>
      <c r="B894" s="12"/>
      <c r="C894" s="12"/>
      <c r="D894" s="12"/>
      <c r="E894" s="12"/>
      <c r="F894" s="12"/>
      <c r="G894" s="12"/>
      <c r="H894" s="12"/>
      <c r="I894" s="12"/>
      <c r="J894" s="12"/>
      <c r="K894" s="12"/>
      <c r="L894" s="12"/>
      <c r="M894" s="12"/>
    </row>
    <row r="895" ht="15.75" customHeight="1">
      <c r="A895" s="12"/>
      <c r="B895" s="12"/>
      <c r="C895" s="12"/>
      <c r="D895" s="12"/>
      <c r="E895" s="12"/>
      <c r="F895" s="12"/>
      <c r="G895" s="12"/>
      <c r="H895" s="12"/>
      <c r="I895" s="12"/>
      <c r="J895" s="12"/>
      <c r="K895" s="12"/>
      <c r="L895" s="12"/>
      <c r="M895" s="12"/>
    </row>
    <row r="896" ht="15.75" customHeight="1">
      <c r="A896" s="12"/>
      <c r="B896" s="12"/>
      <c r="C896" s="12"/>
      <c r="D896" s="12"/>
      <c r="E896" s="12"/>
      <c r="F896" s="12"/>
      <c r="G896" s="12"/>
      <c r="H896" s="12"/>
      <c r="I896" s="12"/>
      <c r="J896" s="12"/>
      <c r="K896" s="12"/>
      <c r="L896" s="12"/>
      <c r="M896" s="12"/>
    </row>
    <row r="897" ht="15.75" customHeight="1">
      <c r="A897" s="12"/>
      <c r="B897" s="12"/>
      <c r="C897" s="12"/>
      <c r="D897" s="12"/>
      <c r="E897" s="12"/>
      <c r="F897" s="12"/>
      <c r="G897" s="12"/>
      <c r="H897" s="12"/>
      <c r="I897" s="12"/>
      <c r="J897" s="12"/>
      <c r="K897" s="12"/>
      <c r="L897" s="12"/>
      <c r="M897" s="12"/>
    </row>
    <row r="898" ht="15.75" customHeight="1">
      <c r="A898" s="12"/>
      <c r="B898" s="12"/>
      <c r="C898" s="12"/>
      <c r="D898" s="12"/>
      <c r="E898" s="12"/>
      <c r="F898" s="12"/>
      <c r="G898" s="12"/>
      <c r="H898" s="12"/>
      <c r="I898" s="12"/>
      <c r="J898" s="12"/>
      <c r="K898" s="12"/>
      <c r="L898" s="12"/>
      <c r="M898" s="12"/>
    </row>
    <row r="899" ht="15.75" customHeight="1">
      <c r="A899" s="12"/>
      <c r="B899" s="12"/>
      <c r="C899" s="12"/>
      <c r="D899" s="12"/>
      <c r="E899" s="12"/>
      <c r="F899" s="12"/>
      <c r="G899" s="12"/>
      <c r="H899" s="12"/>
      <c r="I899" s="12"/>
      <c r="J899" s="12"/>
      <c r="K899" s="12"/>
      <c r="L899" s="12"/>
      <c r="M899" s="12"/>
    </row>
    <row r="900" ht="15.75" customHeight="1">
      <c r="A900" s="12"/>
      <c r="B900" s="12"/>
      <c r="C900" s="12"/>
      <c r="D900" s="12"/>
      <c r="E900" s="12"/>
      <c r="F900" s="12"/>
      <c r="G900" s="12"/>
      <c r="H900" s="12"/>
      <c r="I900" s="12"/>
      <c r="J900" s="12"/>
      <c r="K900" s="12"/>
      <c r="L900" s="12"/>
      <c r="M900" s="12"/>
    </row>
    <row r="901" ht="15.75" customHeight="1">
      <c r="A901" s="12"/>
      <c r="B901" s="12"/>
      <c r="C901" s="12"/>
      <c r="D901" s="12"/>
      <c r="E901" s="12"/>
      <c r="F901" s="12"/>
      <c r="G901" s="12"/>
      <c r="H901" s="12"/>
      <c r="I901" s="12"/>
      <c r="J901" s="12"/>
      <c r="K901" s="12"/>
      <c r="L901" s="12"/>
      <c r="M901" s="12"/>
    </row>
    <row r="902" ht="15.75" customHeight="1">
      <c r="A902" s="12"/>
      <c r="B902" s="12"/>
      <c r="C902" s="12"/>
      <c r="D902" s="12"/>
      <c r="E902" s="12"/>
      <c r="F902" s="12"/>
      <c r="G902" s="12"/>
      <c r="H902" s="12"/>
      <c r="I902" s="12"/>
      <c r="J902" s="12"/>
      <c r="K902" s="12"/>
      <c r="L902" s="12"/>
      <c r="M902" s="12"/>
    </row>
    <row r="903" ht="15.75" customHeight="1">
      <c r="A903" s="12"/>
      <c r="B903" s="12"/>
      <c r="C903" s="12"/>
      <c r="D903" s="12"/>
      <c r="E903" s="12"/>
      <c r="F903" s="12"/>
      <c r="G903" s="12"/>
      <c r="H903" s="12"/>
      <c r="I903" s="12"/>
      <c r="J903" s="12"/>
      <c r="K903" s="12"/>
      <c r="L903" s="12"/>
      <c r="M903" s="12"/>
    </row>
    <row r="904" ht="15.75" customHeight="1">
      <c r="A904" s="12"/>
      <c r="B904" s="12"/>
      <c r="C904" s="12"/>
      <c r="D904" s="12"/>
      <c r="E904" s="12"/>
      <c r="F904" s="12"/>
      <c r="G904" s="12"/>
      <c r="H904" s="12"/>
      <c r="I904" s="12"/>
      <c r="J904" s="12"/>
      <c r="K904" s="12"/>
      <c r="L904" s="12"/>
      <c r="M904" s="12"/>
    </row>
    <row r="905" ht="15.75" customHeight="1">
      <c r="A905" s="12"/>
      <c r="B905" s="12"/>
      <c r="C905" s="12"/>
      <c r="D905" s="12"/>
      <c r="E905" s="12"/>
      <c r="F905" s="12"/>
      <c r="G905" s="12"/>
      <c r="H905" s="12"/>
      <c r="I905" s="12"/>
      <c r="J905" s="12"/>
      <c r="K905" s="12"/>
      <c r="L905" s="12"/>
      <c r="M905" s="12"/>
    </row>
    <row r="906" ht="15.75" customHeight="1">
      <c r="A906" s="12"/>
      <c r="B906" s="12"/>
      <c r="C906" s="12"/>
      <c r="D906" s="12"/>
      <c r="E906" s="12"/>
      <c r="F906" s="12"/>
      <c r="G906" s="12"/>
      <c r="H906" s="12"/>
      <c r="I906" s="12"/>
      <c r="J906" s="12"/>
      <c r="K906" s="12"/>
      <c r="L906" s="12"/>
      <c r="M906" s="12"/>
    </row>
    <row r="907" ht="15.75" customHeight="1">
      <c r="A907" s="12"/>
      <c r="B907" s="12"/>
      <c r="C907" s="12"/>
      <c r="D907" s="12"/>
      <c r="E907" s="12"/>
      <c r="F907" s="12"/>
      <c r="G907" s="12"/>
      <c r="H907" s="12"/>
      <c r="I907" s="12"/>
      <c r="J907" s="12"/>
      <c r="K907" s="12"/>
      <c r="L907" s="12"/>
      <c r="M907" s="12"/>
    </row>
    <row r="908" ht="15.75" customHeight="1">
      <c r="A908" s="12"/>
      <c r="B908" s="12"/>
      <c r="C908" s="12"/>
      <c r="D908" s="12"/>
      <c r="E908" s="12"/>
      <c r="F908" s="12"/>
      <c r="G908" s="12"/>
      <c r="H908" s="12"/>
      <c r="I908" s="12"/>
      <c r="J908" s="12"/>
      <c r="K908" s="12"/>
      <c r="L908" s="12"/>
      <c r="M908" s="12"/>
    </row>
    <row r="909" ht="15.75" customHeight="1">
      <c r="A909" s="12"/>
      <c r="B909" s="12"/>
      <c r="C909" s="12"/>
      <c r="D909" s="12"/>
      <c r="E909" s="12"/>
      <c r="F909" s="12"/>
      <c r="G909" s="12"/>
      <c r="H909" s="12"/>
      <c r="I909" s="12"/>
      <c r="J909" s="12"/>
      <c r="K909" s="12"/>
      <c r="L909" s="12"/>
      <c r="M909" s="12"/>
    </row>
    <row r="910" ht="15.75" customHeight="1">
      <c r="A910" s="12"/>
      <c r="B910" s="12"/>
      <c r="C910" s="12"/>
      <c r="D910" s="12"/>
      <c r="E910" s="12"/>
      <c r="F910" s="12"/>
      <c r="G910" s="12"/>
      <c r="H910" s="12"/>
      <c r="I910" s="12"/>
      <c r="J910" s="12"/>
      <c r="K910" s="12"/>
      <c r="L910" s="12"/>
      <c r="M910" s="12"/>
    </row>
    <row r="911" ht="15.75" customHeight="1">
      <c r="A911" s="12"/>
      <c r="B911" s="12"/>
      <c r="C911" s="12"/>
      <c r="D911" s="12"/>
      <c r="E911" s="12"/>
      <c r="F911" s="12"/>
      <c r="G911" s="12"/>
      <c r="H911" s="12"/>
      <c r="I911" s="12"/>
      <c r="J911" s="12"/>
      <c r="K911" s="12"/>
      <c r="L911" s="12"/>
      <c r="M911" s="12"/>
    </row>
    <row r="912" ht="15.75" customHeight="1">
      <c r="A912" s="12"/>
      <c r="B912" s="12"/>
      <c r="C912" s="12"/>
      <c r="D912" s="12"/>
      <c r="E912" s="12"/>
      <c r="F912" s="12"/>
      <c r="G912" s="12"/>
      <c r="H912" s="12"/>
      <c r="I912" s="12"/>
      <c r="J912" s="12"/>
      <c r="K912" s="12"/>
      <c r="L912" s="12"/>
      <c r="M912" s="12"/>
    </row>
    <row r="913" ht="15.75" customHeight="1">
      <c r="A913" s="12"/>
      <c r="B913" s="12"/>
      <c r="C913" s="12"/>
      <c r="D913" s="12"/>
      <c r="E913" s="12"/>
      <c r="F913" s="12"/>
      <c r="G913" s="12"/>
      <c r="H913" s="12"/>
      <c r="I913" s="12"/>
      <c r="J913" s="12"/>
      <c r="K913" s="12"/>
      <c r="L913" s="12"/>
      <c r="M913" s="12"/>
    </row>
    <row r="914" ht="15.75" customHeight="1">
      <c r="A914" s="12"/>
      <c r="B914" s="12"/>
      <c r="C914" s="12"/>
      <c r="D914" s="12"/>
      <c r="E914" s="12"/>
      <c r="F914" s="12"/>
      <c r="G914" s="12"/>
      <c r="H914" s="12"/>
      <c r="I914" s="12"/>
      <c r="J914" s="12"/>
      <c r="K914" s="12"/>
      <c r="L914" s="12"/>
      <c r="M914" s="12"/>
    </row>
    <row r="915" ht="15.75" customHeight="1">
      <c r="A915" s="12"/>
      <c r="B915" s="12"/>
      <c r="C915" s="12"/>
      <c r="D915" s="12"/>
      <c r="E915" s="12"/>
      <c r="F915" s="12"/>
      <c r="G915" s="12"/>
      <c r="H915" s="12"/>
      <c r="I915" s="12"/>
      <c r="J915" s="12"/>
      <c r="K915" s="12"/>
      <c r="L915" s="12"/>
      <c r="M915" s="12"/>
    </row>
    <row r="916" ht="15.75" customHeight="1">
      <c r="A916" s="12"/>
      <c r="B916" s="12"/>
      <c r="C916" s="12"/>
      <c r="D916" s="12"/>
      <c r="E916" s="12"/>
      <c r="F916" s="12"/>
      <c r="G916" s="12"/>
      <c r="H916" s="12"/>
      <c r="I916" s="12"/>
      <c r="J916" s="12"/>
      <c r="K916" s="12"/>
      <c r="L916" s="12"/>
      <c r="M916" s="12"/>
    </row>
    <row r="917" ht="15.75" customHeight="1">
      <c r="A917" s="12"/>
      <c r="B917" s="12"/>
      <c r="C917" s="12"/>
      <c r="D917" s="12"/>
      <c r="E917" s="12"/>
      <c r="F917" s="12"/>
      <c r="G917" s="12"/>
      <c r="H917" s="12"/>
      <c r="I917" s="12"/>
      <c r="J917" s="12"/>
      <c r="K917" s="12"/>
      <c r="L917" s="12"/>
      <c r="M917" s="12"/>
    </row>
    <row r="918" ht="15.75" customHeight="1">
      <c r="A918" s="12"/>
      <c r="B918" s="12"/>
      <c r="C918" s="12"/>
      <c r="D918" s="12"/>
      <c r="E918" s="12"/>
      <c r="F918" s="12"/>
      <c r="G918" s="12"/>
      <c r="H918" s="12"/>
      <c r="I918" s="12"/>
      <c r="J918" s="12"/>
      <c r="K918" s="12"/>
      <c r="L918" s="12"/>
      <c r="M918" s="12"/>
    </row>
    <row r="919" ht="15.75" customHeight="1">
      <c r="A919" s="12"/>
      <c r="B919" s="12"/>
      <c r="C919" s="12"/>
      <c r="D919" s="12"/>
      <c r="E919" s="12"/>
      <c r="F919" s="12"/>
      <c r="G919" s="12"/>
      <c r="H919" s="12"/>
      <c r="I919" s="12"/>
      <c r="J919" s="12"/>
      <c r="K919" s="12"/>
      <c r="L919" s="12"/>
      <c r="M919" s="12"/>
    </row>
    <row r="920" ht="15.75" customHeight="1">
      <c r="A920" s="12"/>
      <c r="B920" s="12"/>
      <c r="C920" s="12"/>
      <c r="D920" s="12"/>
      <c r="E920" s="12"/>
      <c r="F920" s="12"/>
      <c r="G920" s="12"/>
      <c r="H920" s="12"/>
      <c r="I920" s="12"/>
      <c r="J920" s="12"/>
      <c r="K920" s="12"/>
      <c r="L920" s="12"/>
      <c r="M920" s="12"/>
    </row>
    <row r="921" ht="15.75" customHeight="1">
      <c r="A921" s="12"/>
      <c r="B921" s="12"/>
      <c r="C921" s="12"/>
      <c r="D921" s="12"/>
      <c r="E921" s="12"/>
      <c r="F921" s="12"/>
      <c r="G921" s="12"/>
      <c r="H921" s="12"/>
      <c r="I921" s="12"/>
      <c r="J921" s="12"/>
      <c r="K921" s="12"/>
      <c r="L921" s="12"/>
      <c r="M921" s="12"/>
    </row>
    <row r="922" ht="15.75" customHeight="1">
      <c r="A922" s="12"/>
      <c r="B922" s="12"/>
      <c r="C922" s="12"/>
      <c r="D922" s="12"/>
      <c r="E922" s="12"/>
      <c r="F922" s="12"/>
      <c r="G922" s="12"/>
      <c r="H922" s="12"/>
      <c r="I922" s="12"/>
      <c r="J922" s="12"/>
      <c r="K922" s="12"/>
      <c r="L922" s="12"/>
      <c r="M922" s="12"/>
    </row>
    <row r="923" ht="15.75" customHeight="1">
      <c r="A923" s="12"/>
      <c r="B923" s="12"/>
      <c r="C923" s="12"/>
      <c r="D923" s="12"/>
      <c r="E923" s="12"/>
      <c r="F923" s="12"/>
      <c r="G923" s="12"/>
      <c r="H923" s="12"/>
      <c r="I923" s="12"/>
      <c r="J923" s="12"/>
      <c r="K923" s="12"/>
      <c r="L923" s="12"/>
      <c r="M923" s="12"/>
    </row>
    <row r="924" ht="15.75" customHeight="1">
      <c r="A924" s="12"/>
      <c r="B924" s="12"/>
      <c r="C924" s="12"/>
      <c r="D924" s="12"/>
      <c r="E924" s="12"/>
      <c r="F924" s="12"/>
      <c r="G924" s="12"/>
      <c r="H924" s="12"/>
      <c r="I924" s="12"/>
      <c r="J924" s="12"/>
      <c r="K924" s="12"/>
      <c r="L924" s="12"/>
      <c r="M924" s="12"/>
    </row>
    <row r="925" ht="15.75" customHeight="1">
      <c r="A925" s="12"/>
      <c r="B925" s="12"/>
      <c r="C925" s="12"/>
      <c r="D925" s="12"/>
      <c r="E925" s="12"/>
      <c r="F925" s="12"/>
      <c r="G925" s="12"/>
      <c r="H925" s="12"/>
      <c r="I925" s="12"/>
      <c r="J925" s="12"/>
      <c r="K925" s="12"/>
      <c r="L925" s="12"/>
      <c r="M925" s="12"/>
    </row>
    <row r="926" ht="15.75" customHeight="1">
      <c r="A926" s="12"/>
      <c r="B926" s="12"/>
      <c r="C926" s="12"/>
      <c r="D926" s="12"/>
      <c r="E926" s="12"/>
      <c r="F926" s="12"/>
      <c r="G926" s="12"/>
      <c r="H926" s="12"/>
      <c r="I926" s="12"/>
      <c r="J926" s="12"/>
      <c r="K926" s="12"/>
      <c r="L926" s="12"/>
      <c r="M926" s="12"/>
    </row>
    <row r="927" ht="15.75" customHeight="1">
      <c r="A927" s="12"/>
      <c r="B927" s="12"/>
      <c r="C927" s="12"/>
      <c r="D927" s="12"/>
      <c r="E927" s="12"/>
      <c r="F927" s="12"/>
      <c r="G927" s="12"/>
      <c r="H927" s="12"/>
      <c r="I927" s="12"/>
      <c r="J927" s="12"/>
      <c r="K927" s="12"/>
      <c r="L927" s="12"/>
      <c r="M927" s="12"/>
    </row>
    <row r="928" ht="15.75" customHeight="1">
      <c r="A928" s="12"/>
      <c r="B928" s="12"/>
      <c r="C928" s="12"/>
      <c r="D928" s="12"/>
      <c r="E928" s="12"/>
      <c r="F928" s="12"/>
      <c r="G928" s="12"/>
      <c r="H928" s="12"/>
      <c r="I928" s="12"/>
      <c r="J928" s="12"/>
      <c r="K928" s="12"/>
      <c r="L928" s="12"/>
      <c r="M928" s="12"/>
    </row>
    <row r="929" ht="15.75" customHeight="1">
      <c r="A929" s="12"/>
      <c r="B929" s="12"/>
      <c r="C929" s="12"/>
      <c r="D929" s="12"/>
      <c r="E929" s="12"/>
      <c r="F929" s="12"/>
      <c r="G929" s="12"/>
      <c r="H929" s="12"/>
      <c r="I929" s="12"/>
      <c r="J929" s="12"/>
      <c r="K929" s="12"/>
      <c r="L929" s="12"/>
      <c r="M929" s="12"/>
    </row>
    <row r="930" ht="15.75" customHeight="1">
      <c r="A930" s="12"/>
      <c r="B930" s="12"/>
      <c r="C930" s="12"/>
      <c r="D930" s="12"/>
      <c r="E930" s="12"/>
      <c r="F930" s="12"/>
      <c r="G930" s="12"/>
      <c r="H930" s="12"/>
      <c r="I930" s="12"/>
      <c r="J930" s="12"/>
      <c r="K930" s="12"/>
      <c r="L930" s="12"/>
      <c r="M930" s="12"/>
    </row>
    <row r="931" ht="15.75" customHeight="1">
      <c r="A931" s="12"/>
      <c r="B931" s="12"/>
      <c r="C931" s="12"/>
      <c r="D931" s="12"/>
      <c r="E931" s="12"/>
      <c r="F931" s="12"/>
      <c r="G931" s="12"/>
      <c r="H931" s="12"/>
      <c r="I931" s="12"/>
      <c r="J931" s="12"/>
      <c r="K931" s="12"/>
      <c r="L931" s="12"/>
      <c r="M931" s="12"/>
    </row>
    <row r="932" ht="15.75" customHeight="1">
      <c r="A932" s="12"/>
      <c r="B932" s="12"/>
      <c r="C932" s="12"/>
      <c r="D932" s="12"/>
      <c r="E932" s="12"/>
      <c r="F932" s="12"/>
      <c r="G932" s="12"/>
      <c r="H932" s="12"/>
      <c r="I932" s="12"/>
      <c r="J932" s="12"/>
      <c r="K932" s="12"/>
      <c r="L932" s="12"/>
      <c r="M932" s="12"/>
    </row>
    <row r="933" ht="15.75" customHeight="1">
      <c r="A933" s="12"/>
      <c r="B933" s="12"/>
      <c r="C933" s="12"/>
      <c r="D933" s="12"/>
      <c r="E933" s="12"/>
      <c r="F933" s="12"/>
      <c r="G933" s="12"/>
      <c r="H933" s="12"/>
      <c r="I933" s="12"/>
      <c r="J933" s="12"/>
      <c r="K933" s="12"/>
      <c r="L933" s="12"/>
      <c r="M933" s="12"/>
    </row>
    <row r="934" ht="15.75" customHeight="1">
      <c r="A934" s="12"/>
      <c r="B934" s="12"/>
      <c r="C934" s="12"/>
      <c r="D934" s="12"/>
      <c r="E934" s="12"/>
      <c r="F934" s="12"/>
      <c r="G934" s="12"/>
      <c r="H934" s="12"/>
      <c r="I934" s="12"/>
      <c r="J934" s="12"/>
      <c r="K934" s="12"/>
      <c r="L934" s="12"/>
      <c r="M934" s="12"/>
    </row>
    <row r="935" ht="15.75" customHeight="1">
      <c r="A935" s="12"/>
      <c r="B935" s="12"/>
      <c r="C935" s="12"/>
      <c r="D935" s="12"/>
      <c r="E935" s="12"/>
      <c r="F935" s="12"/>
      <c r="G935" s="12"/>
      <c r="H935" s="12"/>
      <c r="I935" s="12"/>
      <c r="J935" s="12"/>
      <c r="K935" s="12"/>
      <c r="L935" s="12"/>
      <c r="M935" s="12"/>
    </row>
    <row r="936" ht="15.75" customHeight="1">
      <c r="A936" s="12"/>
      <c r="B936" s="12"/>
      <c r="C936" s="12"/>
      <c r="D936" s="12"/>
      <c r="E936" s="12"/>
      <c r="F936" s="12"/>
      <c r="G936" s="12"/>
      <c r="H936" s="12"/>
      <c r="I936" s="12"/>
      <c r="J936" s="12"/>
      <c r="K936" s="12"/>
      <c r="L936" s="12"/>
      <c r="M936" s="12"/>
    </row>
    <row r="937" ht="15.75" customHeight="1">
      <c r="A937" s="12"/>
      <c r="B937" s="12"/>
      <c r="C937" s="12"/>
      <c r="D937" s="12"/>
      <c r="E937" s="12"/>
      <c r="F937" s="12"/>
      <c r="G937" s="12"/>
      <c r="H937" s="12"/>
      <c r="I937" s="12"/>
      <c r="J937" s="12"/>
      <c r="K937" s="12"/>
      <c r="L937" s="12"/>
      <c r="M937" s="12"/>
    </row>
    <row r="938" ht="15.75" customHeight="1">
      <c r="A938" s="12"/>
      <c r="B938" s="12"/>
      <c r="C938" s="12"/>
      <c r="D938" s="12"/>
      <c r="E938" s="12"/>
      <c r="F938" s="12"/>
      <c r="G938" s="12"/>
      <c r="H938" s="12"/>
      <c r="I938" s="12"/>
      <c r="J938" s="12"/>
      <c r="K938" s="12"/>
      <c r="L938" s="12"/>
      <c r="M938" s="12"/>
    </row>
    <row r="939" ht="15.75" customHeight="1">
      <c r="A939" s="12"/>
      <c r="B939" s="12"/>
      <c r="C939" s="12"/>
      <c r="D939" s="12"/>
      <c r="E939" s="12"/>
      <c r="F939" s="12"/>
      <c r="G939" s="12"/>
      <c r="H939" s="12"/>
      <c r="I939" s="12"/>
      <c r="J939" s="12"/>
      <c r="K939" s="12"/>
      <c r="L939" s="12"/>
      <c r="M939" s="12"/>
    </row>
    <row r="940" ht="15.75" customHeight="1">
      <c r="A940" s="12"/>
      <c r="B940" s="12"/>
      <c r="C940" s="12"/>
      <c r="D940" s="12"/>
      <c r="E940" s="12"/>
      <c r="F940" s="12"/>
      <c r="G940" s="12"/>
      <c r="H940" s="12"/>
      <c r="I940" s="12"/>
      <c r="J940" s="12"/>
      <c r="K940" s="12"/>
      <c r="L940" s="12"/>
      <c r="M940" s="12"/>
    </row>
    <row r="941" ht="15.75" customHeight="1">
      <c r="A941" s="12"/>
      <c r="B941" s="12"/>
      <c r="C941" s="12"/>
      <c r="D941" s="12"/>
      <c r="E941" s="12"/>
      <c r="F941" s="12"/>
      <c r="G941" s="12"/>
      <c r="H941" s="12"/>
      <c r="I941" s="12"/>
      <c r="J941" s="12"/>
      <c r="K941" s="12"/>
      <c r="L941" s="12"/>
      <c r="M941" s="12"/>
    </row>
    <row r="942" ht="15.75" customHeight="1">
      <c r="A942" s="12"/>
      <c r="B942" s="12"/>
      <c r="C942" s="12"/>
      <c r="D942" s="12"/>
      <c r="E942" s="12"/>
      <c r="F942" s="12"/>
      <c r="G942" s="12"/>
      <c r="H942" s="12"/>
      <c r="I942" s="12"/>
      <c r="J942" s="12"/>
      <c r="K942" s="12"/>
      <c r="L942" s="12"/>
      <c r="M942" s="12"/>
    </row>
    <row r="943" ht="15.75" customHeight="1">
      <c r="A943" s="12"/>
      <c r="B943" s="12"/>
      <c r="C943" s="12"/>
      <c r="D943" s="12"/>
      <c r="E943" s="12"/>
      <c r="F943" s="12"/>
      <c r="G943" s="12"/>
      <c r="H943" s="12"/>
      <c r="I943" s="12"/>
      <c r="J943" s="12"/>
      <c r="K943" s="12"/>
      <c r="L943" s="12"/>
      <c r="M943" s="12"/>
    </row>
    <row r="944" ht="15.75" customHeight="1">
      <c r="A944" s="12"/>
      <c r="B944" s="12"/>
      <c r="C944" s="12"/>
      <c r="D944" s="12"/>
      <c r="E944" s="12"/>
      <c r="F944" s="12"/>
      <c r="G944" s="12"/>
      <c r="H944" s="12"/>
      <c r="I944" s="12"/>
      <c r="J944" s="12"/>
      <c r="K944" s="12"/>
      <c r="L944" s="12"/>
      <c r="M944" s="12"/>
    </row>
    <row r="945" ht="15.75" customHeight="1">
      <c r="A945" s="12"/>
      <c r="B945" s="12"/>
      <c r="C945" s="12"/>
      <c r="D945" s="12"/>
      <c r="E945" s="12"/>
      <c r="F945" s="12"/>
      <c r="G945" s="12"/>
      <c r="H945" s="12"/>
      <c r="I945" s="12"/>
      <c r="J945" s="12"/>
      <c r="K945" s="12"/>
      <c r="L945" s="12"/>
      <c r="M945" s="12"/>
    </row>
    <row r="946" ht="15.75" customHeight="1">
      <c r="A946" s="12"/>
      <c r="B946" s="12"/>
      <c r="C946" s="12"/>
      <c r="D946" s="12"/>
      <c r="E946" s="12"/>
      <c r="F946" s="12"/>
      <c r="G946" s="12"/>
      <c r="H946" s="12"/>
      <c r="I946" s="12"/>
      <c r="J946" s="12"/>
      <c r="K946" s="12"/>
      <c r="L946" s="12"/>
      <c r="M946" s="12"/>
    </row>
    <row r="947" ht="15.75" customHeight="1">
      <c r="A947" s="12"/>
      <c r="B947" s="12"/>
      <c r="C947" s="12"/>
      <c r="D947" s="12"/>
      <c r="E947" s="12"/>
      <c r="F947" s="12"/>
      <c r="G947" s="12"/>
      <c r="H947" s="12"/>
      <c r="I947" s="12"/>
      <c r="J947" s="12"/>
      <c r="K947" s="12"/>
      <c r="L947" s="12"/>
      <c r="M947" s="12"/>
    </row>
    <row r="948" ht="15.75" customHeight="1">
      <c r="A948" s="12"/>
      <c r="B948" s="12"/>
      <c r="C948" s="12"/>
      <c r="D948" s="12"/>
      <c r="E948" s="12"/>
      <c r="F948" s="12"/>
      <c r="G948" s="12"/>
      <c r="H948" s="12"/>
      <c r="I948" s="12"/>
      <c r="J948" s="12"/>
      <c r="K948" s="12"/>
      <c r="L948" s="12"/>
      <c r="M948" s="12"/>
    </row>
    <row r="949" ht="15.75" customHeight="1">
      <c r="A949" s="12"/>
      <c r="B949" s="12"/>
      <c r="C949" s="12"/>
      <c r="D949" s="12"/>
      <c r="E949" s="12"/>
      <c r="F949" s="12"/>
      <c r="G949" s="12"/>
      <c r="H949" s="12"/>
      <c r="I949" s="12"/>
      <c r="J949" s="12"/>
      <c r="K949" s="12"/>
      <c r="L949" s="12"/>
      <c r="M949" s="12"/>
    </row>
    <row r="950" ht="15.75" customHeight="1">
      <c r="A950" s="12"/>
      <c r="B950" s="12"/>
      <c r="C950" s="12"/>
      <c r="D950" s="12"/>
      <c r="E950" s="12"/>
      <c r="F950" s="12"/>
      <c r="G950" s="12"/>
      <c r="H950" s="12"/>
      <c r="I950" s="12"/>
      <c r="J950" s="12"/>
      <c r="K950" s="12"/>
      <c r="L950" s="12"/>
      <c r="M950" s="12"/>
    </row>
    <row r="951" ht="15.75" customHeight="1">
      <c r="A951" s="12"/>
      <c r="B951" s="12"/>
      <c r="C951" s="12"/>
      <c r="D951" s="12"/>
      <c r="E951" s="12"/>
      <c r="F951" s="12"/>
      <c r="G951" s="12"/>
      <c r="H951" s="12"/>
      <c r="I951" s="12"/>
      <c r="J951" s="12"/>
      <c r="K951" s="12"/>
      <c r="L951" s="12"/>
      <c r="M951" s="12"/>
    </row>
    <row r="952" ht="15.75" customHeight="1">
      <c r="A952" s="12"/>
      <c r="B952" s="12"/>
      <c r="C952" s="12"/>
      <c r="D952" s="12"/>
      <c r="E952" s="12"/>
      <c r="F952" s="12"/>
      <c r="G952" s="12"/>
      <c r="H952" s="12"/>
      <c r="I952" s="12"/>
      <c r="J952" s="12"/>
      <c r="K952" s="12"/>
      <c r="L952" s="12"/>
      <c r="M952" s="12"/>
    </row>
    <row r="953" ht="15.75" customHeight="1">
      <c r="A953" s="12"/>
      <c r="B953" s="12"/>
      <c r="C953" s="12"/>
      <c r="D953" s="12"/>
      <c r="E953" s="12"/>
      <c r="F953" s="12"/>
      <c r="G953" s="12"/>
      <c r="H953" s="12"/>
      <c r="I953" s="12"/>
      <c r="J953" s="12"/>
      <c r="K953" s="12"/>
      <c r="L953" s="12"/>
      <c r="M953" s="12"/>
    </row>
    <row r="954" ht="15.75" customHeight="1">
      <c r="A954" s="12"/>
      <c r="B954" s="12"/>
      <c r="C954" s="12"/>
      <c r="D954" s="12"/>
      <c r="E954" s="12"/>
      <c r="F954" s="12"/>
      <c r="G954" s="12"/>
      <c r="H954" s="12"/>
      <c r="I954" s="12"/>
      <c r="J954" s="12"/>
      <c r="K954" s="12"/>
      <c r="L954" s="12"/>
      <c r="M954" s="12"/>
    </row>
    <row r="955" ht="15.75" customHeight="1">
      <c r="A955" s="12"/>
      <c r="B955" s="12"/>
      <c r="C955" s="12"/>
      <c r="D955" s="12"/>
      <c r="E955" s="12"/>
      <c r="F955" s="12"/>
      <c r="G955" s="12"/>
      <c r="H955" s="12"/>
      <c r="I955" s="12"/>
      <c r="J955" s="12"/>
      <c r="K955" s="12"/>
      <c r="L955" s="12"/>
      <c r="M955" s="12"/>
    </row>
    <row r="956" ht="15.75" customHeight="1">
      <c r="A956" s="12"/>
      <c r="B956" s="12"/>
      <c r="C956" s="12"/>
      <c r="D956" s="12"/>
      <c r="E956" s="12"/>
      <c r="F956" s="12"/>
      <c r="G956" s="12"/>
      <c r="H956" s="12"/>
      <c r="I956" s="12"/>
      <c r="J956" s="12"/>
      <c r="K956" s="12"/>
      <c r="L956" s="12"/>
      <c r="M956" s="12"/>
    </row>
    <row r="957" ht="15.75" customHeight="1">
      <c r="A957" s="12"/>
      <c r="B957" s="12"/>
      <c r="C957" s="12"/>
      <c r="D957" s="12"/>
      <c r="E957" s="12"/>
      <c r="F957" s="12"/>
      <c r="G957" s="12"/>
      <c r="H957" s="12"/>
      <c r="I957" s="12"/>
      <c r="J957" s="12"/>
      <c r="K957" s="12"/>
      <c r="L957" s="12"/>
      <c r="M957" s="12"/>
    </row>
    <row r="958" ht="15.75" customHeight="1">
      <c r="A958" s="12"/>
      <c r="B958" s="12"/>
      <c r="C958" s="12"/>
      <c r="D958" s="12"/>
      <c r="E958" s="12"/>
      <c r="F958" s="12"/>
      <c r="G958" s="12"/>
      <c r="H958" s="12"/>
      <c r="I958" s="12"/>
      <c r="J958" s="12"/>
      <c r="K958" s="12"/>
      <c r="L958" s="12"/>
      <c r="M958" s="12"/>
    </row>
    <row r="959" ht="15.75" customHeight="1">
      <c r="A959" s="12"/>
      <c r="B959" s="12"/>
      <c r="C959" s="12"/>
      <c r="D959" s="12"/>
      <c r="E959" s="12"/>
      <c r="F959" s="12"/>
      <c r="G959" s="12"/>
      <c r="H959" s="12"/>
      <c r="I959" s="12"/>
      <c r="J959" s="12"/>
      <c r="K959" s="12"/>
      <c r="L959" s="12"/>
      <c r="M959" s="12"/>
    </row>
    <row r="960" ht="15.75" customHeight="1">
      <c r="A960" s="12"/>
      <c r="B960" s="12"/>
      <c r="C960" s="12"/>
      <c r="D960" s="12"/>
      <c r="E960" s="12"/>
      <c r="F960" s="12"/>
      <c r="G960" s="12"/>
      <c r="H960" s="12"/>
      <c r="I960" s="12"/>
      <c r="J960" s="12"/>
      <c r="K960" s="12"/>
      <c r="L960" s="12"/>
      <c r="M960" s="12"/>
    </row>
    <row r="961" ht="15.75" customHeight="1">
      <c r="A961" s="12"/>
      <c r="B961" s="12"/>
      <c r="C961" s="12"/>
      <c r="D961" s="12"/>
      <c r="E961" s="12"/>
      <c r="F961" s="12"/>
      <c r="G961" s="12"/>
      <c r="H961" s="12"/>
      <c r="I961" s="12"/>
      <c r="J961" s="12"/>
      <c r="K961" s="12"/>
      <c r="L961" s="12"/>
      <c r="M961" s="12"/>
    </row>
    <row r="962" ht="15.75" customHeight="1">
      <c r="A962" s="12"/>
      <c r="B962" s="12"/>
      <c r="C962" s="12"/>
      <c r="D962" s="12"/>
      <c r="E962" s="12"/>
      <c r="F962" s="12"/>
      <c r="G962" s="12"/>
      <c r="H962" s="12"/>
      <c r="I962" s="12"/>
      <c r="J962" s="12"/>
      <c r="K962" s="12"/>
      <c r="L962" s="12"/>
      <c r="M962" s="12"/>
    </row>
    <row r="963" ht="15.75" customHeight="1">
      <c r="A963" s="12"/>
      <c r="B963" s="12"/>
      <c r="C963" s="12"/>
      <c r="D963" s="12"/>
      <c r="E963" s="12"/>
      <c r="F963" s="12"/>
      <c r="G963" s="12"/>
      <c r="H963" s="12"/>
      <c r="I963" s="12"/>
      <c r="J963" s="12"/>
      <c r="K963" s="12"/>
      <c r="L963" s="12"/>
      <c r="M963" s="12"/>
    </row>
    <row r="964" ht="15.75" customHeight="1">
      <c r="A964" s="12"/>
      <c r="B964" s="12"/>
      <c r="C964" s="12"/>
      <c r="D964" s="12"/>
      <c r="E964" s="12"/>
      <c r="F964" s="12"/>
      <c r="G964" s="12"/>
      <c r="H964" s="12"/>
      <c r="I964" s="12"/>
      <c r="J964" s="12"/>
      <c r="K964" s="12"/>
      <c r="L964" s="12"/>
      <c r="M964" s="12"/>
    </row>
    <row r="965" ht="15.75" customHeight="1">
      <c r="A965" s="12"/>
      <c r="B965" s="12"/>
      <c r="C965" s="12"/>
      <c r="D965" s="12"/>
      <c r="E965" s="12"/>
      <c r="F965" s="12"/>
      <c r="G965" s="12"/>
      <c r="H965" s="12"/>
      <c r="I965" s="12"/>
      <c r="J965" s="12"/>
      <c r="K965" s="12"/>
      <c r="L965" s="12"/>
      <c r="M965" s="12"/>
    </row>
    <row r="966" ht="15.75" customHeight="1">
      <c r="A966" s="12"/>
      <c r="B966" s="12"/>
      <c r="C966" s="12"/>
      <c r="D966" s="12"/>
      <c r="E966" s="12"/>
      <c r="F966" s="12"/>
      <c r="G966" s="12"/>
      <c r="H966" s="12"/>
      <c r="I966" s="12"/>
      <c r="J966" s="12"/>
      <c r="K966" s="12"/>
      <c r="L966" s="12"/>
      <c r="M966" s="12"/>
    </row>
    <row r="967" ht="15.75" customHeight="1">
      <c r="A967" s="12"/>
      <c r="B967" s="12"/>
      <c r="C967" s="12"/>
      <c r="D967" s="12"/>
      <c r="E967" s="12"/>
      <c r="F967" s="12"/>
      <c r="G967" s="12"/>
      <c r="H967" s="12"/>
      <c r="I967" s="12"/>
      <c r="J967" s="12"/>
      <c r="K967" s="12"/>
      <c r="L967" s="12"/>
      <c r="M967" s="12"/>
    </row>
    <row r="968" ht="15.75" customHeight="1">
      <c r="A968" s="12"/>
      <c r="B968" s="12"/>
      <c r="C968" s="12"/>
      <c r="D968" s="12"/>
      <c r="E968" s="12"/>
      <c r="F968" s="12"/>
      <c r="G968" s="12"/>
      <c r="H968" s="12"/>
      <c r="I968" s="12"/>
      <c r="J968" s="12"/>
      <c r="K968" s="12"/>
      <c r="L968" s="12"/>
      <c r="M968" s="12"/>
    </row>
    <row r="969" ht="15.75" customHeight="1">
      <c r="A969" s="12"/>
      <c r="B969" s="12"/>
      <c r="C969" s="12"/>
      <c r="D969" s="12"/>
      <c r="E969" s="12"/>
      <c r="F969" s="12"/>
      <c r="G969" s="12"/>
      <c r="H969" s="12"/>
      <c r="I969" s="12"/>
      <c r="J969" s="12"/>
      <c r="K969" s="12"/>
      <c r="L969" s="12"/>
      <c r="M969" s="12"/>
    </row>
    <row r="970" ht="15.75" customHeight="1">
      <c r="A970" s="12"/>
      <c r="B970" s="12"/>
      <c r="C970" s="12"/>
      <c r="D970" s="12"/>
      <c r="E970" s="12"/>
      <c r="F970" s="12"/>
      <c r="G970" s="12"/>
      <c r="H970" s="12"/>
      <c r="I970" s="12"/>
      <c r="J970" s="12"/>
      <c r="K970" s="12"/>
      <c r="L970" s="12"/>
      <c r="M970" s="12"/>
    </row>
    <row r="971" ht="15.75" customHeight="1">
      <c r="A971" s="12"/>
      <c r="B971" s="12"/>
      <c r="C971" s="12"/>
      <c r="D971" s="12"/>
      <c r="E971" s="12"/>
      <c r="F971" s="12"/>
      <c r="G971" s="12"/>
      <c r="H971" s="12"/>
      <c r="I971" s="12"/>
      <c r="J971" s="12"/>
      <c r="K971" s="12"/>
      <c r="L971" s="12"/>
      <c r="M971" s="12"/>
    </row>
    <row r="972" ht="15.75" customHeight="1">
      <c r="A972" s="12"/>
      <c r="B972" s="12"/>
      <c r="C972" s="12"/>
      <c r="D972" s="12"/>
      <c r="E972" s="12"/>
      <c r="F972" s="12"/>
      <c r="G972" s="12"/>
      <c r="H972" s="12"/>
      <c r="I972" s="12"/>
      <c r="J972" s="12"/>
      <c r="K972" s="12"/>
      <c r="L972" s="12"/>
      <c r="M972" s="12"/>
    </row>
    <row r="973" ht="15.75" customHeight="1">
      <c r="A973" s="12"/>
      <c r="B973" s="12"/>
      <c r="C973" s="12"/>
      <c r="D973" s="12"/>
      <c r="E973" s="12"/>
      <c r="F973" s="12"/>
      <c r="G973" s="12"/>
      <c r="H973" s="12"/>
      <c r="I973" s="12"/>
      <c r="J973" s="12"/>
      <c r="K973" s="12"/>
      <c r="L973" s="12"/>
      <c r="M973" s="12"/>
    </row>
    <row r="974" ht="15.75" customHeight="1">
      <c r="A974" s="12"/>
      <c r="B974" s="12"/>
      <c r="C974" s="12"/>
      <c r="D974" s="12"/>
      <c r="E974" s="12"/>
      <c r="F974" s="12"/>
      <c r="G974" s="12"/>
      <c r="H974" s="12"/>
      <c r="I974" s="12"/>
      <c r="J974" s="12"/>
      <c r="K974" s="12"/>
      <c r="L974" s="12"/>
      <c r="M974" s="12"/>
    </row>
    <row r="975" ht="15.75" customHeight="1">
      <c r="A975" s="12"/>
      <c r="B975" s="12"/>
      <c r="C975" s="12"/>
      <c r="D975" s="12"/>
      <c r="E975" s="12"/>
      <c r="F975" s="12"/>
      <c r="G975" s="12"/>
      <c r="H975" s="12"/>
      <c r="I975" s="12"/>
      <c r="J975" s="12"/>
      <c r="K975" s="12"/>
      <c r="L975" s="12"/>
      <c r="M975" s="12"/>
    </row>
    <row r="976" ht="15.75" customHeight="1">
      <c r="A976" s="12"/>
      <c r="B976" s="12"/>
      <c r="C976" s="12"/>
      <c r="D976" s="12"/>
      <c r="E976" s="12"/>
      <c r="F976" s="12"/>
      <c r="G976" s="12"/>
      <c r="H976" s="12"/>
      <c r="I976" s="12"/>
      <c r="J976" s="12"/>
      <c r="K976" s="12"/>
      <c r="L976" s="12"/>
      <c r="M976" s="12"/>
    </row>
    <row r="977" ht="15.75" customHeight="1">
      <c r="A977" s="12"/>
      <c r="B977" s="12"/>
      <c r="C977" s="12"/>
      <c r="D977" s="12"/>
      <c r="E977" s="12"/>
      <c r="F977" s="12"/>
      <c r="G977" s="12"/>
      <c r="H977" s="12"/>
      <c r="I977" s="12"/>
      <c r="J977" s="12"/>
      <c r="K977" s="12"/>
      <c r="L977" s="12"/>
      <c r="M977" s="12"/>
    </row>
    <row r="978" ht="15.75" customHeight="1">
      <c r="A978" s="12"/>
      <c r="B978" s="12"/>
      <c r="C978" s="12"/>
      <c r="D978" s="12"/>
      <c r="E978" s="12"/>
      <c r="F978" s="12"/>
      <c r="G978" s="12"/>
      <c r="H978" s="12"/>
      <c r="I978" s="12"/>
      <c r="J978" s="12"/>
      <c r="K978" s="12"/>
      <c r="L978" s="12"/>
      <c r="M978" s="12"/>
    </row>
    <row r="979" ht="15.75" customHeight="1">
      <c r="A979" s="12"/>
      <c r="B979" s="12"/>
      <c r="C979" s="12"/>
      <c r="D979" s="12"/>
      <c r="E979" s="12"/>
      <c r="F979" s="12"/>
      <c r="G979" s="12"/>
      <c r="H979" s="12"/>
      <c r="I979" s="12"/>
      <c r="J979" s="12"/>
      <c r="K979" s="12"/>
      <c r="L979" s="12"/>
      <c r="M979" s="12"/>
    </row>
    <row r="980" ht="15.75" customHeight="1">
      <c r="A980" s="12"/>
      <c r="B980" s="12"/>
      <c r="C980" s="12"/>
      <c r="D980" s="12"/>
      <c r="E980" s="12"/>
      <c r="F980" s="12"/>
      <c r="G980" s="12"/>
      <c r="H980" s="12"/>
      <c r="I980" s="12"/>
      <c r="J980" s="12"/>
      <c r="K980" s="12"/>
      <c r="L980" s="12"/>
      <c r="M980" s="12"/>
    </row>
    <row r="981" ht="15.75" customHeight="1">
      <c r="A981" s="12"/>
      <c r="B981" s="12"/>
      <c r="C981" s="12"/>
      <c r="D981" s="12"/>
      <c r="E981" s="12"/>
      <c r="F981" s="12"/>
      <c r="G981" s="12"/>
      <c r="H981" s="12"/>
      <c r="I981" s="12"/>
      <c r="J981" s="12"/>
      <c r="K981" s="12"/>
      <c r="L981" s="12"/>
      <c r="M981" s="12"/>
    </row>
    <row r="982" ht="15.75" customHeight="1">
      <c r="A982" s="12"/>
      <c r="B982" s="12"/>
      <c r="C982" s="12"/>
      <c r="D982" s="12"/>
      <c r="E982" s="12"/>
      <c r="F982" s="12"/>
      <c r="G982" s="12"/>
      <c r="H982" s="12"/>
      <c r="I982" s="12"/>
      <c r="J982" s="12"/>
      <c r="K982" s="12"/>
      <c r="L982" s="12"/>
      <c r="M982" s="12"/>
    </row>
    <row r="983" ht="15.75" customHeight="1">
      <c r="A983" s="12"/>
      <c r="B983" s="12"/>
      <c r="C983" s="12"/>
      <c r="D983" s="12"/>
      <c r="E983" s="12"/>
      <c r="F983" s="12"/>
      <c r="G983" s="12"/>
      <c r="H983" s="12"/>
      <c r="I983" s="12"/>
      <c r="J983" s="12"/>
      <c r="K983" s="12"/>
      <c r="L983" s="12"/>
      <c r="M983" s="12"/>
    </row>
    <row r="984" ht="15.75" customHeight="1">
      <c r="A984" s="12"/>
      <c r="B984" s="12"/>
      <c r="C984" s="12"/>
      <c r="D984" s="12"/>
      <c r="E984" s="12"/>
      <c r="F984" s="12"/>
      <c r="G984" s="12"/>
      <c r="H984" s="12"/>
      <c r="I984" s="12"/>
      <c r="J984" s="12"/>
      <c r="K984" s="12"/>
      <c r="L984" s="12"/>
      <c r="M984" s="12"/>
    </row>
    <row r="985" ht="15.75" customHeight="1">
      <c r="A985" s="12"/>
      <c r="B985" s="12"/>
      <c r="C985" s="12"/>
      <c r="D985" s="12"/>
      <c r="E985" s="12"/>
      <c r="F985" s="12"/>
      <c r="G985" s="12"/>
      <c r="H985" s="12"/>
      <c r="I985" s="12"/>
      <c r="J985" s="12"/>
      <c r="K985" s="12"/>
      <c r="L985" s="12"/>
      <c r="M985" s="12"/>
    </row>
    <row r="986" ht="15.75" customHeight="1">
      <c r="A986" s="12"/>
      <c r="B986" s="12"/>
      <c r="C986" s="12"/>
      <c r="D986" s="12"/>
      <c r="E986" s="12"/>
      <c r="F986" s="12"/>
      <c r="G986" s="12"/>
      <c r="H986" s="12"/>
      <c r="I986" s="12"/>
      <c r="J986" s="12"/>
      <c r="K986" s="12"/>
      <c r="L986" s="12"/>
      <c r="M986" s="12"/>
    </row>
    <row r="987" ht="15.75" customHeight="1">
      <c r="A987" s="12"/>
      <c r="B987" s="12"/>
      <c r="C987" s="12"/>
      <c r="D987" s="12"/>
      <c r="E987" s="12"/>
      <c r="F987" s="12"/>
      <c r="G987" s="12"/>
      <c r="H987" s="12"/>
      <c r="I987" s="12"/>
      <c r="J987" s="12"/>
      <c r="K987" s="12"/>
      <c r="L987" s="12"/>
      <c r="M987" s="12"/>
    </row>
    <row r="988" ht="15.75" customHeight="1">
      <c r="A988" s="12"/>
      <c r="B988" s="12"/>
      <c r="C988" s="12"/>
      <c r="D988" s="12"/>
      <c r="E988" s="12"/>
      <c r="F988" s="12"/>
      <c r="G988" s="12"/>
      <c r="H988" s="12"/>
      <c r="I988" s="12"/>
      <c r="J988" s="12"/>
      <c r="K988" s="12"/>
      <c r="L988" s="12"/>
      <c r="M988" s="12"/>
    </row>
    <row r="989" ht="15.75" customHeight="1">
      <c r="A989" s="12"/>
      <c r="B989" s="12"/>
      <c r="C989" s="12"/>
      <c r="D989" s="12"/>
      <c r="E989" s="12"/>
      <c r="F989" s="12"/>
      <c r="G989" s="12"/>
      <c r="H989" s="12"/>
      <c r="I989" s="12"/>
      <c r="J989" s="12"/>
      <c r="K989" s="12"/>
      <c r="L989" s="12"/>
      <c r="M989" s="12"/>
    </row>
    <row r="990" ht="15.75" customHeight="1">
      <c r="A990" s="12"/>
      <c r="B990" s="12"/>
      <c r="C990" s="12"/>
      <c r="D990" s="12"/>
      <c r="E990" s="12"/>
      <c r="F990" s="12"/>
      <c r="G990" s="12"/>
      <c r="H990" s="12"/>
      <c r="I990" s="12"/>
      <c r="J990" s="12"/>
      <c r="K990" s="12"/>
      <c r="L990" s="12"/>
      <c r="M990" s="12"/>
    </row>
    <row r="991" ht="15.75" customHeight="1">
      <c r="A991" s="12"/>
      <c r="B991" s="12"/>
      <c r="C991" s="12"/>
      <c r="D991" s="12"/>
      <c r="E991" s="12"/>
      <c r="F991" s="12"/>
      <c r="G991" s="12"/>
      <c r="H991" s="12"/>
      <c r="I991" s="12"/>
      <c r="J991" s="12"/>
      <c r="K991" s="12"/>
      <c r="L991" s="12"/>
      <c r="M991" s="12"/>
    </row>
    <row r="992" ht="15.75" customHeight="1">
      <c r="A992" s="12"/>
      <c r="B992" s="12"/>
      <c r="C992" s="12"/>
      <c r="D992" s="12"/>
      <c r="E992" s="12"/>
      <c r="F992" s="12"/>
      <c r="G992" s="12"/>
      <c r="H992" s="12"/>
      <c r="I992" s="12"/>
      <c r="J992" s="12"/>
      <c r="K992" s="12"/>
      <c r="L992" s="12"/>
      <c r="M992" s="12"/>
    </row>
    <row r="993" ht="15.75" customHeight="1">
      <c r="A993" s="12"/>
      <c r="B993" s="12"/>
      <c r="C993" s="12"/>
      <c r="D993" s="12"/>
      <c r="E993" s="12"/>
      <c r="F993" s="12"/>
      <c r="G993" s="12"/>
      <c r="H993" s="12"/>
      <c r="I993" s="12"/>
      <c r="J993" s="12"/>
      <c r="K993" s="12"/>
      <c r="L993" s="12"/>
      <c r="M993" s="12"/>
    </row>
    <row r="994" ht="15.75" customHeight="1">
      <c r="A994" s="12"/>
      <c r="B994" s="12"/>
      <c r="C994" s="12"/>
      <c r="D994" s="12"/>
      <c r="E994" s="12"/>
      <c r="F994" s="12"/>
      <c r="G994" s="12"/>
      <c r="H994" s="12"/>
      <c r="I994" s="12"/>
      <c r="J994" s="12"/>
      <c r="K994" s="12"/>
      <c r="L994" s="12"/>
      <c r="M994" s="12"/>
    </row>
    <row r="995" ht="15.75" customHeight="1">
      <c r="A995" s="12"/>
      <c r="B995" s="12"/>
      <c r="C995" s="12"/>
      <c r="D995" s="12"/>
      <c r="E995" s="12"/>
      <c r="F995" s="12"/>
      <c r="G995" s="12"/>
      <c r="H995" s="12"/>
      <c r="I995" s="12"/>
      <c r="J995" s="12"/>
      <c r="K995" s="12"/>
      <c r="L995" s="12"/>
      <c r="M995" s="12"/>
    </row>
    <row r="996" ht="15.75" customHeight="1">
      <c r="A996" s="12"/>
      <c r="B996" s="12"/>
      <c r="C996" s="12"/>
      <c r="D996" s="12"/>
      <c r="E996" s="12"/>
      <c r="F996" s="12"/>
      <c r="G996" s="12"/>
      <c r="H996" s="12"/>
      <c r="I996" s="12"/>
      <c r="J996" s="12"/>
      <c r="K996" s="12"/>
      <c r="L996" s="12"/>
      <c r="M996" s="12"/>
    </row>
    <row r="997" ht="15.75" customHeight="1">
      <c r="A997" s="12"/>
      <c r="B997" s="12"/>
      <c r="C997" s="12"/>
      <c r="D997" s="12"/>
      <c r="E997" s="12"/>
      <c r="F997" s="12"/>
      <c r="G997" s="12"/>
      <c r="H997" s="12"/>
      <c r="I997" s="12"/>
      <c r="J997" s="12"/>
      <c r="K997" s="12"/>
      <c r="L997" s="12"/>
      <c r="M997" s="12"/>
    </row>
    <row r="998" ht="15.75" customHeight="1">
      <c r="A998" s="12"/>
      <c r="B998" s="12"/>
      <c r="C998" s="12"/>
      <c r="D998" s="12"/>
      <c r="E998" s="12"/>
      <c r="F998" s="12"/>
      <c r="G998" s="12"/>
      <c r="H998" s="12"/>
      <c r="I998" s="12"/>
      <c r="J998" s="12"/>
      <c r="K998" s="12"/>
      <c r="L998" s="12"/>
      <c r="M998" s="12"/>
    </row>
    <row r="999" ht="15.75" customHeight="1">
      <c r="A999" s="12"/>
      <c r="B999" s="12"/>
      <c r="C999" s="12"/>
      <c r="D999" s="12"/>
      <c r="E999" s="12"/>
      <c r="F999" s="12"/>
      <c r="G999" s="12"/>
      <c r="H999" s="12"/>
      <c r="I999" s="12"/>
      <c r="J999" s="12"/>
      <c r="K999" s="12"/>
      <c r="L999" s="12"/>
      <c r="M999" s="12"/>
    </row>
    <row r="1000" ht="15.75" customHeight="1">
      <c r="A1000" s="12"/>
      <c r="B1000" s="12"/>
      <c r="C1000" s="12"/>
      <c r="D1000" s="12"/>
      <c r="E1000" s="12"/>
      <c r="F1000" s="12"/>
      <c r="G1000" s="12"/>
      <c r="H1000" s="12"/>
      <c r="I1000" s="12"/>
      <c r="J1000" s="12"/>
      <c r="K1000" s="12"/>
      <c r="L1000" s="12"/>
      <c r="M1000" s="12"/>
    </row>
  </sheetData>
  <printOptions/>
  <pageMargins bottom="1.0" footer="0.0" header="0.0" left="0.75" right="0.75" top="1.0"/>
  <pageSetup paperSize="9"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0.0"/>
    <col customWidth="1" min="2" max="2" width="12.0"/>
    <col customWidth="1" min="3" max="3" width="14.0"/>
    <col customWidth="1" min="4" max="4" width="16.0"/>
    <col customWidth="1" min="5" max="5" width="14.0"/>
    <col customWidth="1" min="6" max="26" width="8.71"/>
  </cols>
  <sheetData>
    <row r="1" ht="15.0" customHeight="1">
      <c r="A1" s="2" t="s">
        <v>27</v>
      </c>
      <c r="B1" s="2" t="s">
        <v>135</v>
      </c>
      <c r="C1" s="2" t="s">
        <v>153</v>
      </c>
      <c r="D1" s="2" t="s">
        <v>144</v>
      </c>
      <c r="E1" s="2" t="s">
        <v>154</v>
      </c>
    </row>
    <row r="2" ht="15.0" customHeight="1">
      <c r="A2" s="3">
        <v>1.0</v>
      </c>
      <c r="B2" s="3" t="s">
        <v>24</v>
      </c>
      <c r="C2" s="8">
        <v>15.0</v>
      </c>
      <c r="D2" s="8">
        <v>0.0</v>
      </c>
      <c r="E2" s="3">
        <f t="shared" ref="E2:E71" si="1">N($C2)+N($D2)</f>
        <v>15</v>
      </c>
    </row>
    <row r="3" ht="15.0" customHeight="1">
      <c r="A3" s="3">
        <v>1.0</v>
      </c>
      <c r="B3" s="3" t="s">
        <v>46</v>
      </c>
      <c r="C3" s="8">
        <v>15.0</v>
      </c>
      <c r="D3" s="3">
        <f>SUMIFS(Respostes_usuari!$F:$F,Respostes_usuari!$A:$A,$A3,Respostes_usuari!$B:$B,$B3)</f>
        <v>0</v>
      </c>
      <c r="E3" s="3">
        <f t="shared" si="1"/>
        <v>15</v>
      </c>
    </row>
    <row r="4" ht="15.0" customHeight="1">
      <c r="A4" s="3">
        <v>1.0</v>
      </c>
      <c r="B4" s="3" t="s">
        <v>58</v>
      </c>
      <c r="C4" s="8">
        <v>15.0</v>
      </c>
      <c r="D4" s="3">
        <f>SUMIFS(Respostes_usuari!$F:$F,Respostes_usuari!$A:$A,$A4,Respostes_usuari!$B:$B,$B4)</f>
        <v>0</v>
      </c>
      <c r="E4" s="3">
        <f t="shared" si="1"/>
        <v>15</v>
      </c>
    </row>
    <row r="5" ht="15.0" customHeight="1">
      <c r="A5" s="3">
        <v>1.0</v>
      </c>
      <c r="B5" s="3" t="s">
        <v>71</v>
      </c>
      <c r="C5" s="8">
        <v>10.0</v>
      </c>
      <c r="D5" s="3">
        <f>SUMIFS(Respostes_usuari!$F:$F,Respostes_usuari!$A:$A,$A5,Respostes_usuari!$B:$B,$B5)</f>
        <v>0</v>
      </c>
      <c r="E5" s="3">
        <f t="shared" si="1"/>
        <v>10</v>
      </c>
    </row>
    <row r="6" ht="15.0" customHeight="1">
      <c r="A6" s="3">
        <v>1.0</v>
      </c>
      <c r="B6" s="3" t="s">
        <v>140</v>
      </c>
      <c r="C6" s="8">
        <v>10.0</v>
      </c>
      <c r="D6" s="3">
        <f>SUMIFS(Respostes_usuari!$F:$F,Respostes_usuari!$A:$A,$A6,Respostes_usuari!$B:$B,$B6)</f>
        <v>0</v>
      </c>
      <c r="E6" s="3">
        <f t="shared" si="1"/>
        <v>10</v>
      </c>
    </row>
    <row r="7" ht="15.0" customHeight="1">
      <c r="A7" s="3">
        <v>1.0</v>
      </c>
      <c r="B7" s="3" t="s">
        <v>145</v>
      </c>
      <c r="C7" s="8">
        <v>20.0</v>
      </c>
      <c r="D7" s="3">
        <f>SUMIFS(Respostes_usuari!$F:$F,Respostes_usuari!$A:$A,$A7,Respostes_usuari!$B:$B,$B7)</f>
        <v>0</v>
      </c>
      <c r="E7" s="3">
        <f t="shared" si="1"/>
        <v>20</v>
      </c>
    </row>
    <row r="8" ht="15.0" customHeight="1">
      <c r="A8" s="3">
        <v>1.0</v>
      </c>
      <c r="B8" s="3" t="s">
        <v>7</v>
      </c>
      <c r="C8" s="3">
        <f>SUMIFS(Calcul_puntuacio!$M:$M,Calcul_puntuacio!$A:$A,$A8,Calcul_puntuacio!$B:$B,$B8)</f>
        <v>85.2</v>
      </c>
      <c r="D8" s="3">
        <f>SUMIFS(Respostes_usuari!$F:$F,Respostes_usuari!$A:$A,$A8,Respostes_usuari!$B:$B,$B8)</f>
        <v>0</v>
      </c>
      <c r="E8" s="3">
        <f t="shared" si="1"/>
        <v>85.2</v>
      </c>
    </row>
    <row r="9" ht="15.0" customHeight="1">
      <c r="A9" s="3">
        <v>2.0</v>
      </c>
      <c r="B9" s="3" t="s">
        <v>24</v>
      </c>
      <c r="C9" s="3">
        <f>SUMIFS(Calcul_puntuacio!$M:$M,Calcul_puntuacio!$A:$A,$A9,Calcul_puntuacio!$B:$B,$B9)</f>
        <v>0</v>
      </c>
      <c r="D9" s="3">
        <f>SUMIFS(Respostes_usuari!$F:$F,Respostes_usuari!$A:$A,$A9,Respostes_usuari!$B:$B,$B9)</f>
        <v>0</v>
      </c>
      <c r="E9" s="3">
        <f t="shared" si="1"/>
        <v>0</v>
      </c>
    </row>
    <row r="10" ht="15.0" customHeight="1">
      <c r="A10" s="3">
        <v>2.0</v>
      </c>
      <c r="B10" s="3" t="s">
        <v>46</v>
      </c>
      <c r="C10" s="3">
        <f>SUMIFS(Calcul_puntuacio!$M:$M,Calcul_puntuacio!$A:$A,$A10,Calcul_puntuacio!$B:$B,$B10)</f>
        <v>0</v>
      </c>
      <c r="D10" s="3">
        <f>SUMIFS(Respostes_usuari!$F:$F,Respostes_usuari!$A:$A,$A10,Respostes_usuari!$B:$B,$B10)</f>
        <v>0</v>
      </c>
      <c r="E10" s="3">
        <f t="shared" si="1"/>
        <v>0</v>
      </c>
    </row>
    <row r="11" ht="15.0" customHeight="1">
      <c r="A11" s="3">
        <v>2.0</v>
      </c>
      <c r="B11" s="3" t="s">
        <v>58</v>
      </c>
      <c r="C11" s="3">
        <f>SUMIFS(Calcul_puntuacio!$M:$M,Calcul_puntuacio!$A:$A,$A11,Calcul_puntuacio!$B:$B,$B11)</f>
        <v>0</v>
      </c>
      <c r="D11" s="3">
        <f>SUMIFS(Respostes_usuari!$F:$F,Respostes_usuari!$A:$A,$A11,Respostes_usuari!$B:$B,$B11)</f>
        <v>0</v>
      </c>
      <c r="E11" s="3">
        <f t="shared" si="1"/>
        <v>0</v>
      </c>
    </row>
    <row r="12" ht="15.0" customHeight="1">
      <c r="A12" s="3">
        <v>2.0</v>
      </c>
      <c r="B12" s="3" t="s">
        <v>71</v>
      </c>
      <c r="C12" s="3">
        <f>SUMIFS(Calcul_puntuacio!$M:$M,Calcul_puntuacio!$A:$A,$A12,Calcul_puntuacio!$B:$B,$B12)</f>
        <v>0</v>
      </c>
      <c r="D12" s="3">
        <f>SUMIFS(Respostes_usuari!$F:$F,Respostes_usuari!$A:$A,$A12,Respostes_usuari!$B:$B,$B12)</f>
        <v>0</v>
      </c>
      <c r="E12" s="3">
        <f t="shared" si="1"/>
        <v>0</v>
      </c>
    </row>
    <row r="13" ht="15.0" customHeight="1">
      <c r="A13" s="3">
        <v>2.0</v>
      </c>
      <c r="B13" s="3" t="s">
        <v>140</v>
      </c>
      <c r="C13" s="3">
        <f>SUMIFS(Calcul_puntuacio!$M:$M,Calcul_puntuacio!$A:$A,$A13,Calcul_puntuacio!$B:$B,$B13)</f>
        <v>0</v>
      </c>
      <c r="D13" s="3">
        <f>SUMIFS(Respostes_usuari!$F:$F,Respostes_usuari!$A:$A,$A13,Respostes_usuari!$B:$B,$B13)</f>
        <v>0</v>
      </c>
      <c r="E13" s="3">
        <f t="shared" si="1"/>
        <v>0</v>
      </c>
    </row>
    <row r="14" ht="15.0" customHeight="1">
      <c r="A14" s="3">
        <v>2.0</v>
      </c>
      <c r="B14" s="3" t="s">
        <v>145</v>
      </c>
      <c r="C14" s="3">
        <f>SUMIFS(Calcul_puntuacio!$M:$M,Calcul_puntuacio!$A:$A,$A14,Calcul_puntuacio!$B:$B,$B14)</f>
        <v>0</v>
      </c>
      <c r="D14" s="3">
        <f>SUMIFS(Respostes_usuari!$F:$F,Respostes_usuari!$A:$A,$A14,Respostes_usuari!$B:$B,$B14)</f>
        <v>0</v>
      </c>
      <c r="E14" s="3">
        <f t="shared" si="1"/>
        <v>0</v>
      </c>
    </row>
    <row r="15" ht="15.0" customHeight="1">
      <c r="A15" s="3">
        <v>2.0</v>
      </c>
      <c r="B15" s="3" t="s">
        <v>7</v>
      </c>
      <c r="C15" s="3">
        <f>SUMIFS(Calcul_puntuacio!$M:$M,Calcul_puntuacio!$A:$A,$A15,Calcul_puntuacio!$B:$B,$B15)</f>
        <v>0</v>
      </c>
      <c r="D15" s="3">
        <f>SUMIFS(Respostes_usuari!$F:$F,Respostes_usuari!$A:$A,$A15,Respostes_usuari!$B:$B,$B15)</f>
        <v>0</v>
      </c>
      <c r="E15" s="3">
        <f t="shared" si="1"/>
        <v>0</v>
      </c>
    </row>
    <row r="16" ht="15.0" customHeight="1">
      <c r="A16" s="3">
        <v>3.0</v>
      </c>
      <c r="B16" s="3" t="s">
        <v>24</v>
      </c>
      <c r="C16" s="3">
        <f>SUMIFS(Calcul_puntuacio!$M:$M,Calcul_puntuacio!$A:$A,$A16,Calcul_puntuacio!$B:$B,$B16)</f>
        <v>0</v>
      </c>
      <c r="D16" s="3">
        <f>SUMIFS(Respostes_usuari!$F:$F,Respostes_usuari!$A:$A,$A16,Respostes_usuari!$B:$B,$B16)</f>
        <v>0</v>
      </c>
      <c r="E16" s="3">
        <f t="shared" si="1"/>
        <v>0</v>
      </c>
    </row>
    <row r="17" ht="15.0" customHeight="1">
      <c r="A17" s="3">
        <v>3.0</v>
      </c>
      <c r="B17" s="3" t="s">
        <v>46</v>
      </c>
      <c r="C17" s="3">
        <f>SUMIFS(Calcul_puntuacio!$M:$M,Calcul_puntuacio!$A:$A,$A17,Calcul_puntuacio!$B:$B,$B17)</f>
        <v>0</v>
      </c>
      <c r="D17" s="3">
        <f>SUMIFS(Respostes_usuari!$F:$F,Respostes_usuari!$A:$A,$A17,Respostes_usuari!$B:$B,$B17)</f>
        <v>0</v>
      </c>
      <c r="E17" s="3">
        <f t="shared" si="1"/>
        <v>0</v>
      </c>
    </row>
    <row r="18" ht="15.0" customHeight="1">
      <c r="A18" s="3">
        <v>3.0</v>
      </c>
      <c r="B18" s="3" t="s">
        <v>58</v>
      </c>
      <c r="C18" s="3">
        <f>SUMIFS(Calcul_puntuacio!$M:$M,Calcul_puntuacio!$A:$A,$A18,Calcul_puntuacio!$B:$B,$B18)</f>
        <v>0</v>
      </c>
      <c r="D18" s="3">
        <f>SUMIFS(Respostes_usuari!$F:$F,Respostes_usuari!$A:$A,$A18,Respostes_usuari!$B:$B,$B18)</f>
        <v>0</v>
      </c>
      <c r="E18" s="3">
        <f t="shared" si="1"/>
        <v>0</v>
      </c>
    </row>
    <row r="19" ht="15.0" customHeight="1">
      <c r="A19" s="3">
        <v>3.0</v>
      </c>
      <c r="B19" s="3" t="s">
        <v>71</v>
      </c>
      <c r="C19" s="3">
        <f>SUMIFS(Calcul_puntuacio!$M:$M,Calcul_puntuacio!$A:$A,$A19,Calcul_puntuacio!$B:$B,$B19)</f>
        <v>0</v>
      </c>
      <c r="D19" s="3">
        <f>SUMIFS(Respostes_usuari!$F:$F,Respostes_usuari!$A:$A,$A19,Respostes_usuari!$B:$B,$B19)</f>
        <v>0</v>
      </c>
      <c r="E19" s="3">
        <f t="shared" si="1"/>
        <v>0</v>
      </c>
    </row>
    <row r="20" ht="15.0" customHeight="1">
      <c r="A20" s="3">
        <v>3.0</v>
      </c>
      <c r="B20" s="3" t="s">
        <v>140</v>
      </c>
      <c r="C20" s="3">
        <f>SUMIFS(Calcul_puntuacio!$M:$M,Calcul_puntuacio!$A:$A,$A20,Calcul_puntuacio!$B:$B,$B20)</f>
        <v>0</v>
      </c>
      <c r="D20" s="3">
        <f>SUMIFS(Respostes_usuari!$F:$F,Respostes_usuari!$A:$A,$A20,Respostes_usuari!$B:$B,$B20)</f>
        <v>0</v>
      </c>
      <c r="E20" s="3">
        <f t="shared" si="1"/>
        <v>0</v>
      </c>
    </row>
    <row r="21" ht="15.0" customHeight="1">
      <c r="A21" s="3">
        <v>3.0</v>
      </c>
      <c r="B21" s="3" t="s">
        <v>145</v>
      </c>
      <c r="C21" s="3">
        <f>SUMIFS(Calcul_puntuacio!$M:$M,Calcul_puntuacio!$A:$A,$A21,Calcul_puntuacio!$B:$B,$B21)</f>
        <v>0</v>
      </c>
      <c r="D21" s="3">
        <f>SUMIFS(Respostes_usuari!$F:$F,Respostes_usuari!$A:$A,$A21,Respostes_usuari!$B:$B,$B21)</f>
        <v>0</v>
      </c>
      <c r="E21" s="3">
        <f t="shared" si="1"/>
        <v>0</v>
      </c>
    </row>
    <row r="22" ht="15.0" customHeight="1">
      <c r="A22" s="3">
        <v>3.0</v>
      </c>
      <c r="B22" s="3" t="s">
        <v>7</v>
      </c>
      <c r="C22" s="3">
        <f>SUMIFS(Calcul_puntuacio!$M:$M,Calcul_puntuacio!$A:$A,$A22,Calcul_puntuacio!$B:$B,$B22)</f>
        <v>0</v>
      </c>
      <c r="D22" s="3">
        <f>SUMIFS(Respostes_usuari!$F:$F,Respostes_usuari!$A:$A,$A22,Respostes_usuari!$B:$B,$B22)</f>
        <v>0</v>
      </c>
      <c r="E22" s="3">
        <f t="shared" si="1"/>
        <v>0</v>
      </c>
    </row>
    <row r="23" ht="15.0" customHeight="1">
      <c r="A23" s="3">
        <v>4.0</v>
      </c>
      <c r="B23" s="3" t="s">
        <v>24</v>
      </c>
      <c r="C23" s="3">
        <f>SUMIFS(Calcul_puntuacio!$M:$M,Calcul_puntuacio!$A:$A,$A23,Calcul_puntuacio!$B:$B,$B23)</f>
        <v>0</v>
      </c>
      <c r="D23" s="3">
        <f>SUMIFS(Respostes_usuari!$F:$F,Respostes_usuari!$A:$A,$A23,Respostes_usuari!$B:$B,$B23)</f>
        <v>0</v>
      </c>
      <c r="E23" s="3">
        <f t="shared" si="1"/>
        <v>0</v>
      </c>
    </row>
    <row r="24" ht="15.0" customHeight="1">
      <c r="A24" s="3">
        <v>4.0</v>
      </c>
      <c r="B24" s="3" t="s">
        <v>46</v>
      </c>
      <c r="C24" s="3">
        <f>SUMIFS(Calcul_puntuacio!$M:$M,Calcul_puntuacio!$A:$A,$A24,Calcul_puntuacio!$B:$B,$B24)</f>
        <v>0</v>
      </c>
      <c r="D24" s="3">
        <f>SUMIFS(Respostes_usuari!$F:$F,Respostes_usuari!$A:$A,$A24,Respostes_usuari!$B:$B,$B24)</f>
        <v>0</v>
      </c>
      <c r="E24" s="3">
        <f t="shared" si="1"/>
        <v>0</v>
      </c>
    </row>
    <row r="25" ht="15.0" customHeight="1">
      <c r="A25" s="3">
        <v>4.0</v>
      </c>
      <c r="B25" s="3" t="s">
        <v>58</v>
      </c>
      <c r="C25" s="3">
        <f>SUMIFS(Calcul_puntuacio!$M:$M,Calcul_puntuacio!$A:$A,$A25,Calcul_puntuacio!$B:$B,$B25)</f>
        <v>0</v>
      </c>
      <c r="D25" s="3">
        <f>SUMIFS(Respostes_usuari!$F:$F,Respostes_usuari!$A:$A,$A25,Respostes_usuari!$B:$B,$B25)</f>
        <v>0</v>
      </c>
      <c r="E25" s="3">
        <f t="shared" si="1"/>
        <v>0</v>
      </c>
    </row>
    <row r="26" ht="15.0" customHeight="1">
      <c r="A26" s="3">
        <v>4.0</v>
      </c>
      <c r="B26" s="3" t="s">
        <v>71</v>
      </c>
      <c r="C26" s="3">
        <f>SUMIFS(Calcul_puntuacio!$M:$M,Calcul_puntuacio!$A:$A,$A26,Calcul_puntuacio!$B:$B,$B26)</f>
        <v>0</v>
      </c>
      <c r="D26" s="3">
        <f>SUMIFS(Respostes_usuari!$F:$F,Respostes_usuari!$A:$A,$A26,Respostes_usuari!$B:$B,$B26)</f>
        <v>0</v>
      </c>
      <c r="E26" s="3">
        <f t="shared" si="1"/>
        <v>0</v>
      </c>
    </row>
    <row r="27" ht="15.0" customHeight="1">
      <c r="A27" s="3">
        <v>4.0</v>
      </c>
      <c r="B27" s="3" t="s">
        <v>140</v>
      </c>
      <c r="C27" s="3">
        <f>SUMIFS(Calcul_puntuacio!$M:$M,Calcul_puntuacio!$A:$A,$A27,Calcul_puntuacio!$B:$B,$B27)</f>
        <v>0</v>
      </c>
      <c r="D27" s="3">
        <f>SUMIFS(Respostes_usuari!$F:$F,Respostes_usuari!$A:$A,$A27,Respostes_usuari!$B:$B,$B27)</f>
        <v>0</v>
      </c>
      <c r="E27" s="3">
        <f t="shared" si="1"/>
        <v>0</v>
      </c>
    </row>
    <row r="28" ht="15.0" customHeight="1">
      <c r="A28" s="3">
        <v>4.0</v>
      </c>
      <c r="B28" s="3" t="s">
        <v>145</v>
      </c>
      <c r="C28" s="3">
        <f>SUMIFS(Calcul_puntuacio!$M:$M,Calcul_puntuacio!$A:$A,$A28,Calcul_puntuacio!$B:$B,$B28)</f>
        <v>0</v>
      </c>
      <c r="D28" s="3">
        <f>SUMIFS(Respostes_usuari!$F:$F,Respostes_usuari!$A:$A,$A28,Respostes_usuari!$B:$B,$B28)</f>
        <v>0</v>
      </c>
      <c r="E28" s="3">
        <f t="shared" si="1"/>
        <v>0</v>
      </c>
    </row>
    <row r="29" ht="15.0" customHeight="1">
      <c r="A29" s="3">
        <v>4.0</v>
      </c>
      <c r="B29" s="3" t="s">
        <v>7</v>
      </c>
      <c r="C29" s="3">
        <f>SUMIFS(Calcul_puntuacio!$M:$M,Calcul_puntuacio!$A:$A,$A29,Calcul_puntuacio!$B:$B,$B29)</f>
        <v>0</v>
      </c>
      <c r="D29" s="3">
        <f>SUMIFS(Respostes_usuari!$F:$F,Respostes_usuari!$A:$A,$A29,Respostes_usuari!$B:$B,$B29)</f>
        <v>0</v>
      </c>
      <c r="E29" s="3">
        <f t="shared" si="1"/>
        <v>0</v>
      </c>
    </row>
    <row r="30" ht="15.0" customHeight="1">
      <c r="A30" s="3">
        <v>5.0</v>
      </c>
      <c r="B30" s="3" t="s">
        <v>24</v>
      </c>
      <c r="C30" s="3">
        <f>SUMIFS(Calcul_puntuacio!$M:$M,Calcul_puntuacio!$A:$A,$A30,Calcul_puntuacio!$B:$B,$B30)</f>
        <v>0</v>
      </c>
      <c r="D30" s="3">
        <f>SUMIFS(Respostes_usuari!$F:$F,Respostes_usuari!$A:$A,$A30,Respostes_usuari!$B:$B,$B30)</f>
        <v>0</v>
      </c>
      <c r="E30" s="3">
        <f t="shared" si="1"/>
        <v>0</v>
      </c>
    </row>
    <row r="31" ht="15.0" customHeight="1">
      <c r="A31" s="3">
        <v>5.0</v>
      </c>
      <c r="B31" s="3" t="s">
        <v>46</v>
      </c>
      <c r="C31" s="3">
        <f>SUMIFS(Calcul_puntuacio!$M:$M,Calcul_puntuacio!$A:$A,$A31,Calcul_puntuacio!$B:$B,$B31)</f>
        <v>0</v>
      </c>
      <c r="D31" s="3">
        <f>SUMIFS(Respostes_usuari!$F:$F,Respostes_usuari!$A:$A,$A31,Respostes_usuari!$B:$B,$B31)</f>
        <v>0</v>
      </c>
      <c r="E31" s="3">
        <f t="shared" si="1"/>
        <v>0</v>
      </c>
    </row>
    <row r="32" ht="15.0" customHeight="1">
      <c r="A32" s="3">
        <v>5.0</v>
      </c>
      <c r="B32" s="3" t="s">
        <v>58</v>
      </c>
      <c r="C32" s="3">
        <f>SUMIFS(Calcul_puntuacio!$M:$M,Calcul_puntuacio!$A:$A,$A32,Calcul_puntuacio!$B:$B,$B32)</f>
        <v>0</v>
      </c>
      <c r="D32" s="3">
        <f>SUMIFS(Respostes_usuari!$F:$F,Respostes_usuari!$A:$A,$A32,Respostes_usuari!$B:$B,$B32)</f>
        <v>0</v>
      </c>
      <c r="E32" s="3">
        <f t="shared" si="1"/>
        <v>0</v>
      </c>
    </row>
    <row r="33" ht="15.0" customHeight="1">
      <c r="A33" s="3">
        <v>5.0</v>
      </c>
      <c r="B33" s="3" t="s">
        <v>71</v>
      </c>
      <c r="C33" s="3">
        <f>SUMIFS(Calcul_puntuacio!$M:$M,Calcul_puntuacio!$A:$A,$A33,Calcul_puntuacio!$B:$B,$B33)</f>
        <v>0</v>
      </c>
      <c r="D33" s="3">
        <f>SUMIFS(Respostes_usuari!$F:$F,Respostes_usuari!$A:$A,$A33,Respostes_usuari!$B:$B,$B33)</f>
        <v>0</v>
      </c>
      <c r="E33" s="3">
        <f t="shared" si="1"/>
        <v>0</v>
      </c>
    </row>
    <row r="34" ht="15.0" customHeight="1">
      <c r="A34" s="3">
        <v>5.0</v>
      </c>
      <c r="B34" s="3" t="s">
        <v>140</v>
      </c>
      <c r="C34" s="3">
        <f>SUMIFS(Calcul_puntuacio!$M:$M,Calcul_puntuacio!$A:$A,$A34,Calcul_puntuacio!$B:$B,$B34)</f>
        <v>0</v>
      </c>
      <c r="D34" s="3">
        <f>SUMIFS(Respostes_usuari!$F:$F,Respostes_usuari!$A:$A,$A34,Respostes_usuari!$B:$B,$B34)</f>
        <v>0</v>
      </c>
      <c r="E34" s="3">
        <f t="shared" si="1"/>
        <v>0</v>
      </c>
    </row>
    <row r="35" ht="15.0" customHeight="1">
      <c r="A35" s="3">
        <v>5.0</v>
      </c>
      <c r="B35" s="3" t="s">
        <v>145</v>
      </c>
      <c r="C35" s="3">
        <f>SUMIFS(Calcul_puntuacio!$M:$M,Calcul_puntuacio!$A:$A,$A35,Calcul_puntuacio!$B:$B,$B35)</f>
        <v>0</v>
      </c>
      <c r="D35" s="3">
        <f>SUMIFS(Respostes_usuari!$F:$F,Respostes_usuari!$A:$A,$A35,Respostes_usuari!$B:$B,$B35)</f>
        <v>0</v>
      </c>
      <c r="E35" s="3">
        <f t="shared" si="1"/>
        <v>0</v>
      </c>
    </row>
    <row r="36" ht="15.0" customHeight="1">
      <c r="A36" s="3">
        <v>5.0</v>
      </c>
      <c r="B36" s="3" t="s">
        <v>7</v>
      </c>
      <c r="C36" s="3">
        <f>SUMIFS(Calcul_puntuacio!$M:$M,Calcul_puntuacio!$A:$A,$A36,Calcul_puntuacio!$B:$B,$B36)</f>
        <v>0</v>
      </c>
      <c r="D36" s="3">
        <f>SUMIFS(Respostes_usuari!$F:$F,Respostes_usuari!$A:$A,$A36,Respostes_usuari!$B:$B,$B36)</f>
        <v>0</v>
      </c>
      <c r="E36" s="3">
        <f t="shared" si="1"/>
        <v>0</v>
      </c>
    </row>
    <row r="37" ht="15.0" customHeight="1">
      <c r="A37" s="3">
        <v>6.0</v>
      </c>
      <c r="B37" s="3" t="s">
        <v>24</v>
      </c>
      <c r="C37" s="3">
        <f>SUMIFS(Calcul_puntuacio!$M:$M,Calcul_puntuacio!$A:$A,$A37,Calcul_puntuacio!$B:$B,$B37)</f>
        <v>0</v>
      </c>
      <c r="D37" s="3">
        <f>SUMIFS(Respostes_usuari!$F:$F,Respostes_usuari!$A:$A,$A37,Respostes_usuari!$B:$B,$B37)</f>
        <v>0</v>
      </c>
      <c r="E37" s="3">
        <f t="shared" si="1"/>
        <v>0</v>
      </c>
    </row>
    <row r="38" ht="15.0" customHeight="1">
      <c r="A38" s="3">
        <v>6.0</v>
      </c>
      <c r="B38" s="3" t="s">
        <v>46</v>
      </c>
      <c r="C38" s="3">
        <f>SUMIFS(Calcul_puntuacio!$M:$M,Calcul_puntuacio!$A:$A,$A38,Calcul_puntuacio!$B:$B,$B38)</f>
        <v>0</v>
      </c>
      <c r="D38" s="3">
        <f>SUMIFS(Respostes_usuari!$F:$F,Respostes_usuari!$A:$A,$A38,Respostes_usuari!$B:$B,$B38)</f>
        <v>0</v>
      </c>
      <c r="E38" s="3">
        <f t="shared" si="1"/>
        <v>0</v>
      </c>
    </row>
    <row r="39" ht="15.0" customHeight="1">
      <c r="A39" s="3">
        <v>6.0</v>
      </c>
      <c r="B39" s="3" t="s">
        <v>58</v>
      </c>
      <c r="C39" s="3">
        <f>SUMIFS(Calcul_puntuacio!$M:$M,Calcul_puntuacio!$A:$A,$A39,Calcul_puntuacio!$B:$B,$B39)</f>
        <v>0</v>
      </c>
      <c r="D39" s="3">
        <f>SUMIFS(Respostes_usuari!$F:$F,Respostes_usuari!$A:$A,$A39,Respostes_usuari!$B:$B,$B39)</f>
        <v>0</v>
      </c>
      <c r="E39" s="3">
        <f t="shared" si="1"/>
        <v>0</v>
      </c>
    </row>
    <row r="40" ht="15.0" customHeight="1">
      <c r="A40" s="3">
        <v>6.0</v>
      </c>
      <c r="B40" s="3" t="s">
        <v>71</v>
      </c>
      <c r="C40" s="3">
        <f>SUMIFS(Calcul_puntuacio!$M:$M,Calcul_puntuacio!$A:$A,$A40,Calcul_puntuacio!$B:$B,$B40)</f>
        <v>0</v>
      </c>
      <c r="D40" s="3">
        <f>SUMIFS(Respostes_usuari!$F:$F,Respostes_usuari!$A:$A,$A40,Respostes_usuari!$B:$B,$B40)</f>
        <v>0</v>
      </c>
      <c r="E40" s="3">
        <f t="shared" si="1"/>
        <v>0</v>
      </c>
    </row>
    <row r="41" ht="15.0" customHeight="1">
      <c r="A41" s="3">
        <v>6.0</v>
      </c>
      <c r="B41" s="3" t="s">
        <v>140</v>
      </c>
      <c r="C41" s="3">
        <f>SUMIFS(Calcul_puntuacio!$M:$M,Calcul_puntuacio!$A:$A,$A41,Calcul_puntuacio!$B:$B,$B41)</f>
        <v>0</v>
      </c>
      <c r="D41" s="3">
        <f>SUMIFS(Respostes_usuari!$F:$F,Respostes_usuari!$A:$A,$A41,Respostes_usuari!$B:$B,$B41)</f>
        <v>0</v>
      </c>
      <c r="E41" s="3">
        <f t="shared" si="1"/>
        <v>0</v>
      </c>
    </row>
    <row r="42" ht="15.0" customHeight="1">
      <c r="A42" s="3">
        <v>6.0</v>
      </c>
      <c r="B42" s="3" t="s">
        <v>145</v>
      </c>
      <c r="C42" s="3">
        <f>SUMIFS(Calcul_puntuacio!$M:$M,Calcul_puntuacio!$A:$A,$A42,Calcul_puntuacio!$B:$B,$B42)</f>
        <v>0</v>
      </c>
      <c r="D42" s="3">
        <f>SUMIFS(Respostes_usuari!$F:$F,Respostes_usuari!$A:$A,$A42,Respostes_usuari!$B:$B,$B42)</f>
        <v>0</v>
      </c>
      <c r="E42" s="3">
        <f t="shared" si="1"/>
        <v>0</v>
      </c>
    </row>
    <row r="43" ht="15.0" customHeight="1">
      <c r="A43" s="3">
        <v>6.0</v>
      </c>
      <c r="B43" s="3" t="s">
        <v>7</v>
      </c>
      <c r="C43" s="3">
        <f>SUMIFS(Calcul_puntuacio!$M:$M,Calcul_puntuacio!$A:$A,$A43,Calcul_puntuacio!$B:$B,$B43)</f>
        <v>0</v>
      </c>
      <c r="D43" s="3">
        <f>SUMIFS(Respostes_usuari!$F:$F,Respostes_usuari!$A:$A,$A43,Respostes_usuari!$B:$B,$B43)</f>
        <v>0</v>
      </c>
      <c r="E43" s="3">
        <f t="shared" si="1"/>
        <v>0</v>
      </c>
    </row>
    <row r="44" ht="15.0" customHeight="1">
      <c r="A44" s="3">
        <v>7.0</v>
      </c>
      <c r="B44" s="3" t="s">
        <v>24</v>
      </c>
      <c r="C44" s="3">
        <f>SUMIFS(Calcul_puntuacio!$M:$M,Calcul_puntuacio!$A:$A,$A44,Calcul_puntuacio!$B:$B,$B44)</f>
        <v>0</v>
      </c>
      <c r="D44" s="3">
        <f>SUMIFS(Respostes_usuari!$F:$F,Respostes_usuari!$A:$A,$A44,Respostes_usuari!$B:$B,$B44)</f>
        <v>0</v>
      </c>
      <c r="E44" s="3">
        <f t="shared" si="1"/>
        <v>0</v>
      </c>
    </row>
    <row r="45" ht="15.0" customHeight="1">
      <c r="A45" s="3">
        <v>7.0</v>
      </c>
      <c r="B45" s="3" t="s">
        <v>46</v>
      </c>
      <c r="C45" s="3">
        <f>SUMIFS(Calcul_puntuacio!$M:$M,Calcul_puntuacio!$A:$A,$A45,Calcul_puntuacio!$B:$B,$B45)</f>
        <v>0</v>
      </c>
      <c r="D45" s="3">
        <f>SUMIFS(Respostes_usuari!$F:$F,Respostes_usuari!$A:$A,$A45,Respostes_usuari!$B:$B,$B45)</f>
        <v>0</v>
      </c>
      <c r="E45" s="3">
        <f t="shared" si="1"/>
        <v>0</v>
      </c>
    </row>
    <row r="46" ht="15.0" customHeight="1">
      <c r="A46" s="3">
        <v>7.0</v>
      </c>
      <c r="B46" s="3" t="s">
        <v>58</v>
      </c>
      <c r="C46" s="3">
        <f>SUMIFS(Calcul_puntuacio!$M:$M,Calcul_puntuacio!$A:$A,$A46,Calcul_puntuacio!$B:$B,$B46)</f>
        <v>0</v>
      </c>
      <c r="D46" s="3">
        <f>SUMIFS(Respostes_usuari!$F:$F,Respostes_usuari!$A:$A,$A46,Respostes_usuari!$B:$B,$B46)</f>
        <v>0</v>
      </c>
      <c r="E46" s="3">
        <f t="shared" si="1"/>
        <v>0</v>
      </c>
    </row>
    <row r="47" ht="15.0" customHeight="1">
      <c r="A47" s="3">
        <v>7.0</v>
      </c>
      <c r="B47" s="3" t="s">
        <v>71</v>
      </c>
      <c r="C47" s="3">
        <f>SUMIFS(Calcul_puntuacio!$M:$M,Calcul_puntuacio!$A:$A,$A47,Calcul_puntuacio!$B:$B,$B47)</f>
        <v>0</v>
      </c>
      <c r="D47" s="3">
        <f>SUMIFS(Respostes_usuari!$F:$F,Respostes_usuari!$A:$A,$A47,Respostes_usuari!$B:$B,$B47)</f>
        <v>0</v>
      </c>
      <c r="E47" s="3">
        <f t="shared" si="1"/>
        <v>0</v>
      </c>
    </row>
    <row r="48" ht="15.0" customHeight="1">
      <c r="A48" s="3">
        <v>7.0</v>
      </c>
      <c r="B48" s="3" t="s">
        <v>140</v>
      </c>
      <c r="C48" s="3">
        <f>SUMIFS(Calcul_puntuacio!$M:$M,Calcul_puntuacio!$A:$A,$A48,Calcul_puntuacio!$B:$B,$B48)</f>
        <v>0</v>
      </c>
      <c r="D48" s="3">
        <f>SUMIFS(Respostes_usuari!$F:$F,Respostes_usuari!$A:$A,$A48,Respostes_usuari!$B:$B,$B48)</f>
        <v>0</v>
      </c>
      <c r="E48" s="3">
        <f t="shared" si="1"/>
        <v>0</v>
      </c>
    </row>
    <row r="49" ht="15.0" customHeight="1">
      <c r="A49" s="3">
        <v>7.0</v>
      </c>
      <c r="B49" s="3" t="s">
        <v>145</v>
      </c>
      <c r="C49" s="3">
        <f>SUMIFS(Calcul_puntuacio!$M:$M,Calcul_puntuacio!$A:$A,$A49,Calcul_puntuacio!$B:$B,$B49)</f>
        <v>0</v>
      </c>
      <c r="D49" s="3">
        <f>SUMIFS(Respostes_usuari!$F:$F,Respostes_usuari!$A:$A,$A49,Respostes_usuari!$B:$B,$B49)</f>
        <v>0</v>
      </c>
      <c r="E49" s="3">
        <f t="shared" si="1"/>
        <v>0</v>
      </c>
    </row>
    <row r="50" ht="15.0" customHeight="1">
      <c r="A50" s="3">
        <v>7.0</v>
      </c>
      <c r="B50" s="3" t="s">
        <v>7</v>
      </c>
      <c r="C50" s="3">
        <f>SUMIFS(Calcul_puntuacio!$M:$M,Calcul_puntuacio!$A:$A,$A50,Calcul_puntuacio!$B:$B,$B50)</f>
        <v>0</v>
      </c>
      <c r="D50" s="3">
        <f>SUMIFS(Respostes_usuari!$F:$F,Respostes_usuari!$A:$A,$A50,Respostes_usuari!$B:$B,$B50)</f>
        <v>0</v>
      </c>
      <c r="E50" s="3">
        <f t="shared" si="1"/>
        <v>0</v>
      </c>
    </row>
    <row r="51" ht="15.0" customHeight="1">
      <c r="A51" s="3">
        <v>8.0</v>
      </c>
      <c r="B51" s="3" t="s">
        <v>24</v>
      </c>
      <c r="C51" s="3">
        <f>SUMIFS(Calcul_puntuacio!$M:$M,Calcul_puntuacio!$A:$A,$A51,Calcul_puntuacio!$B:$B,$B51)</f>
        <v>0</v>
      </c>
      <c r="D51" s="3">
        <f>SUMIFS(Respostes_usuari!$F:$F,Respostes_usuari!$A:$A,$A51,Respostes_usuari!$B:$B,$B51)</f>
        <v>0</v>
      </c>
      <c r="E51" s="3">
        <f t="shared" si="1"/>
        <v>0</v>
      </c>
    </row>
    <row r="52" ht="15.0" customHeight="1">
      <c r="A52" s="3">
        <v>8.0</v>
      </c>
      <c r="B52" s="3" t="s">
        <v>46</v>
      </c>
      <c r="C52" s="3">
        <f>SUMIFS(Calcul_puntuacio!$M:$M,Calcul_puntuacio!$A:$A,$A52,Calcul_puntuacio!$B:$B,$B52)</f>
        <v>0</v>
      </c>
      <c r="D52" s="3">
        <f>SUMIFS(Respostes_usuari!$F:$F,Respostes_usuari!$A:$A,$A52,Respostes_usuari!$B:$B,$B52)</f>
        <v>0</v>
      </c>
      <c r="E52" s="3">
        <f t="shared" si="1"/>
        <v>0</v>
      </c>
    </row>
    <row r="53" ht="15.0" customHeight="1">
      <c r="A53" s="3">
        <v>8.0</v>
      </c>
      <c r="B53" s="3" t="s">
        <v>58</v>
      </c>
      <c r="C53" s="3">
        <f>SUMIFS(Calcul_puntuacio!$M:$M,Calcul_puntuacio!$A:$A,$A53,Calcul_puntuacio!$B:$B,$B53)</f>
        <v>0</v>
      </c>
      <c r="D53" s="3">
        <f>SUMIFS(Respostes_usuari!$F:$F,Respostes_usuari!$A:$A,$A53,Respostes_usuari!$B:$B,$B53)</f>
        <v>0</v>
      </c>
      <c r="E53" s="3">
        <f t="shared" si="1"/>
        <v>0</v>
      </c>
    </row>
    <row r="54" ht="15.0" customHeight="1">
      <c r="A54" s="3">
        <v>8.0</v>
      </c>
      <c r="B54" s="3" t="s">
        <v>71</v>
      </c>
      <c r="C54" s="3">
        <f>SUMIFS(Calcul_puntuacio!$M:$M,Calcul_puntuacio!$A:$A,$A54,Calcul_puntuacio!$B:$B,$B54)</f>
        <v>0</v>
      </c>
      <c r="D54" s="3">
        <f>SUMIFS(Respostes_usuari!$F:$F,Respostes_usuari!$A:$A,$A54,Respostes_usuari!$B:$B,$B54)</f>
        <v>0</v>
      </c>
      <c r="E54" s="3">
        <f t="shared" si="1"/>
        <v>0</v>
      </c>
    </row>
    <row r="55" ht="15.0" customHeight="1">
      <c r="A55" s="3">
        <v>8.0</v>
      </c>
      <c r="B55" s="3" t="s">
        <v>140</v>
      </c>
      <c r="C55" s="3">
        <f>SUMIFS(Calcul_puntuacio!$M:$M,Calcul_puntuacio!$A:$A,$A55,Calcul_puntuacio!$B:$B,$B55)</f>
        <v>0</v>
      </c>
      <c r="D55" s="3">
        <f>SUMIFS(Respostes_usuari!$F:$F,Respostes_usuari!$A:$A,$A55,Respostes_usuari!$B:$B,$B55)</f>
        <v>0</v>
      </c>
      <c r="E55" s="3">
        <f t="shared" si="1"/>
        <v>0</v>
      </c>
    </row>
    <row r="56" ht="15.0" customHeight="1">
      <c r="A56" s="3">
        <v>8.0</v>
      </c>
      <c r="B56" s="3" t="s">
        <v>145</v>
      </c>
      <c r="C56" s="3">
        <f>SUMIFS(Calcul_puntuacio!$M:$M,Calcul_puntuacio!$A:$A,$A56,Calcul_puntuacio!$B:$B,$B56)</f>
        <v>0</v>
      </c>
      <c r="D56" s="3">
        <f>SUMIFS(Respostes_usuari!$F:$F,Respostes_usuari!$A:$A,$A56,Respostes_usuari!$B:$B,$B56)</f>
        <v>0</v>
      </c>
      <c r="E56" s="3">
        <f t="shared" si="1"/>
        <v>0</v>
      </c>
    </row>
    <row r="57" ht="15.0" customHeight="1">
      <c r="A57" s="3">
        <v>8.0</v>
      </c>
      <c r="B57" s="3" t="s">
        <v>7</v>
      </c>
      <c r="C57" s="3">
        <f>SUMIFS(Calcul_puntuacio!$M:$M,Calcul_puntuacio!$A:$A,$A57,Calcul_puntuacio!$B:$B,$B57)</f>
        <v>0</v>
      </c>
      <c r="D57" s="3">
        <f>SUMIFS(Respostes_usuari!$F:$F,Respostes_usuari!$A:$A,$A57,Respostes_usuari!$B:$B,$B57)</f>
        <v>0</v>
      </c>
      <c r="E57" s="3">
        <f t="shared" si="1"/>
        <v>0</v>
      </c>
    </row>
    <row r="58" ht="15.0" customHeight="1">
      <c r="A58" s="3">
        <v>9.0</v>
      </c>
      <c r="B58" s="3" t="s">
        <v>24</v>
      </c>
      <c r="C58" s="3">
        <f>SUMIFS(Calcul_puntuacio!$M:$M,Calcul_puntuacio!$A:$A,$A58,Calcul_puntuacio!$B:$B,$B58)</f>
        <v>0</v>
      </c>
      <c r="D58" s="3">
        <f>SUMIFS(Respostes_usuari!$F:$F,Respostes_usuari!$A:$A,$A58,Respostes_usuari!$B:$B,$B58)</f>
        <v>0</v>
      </c>
      <c r="E58" s="3">
        <f t="shared" si="1"/>
        <v>0</v>
      </c>
    </row>
    <row r="59" ht="15.0" customHeight="1">
      <c r="A59" s="3">
        <v>9.0</v>
      </c>
      <c r="B59" s="3" t="s">
        <v>46</v>
      </c>
      <c r="C59" s="3">
        <f>SUMIFS(Calcul_puntuacio!$M:$M,Calcul_puntuacio!$A:$A,$A59,Calcul_puntuacio!$B:$B,$B59)</f>
        <v>0</v>
      </c>
      <c r="D59" s="3">
        <f>SUMIFS(Respostes_usuari!$F:$F,Respostes_usuari!$A:$A,$A59,Respostes_usuari!$B:$B,$B59)</f>
        <v>0</v>
      </c>
      <c r="E59" s="3">
        <f t="shared" si="1"/>
        <v>0</v>
      </c>
    </row>
    <row r="60" ht="15.0" customHeight="1">
      <c r="A60" s="3">
        <v>9.0</v>
      </c>
      <c r="B60" s="3" t="s">
        <v>58</v>
      </c>
      <c r="C60" s="3">
        <f>SUMIFS(Calcul_puntuacio!$M:$M,Calcul_puntuacio!$A:$A,$A60,Calcul_puntuacio!$B:$B,$B60)</f>
        <v>0</v>
      </c>
      <c r="D60" s="3">
        <f>SUMIFS(Respostes_usuari!$F:$F,Respostes_usuari!$A:$A,$A60,Respostes_usuari!$B:$B,$B60)</f>
        <v>0</v>
      </c>
      <c r="E60" s="3">
        <f t="shared" si="1"/>
        <v>0</v>
      </c>
    </row>
    <row r="61" ht="15.0" customHeight="1">
      <c r="A61" s="3">
        <v>9.0</v>
      </c>
      <c r="B61" s="3" t="s">
        <v>71</v>
      </c>
      <c r="C61" s="3">
        <f>SUMIFS(Calcul_puntuacio!$M:$M,Calcul_puntuacio!$A:$A,$A61,Calcul_puntuacio!$B:$B,$B61)</f>
        <v>0</v>
      </c>
      <c r="D61" s="3">
        <f>SUMIFS(Respostes_usuari!$F:$F,Respostes_usuari!$A:$A,$A61,Respostes_usuari!$B:$B,$B61)</f>
        <v>0</v>
      </c>
      <c r="E61" s="3">
        <f t="shared" si="1"/>
        <v>0</v>
      </c>
    </row>
    <row r="62" ht="15.0" customHeight="1">
      <c r="A62" s="3">
        <v>9.0</v>
      </c>
      <c r="B62" s="3" t="s">
        <v>140</v>
      </c>
      <c r="C62" s="3">
        <f>SUMIFS(Calcul_puntuacio!$M:$M,Calcul_puntuacio!$A:$A,$A62,Calcul_puntuacio!$B:$B,$B62)</f>
        <v>0</v>
      </c>
      <c r="D62" s="3">
        <f>SUMIFS(Respostes_usuari!$F:$F,Respostes_usuari!$A:$A,$A62,Respostes_usuari!$B:$B,$B62)</f>
        <v>0</v>
      </c>
      <c r="E62" s="3">
        <f t="shared" si="1"/>
        <v>0</v>
      </c>
    </row>
    <row r="63" ht="15.0" customHeight="1">
      <c r="A63" s="3">
        <v>9.0</v>
      </c>
      <c r="B63" s="3" t="s">
        <v>145</v>
      </c>
      <c r="C63" s="3">
        <f>SUMIFS(Calcul_puntuacio!$M:$M,Calcul_puntuacio!$A:$A,$A63,Calcul_puntuacio!$B:$B,$B63)</f>
        <v>0</v>
      </c>
      <c r="D63" s="3">
        <f>SUMIFS(Respostes_usuari!$F:$F,Respostes_usuari!$A:$A,$A63,Respostes_usuari!$B:$B,$B63)</f>
        <v>0</v>
      </c>
      <c r="E63" s="3">
        <f t="shared" si="1"/>
        <v>0</v>
      </c>
    </row>
    <row r="64" ht="15.0" customHeight="1">
      <c r="A64" s="3">
        <v>9.0</v>
      </c>
      <c r="B64" s="3" t="s">
        <v>7</v>
      </c>
      <c r="C64" s="3">
        <f>SUMIFS(Calcul_puntuacio!$M:$M,Calcul_puntuacio!$A:$A,$A64,Calcul_puntuacio!$B:$B,$B64)</f>
        <v>0</v>
      </c>
      <c r="D64" s="3">
        <f>SUMIFS(Respostes_usuari!$F:$F,Respostes_usuari!$A:$A,$A64,Respostes_usuari!$B:$B,$B64)</f>
        <v>0</v>
      </c>
      <c r="E64" s="3">
        <f t="shared" si="1"/>
        <v>0</v>
      </c>
    </row>
    <row r="65" ht="15.0" customHeight="1">
      <c r="A65" s="3">
        <v>10.0</v>
      </c>
      <c r="B65" s="3" t="s">
        <v>24</v>
      </c>
      <c r="C65" s="3">
        <f>SUMIFS(Calcul_puntuacio!$M:$M,Calcul_puntuacio!$A:$A,$A65,Calcul_puntuacio!$B:$B,$B65)</f>
        <v>0</v>
      </c>
      <c r="D65" s="3">
        <f>SUMIFS(Respostes_usuari!$F:$F,Respostes_usuari!$A:$A,$A65,Respostes_usuari!$B:$B,$B65)</f>
        <v>0</v>
      </c>
      <c r="E65" s="3">
        <f t="shared" si="1"/>
        <v>0</v>
      </c>
    </row>
    <row r="66" ht="15.0" customHeight="1">
      <c r="A66" s="3">
        <v>10.0</v>
      </c>
      <c r="B66" s="3" t="s">
        <v>46</v>
      </c>
      <c r="C66" s="3">
        <f>SUMIFS(Calcul_puntuacio!$M:$M,Calcul_puntuacio!$A:$A,$A66,Calcul_puntuacio!$B:$B,$B66)</f>
        <v>0</v>
      </c>
      <c r="D66" s="3">
        <f>SUMIFS(Respostes_usuari!$F:$F,Respostes_usuari!$A:$A,$A66,Respostes_usuari!$B:$B,$B66)</f>
        <v>0</v>
      </c>
      <c r="E66" s="3">
        <f t="shared" si="1"/>
        <v>0</v>
      </c>
    </row>
    <row r="67" ht="15.0" customHeight="1">
      <c r="A67" s="3">
        <v>10.0</v>
      </c>
      <c r="B67" s="3" t="s">
        <v>58</v>
      </c>
      <c r="C67" s="3">
        <f>SUMIFS(Calcul_puntuacio!$M:$M,Calcul_puntuacio!$A:$A,$A67,Calcul_puntuacio!$B:$B,$B67)</f>
        <v>0</v>
      </c>
      <c r="D67" s="3">
        <f>SUMIFS(Respostes_usuari!$F:$F,Respostes_usuari!$A:$A,$A67,Respostes_usuari!$B:$B,$B67)</f>
        <v>0</v>
      </c>
      <c r="E67" s="3">
        <f t="shared" si="1"/>
        <v>0</v>
      </c>
    </row>
    <row r="68" ht="15.0" customHeight="1">
      <c r="A68" s="3">
        <v>10.0</v>
      </c>
      <c r="B68" s="3" t="s">
        <v>71</v>
      </c>
      <c r="C68" s="3">
        <f>SUMIFS(Calcul_puntuacio!$M:$M,Calcul_puntuacio!$A:$A,$A68,Calcul_puntuacio!$B:$B,$B68)</f>
        <v>0</v>
      </c>
      <c r="D68" s="3">
        <f>SUMIFS(Respostes_usuari!$F:$F,Respostes_usuari!$A:$A,$A68,Respostes_usuari!$B:$B,$B68)</f>
        <v>0</v>
      </c>
      <c r="E68" s="3">
        <f t="shared" si="1"/>
        <v>0</v>
      </c>
    </row>
    <row r="69" ht="15.0" customHeight="1">
      <c r="A69" s="3">
        <v>10.0</v>
      </c>
      <c r="B69" s="3" t="s">
        <v>140</v>
      </c>
      <c r="C69" s="3">
        <f>SUMIFS(Calcul_puntuacio!$M:$M,Calcul_puntuacio!$A:$A,$A69,Calcul_puntuacio!$B:$B,$B69)</f>
        <v>0</v>
      </c>
      <c r="D69" s="3">
        <f>SUMIFS(Respostes_usuari!$F:$F,Respostes_usuari!$A:$A,$A69,Respostes_usuari!$B:$B,$B69)</f>
        <v>0</v>
      </c>
      <c r="E69" s="3">
        <f t="shared" si="1"/>
        <v>0</v>
      </c>
    </row>
    <row r="70" ht="15.0" customHeight="1">
      <c r="A70" s="3">
        <v>10.0</v>
      </c>
      <c r="B70" s="3" t="s">
        <v>145</v>
      </c>
      <c r="C70" s="3">
        <f>SUMIFS(Calcul_puntuacio!$M:$M,Calcul_puntuacio!$A:$A,$A70,Calcul_puntuacio!$B:$B,$B70)</f>
        <v>0</v>
      </c>
      <c r="D70" s="3">
        <f>SUMIFS(Respostes_usuari!$F:$F,Respostes_usuari!$A:$A,$A70,Respostes_usuari!$B:$B,$B70)</f>
        <v>0</v>
      </c>
      <c r="E70" s="3">
        <f t="shared" si="1"/>
        <v>0</v>
      </c>
    </row>
    <row r="71" ht="15.0" customHeight="1">
      <c r="A71" s="3">
        <v>10.0</v>
      </c>
      <c r="B71" s="3" t="s">
        <v>7</v>
      </c>
      <c r="C71" s="3">
        <f>SUMIFS(Calcul_puntuacio!$M:$M,Calcul_puntuacio!$A:$A,$A71,Calcul_puntuacio!$B:$B,$B71)</f>
        <v>0</v>
      </c>
      <c r="D71" s="3">
        <f>SUMIFS(Respostes_usuari!$F:$F,Respostes_usuari!$A:$A,$A71,Respostes_usuari!$B:$B,$B71)</f>
        <v>0</v>
      </c>
      <c r="E71" s="3">
        <f t="shared" si="1"/>
        <v>0</v>
      </c>
    </row>
    <row r="72" ht="15.75" customHeight="1">
      <c r="A72" s="12"/>
      <c r="B72" s="12"/>
      <c r="C72" s="12"/>
      <c r="D72" s="12"/>
      <c r="E72" s="12"/>
    </row>
    <row r="73" ht="15.75" customHeight="1">
      <c r="A73" s="12"/>
      <c r="B73" s="12"/>
      <c r="C73" s="12"/>
      <c r="D73" s="12"/>
      <c r="E73" s="12"/>
    </row>
    <row r="74" ht="15.75" customHeight="1">
      <c r="A74" s="12"/>
      <c r="B74" s="12"/>
      <c r="C74" s="12"/>
      <c r="D74" s="12"/>
      <c r="E74" s="12"/>
    </row>
    <row r="75" ht="15.75" customHeight="1">
      <c r="A75" s="12"/>
      <c r="B75" s="12"/>
      <c r="C75" s="12"/>
      <c r="D75" s="12"/>
      <c r="E75" s="12"/>
    </row>
    <row r="76" ht="15.75" customHeight="1">
      <c r="A76" s="12"/>
      <c r="B76" s="12"/>
      <c r="C76" s="12"/>
      <c r="D76" s="12"/>
      <c r="E76" s="12"/>
    </row>
    <row r="77" ht="15.75" customHeight="1">
      <c r="A77" s="12"/>
      <c r="B77" s="12"/>
      <c r="C77" s="12"/>
      <c r="D77" s="12"/>
      <c r="E77" s="12"/>
    </row>
    <row r="78" ht="15.75" customHeight="1">
      <c r="A78" s="12"/>
      <c r="B78" s="12"/>
      <c r="C78" s="12"/>
      <c r="D78" s="12"/>
      <c r="E78" s="12"/>
    </row>
    <row r="79" ht="15.75" customHeight="1">
      <c r="A79" s="12"/>
      <c r="B79" s="12"/>
      <c r="C79" s="12"/>
      <c r="D79" s="12"/>
      <c r="E79" s="12"/>
    </row>
    <row r="80" ht="15.75" customHeight="1">
      <c r="A80" s="12"/>
      <c r="B80" s="12"/>
      <c r="C80" s="12"/>
      <c r="D80" s="12"/>
      <c r="E80" s="12"/>
    </row>
    <row r="81" ht="15.75" customHeight="1">
      <c r="A81" s="12"/>
      <c r="B81" s="12"/>
      <c r="C81" s="12"/>
      <c r="D81" s="12"/>
      <c r="E81" s="12"/>
    </row>
    <row r="82" ht="15.75" customHeight="1">
      <c r="A82" s="12"/>
      <c r="B82" s="12"/>
      <c r="C82" s="12"/>
      <c r="D82" s="12"/>
      <c r="E82" s="12"/>
    </row>
    <row r="83" ht="15.75" customHeight="1">
      <c r="A83" s="12"/>
      <c r="B83" s="12"/>
      <c r="C83" s="12"/>
      <c r="D83" s="12"/>
      <c r="E83" s="12"/>
    </row>
    <row r="84" ht="15.75" customHeight="1">
      <c r="A84" s="12"/>
      <c r="B84" s="12"/>
      <c r="C84" s="12"/>
      <c r="D84" s="12"/>
      <c r="E84" s="12"/>
    </row>
    <row r="85" ht="15.75" customHeight="1">
      <c r="A85" s="12"/>
      <c r="B85" s="12"/>
      <c r="C85" s="12"/>
      <c r="D85" s="12"/>
      <c r="E85" s="12"/>
    </row>
    <row r="86" ht="15.75" customHeight="1">
      <c r="A86" s="12"/>
      <c r="B86" s="12"/>
      <c r="C86" s="12"/>
      <c r="D86" s="12"/>
      <c r="E86" s="12"/>
    </row>
    <row r="87" ht="15.75" customHeight="1">
      <c r="A87" s="12"/>
      <c r="B87" s="12"/>
      <c r="C87" s="12"/>
      <c r="D87" s="12"/>
      <c r="E87" s="12"/>
    </row>
    <row r="88" ht="15.75" customHeight="1">
      <c r="A88" s="12"/>
      <c r="B88" s="12"/>
      <c r="C88" s="12"/>
      <c r="D88" s="12"/>
      <c r="E88" s="12"/>
    </row>
    <row r="89" ht="15.75" customHeight="1">
      <c r="A89" s="12"/>
      <c r="B89" s="12"/>
      <c r="C89" s="12"/>
      <c r="D89" s="12"/>
      <c r="E89" s="12"/>
    </row>
    <row r="90" ht="15.75" customHeight="1">
      <c r="A90" s="12"/>
      <c r="B90" s="12"/>
      <c r="C90" s="12"/>
      <c r="D90" s="12"/>
      <c r="E90" s="12"/>
    </row>
    <row r="91" ht="15.75" customHeight="1">
      <c r="A91" s="12"/>
      <c r="B91" s="12"/>
      <c r="C91" s="12"/>
      <c r="D91" s="12"/>
      <c r="E91" s="12"/>
    </row>
    <row r="92" ht="15.75" customHeight="1">
      <c r="A92" s="12"/>
      <c r="B92" s="12"/>
      <c r="C92" s="12"/>
      <c r="D92" s="12"/>
      <c r="E92" s="12"/>
    </row>
    <row r="93" ht="15.75" customHeight="1">
      <c r="A93" s="12"/>
      <c r="B93" s="12"/>
      <c r="C93" s="12"/>
      <c r="D93" s="12"/>
      <c r="E93" s="12"/>
    </row>
    <row r="94" ht="15.75" customHeight="1">
      <c r="A94" s="12"/>
      <c r="B94" s="12"/>
      <c r="C94" s="12"/>
      <c r="D94" s="12"/>
      <c r="E94" s="12"/>
    </row>
    <row r="95" ht="15.75" customHeight="1">
      <c r="A95" s="12"/>
      <c r="B95" s="12"/>
      <c r="C95" s="12"/>
      <c r="D95" s="12"/>
      <c r="E95" s="12"/>
    </row>
    <row r="96" ht="15.75" customHeight="1">
      <c r="A96" s="12"/>
      <c r="B96" s="12"/>
      <c r="C96" s="12"/>
      <c r="D96" s="12"/>
      <c r="E96" s="12"/>
    </row>
    <row r="97" ht="15.75" customHeight="1">
      <c r="A97" s="12"/>
      <c r="B97" s="12"/>
      <c r="C97" s="12"/>
      <c r="D97" s="12"/>
      <c r="E97" s="12"/>
    </row>
    <row r="98" ht="15.75" customHeight="1">
      <c r="A98" s="12"/>
      <c r="B98" s="12"/>
      <c r="C98" s="12"/>
      <c r="D98" s="12"/>
      <c r="E98" s="12"/>
    </row>
    <row r="99" ht="15.75" customHeight="1">
      <c r="A99" s="12"/>
      <c r="B99" s="12"/>
      <c r="C99" s="12"/>
      <c r="D99" s="12"/>
      <c r="E99" s="12"/>
    </row>
    <row r="100" ht="15.75" customHeight="1">
      <c r="A100" s="12"/>
      <c r="B100" s="12"/>
      <c r="C100" s="12"/>
      <c r="D100" s="12"/>
      <c r="E100" s="12"/>
    </row>
    <row r="101" ht="15.75" customHeight="1">
      <c r="A101" s="12"/>
      <c r="B101" s="12"/>
      <c r="C101" s="12"/>
      <c r="D101" s="12"/>
      <c r="E101" s="12"/>
    </row>
    <row r="102" ht="15.75" customHeight="1">
      <c r="A102" s="12"/>
      <c r="B102" s="12"/>
      <c r="C102" s="12"/>
      <c r="D102" s="12"/>
      <c r="E102" s="12"/>
    </row>
    <row r="103" ht="15.75" customHeight="1">
      <c r="A103" s="12"/>
      <c r="B103" s="12"/>
      <c r="C103" s="12"/>
      <c r="D103" s="12"/>
      <c r="E103" s="12"/>
    </row>
    <row r="104" ht="15.75" customHeight="1">
      <c r="A104" s="12"/>
      <c r="B104" s="12"/>
      <c r="C104" s="12"/>
      <c r="D104" s="12"/>
      <c r="E104" s="12"/>
    </row>
    <row r="105" ht="15.75" customHeight="1">
      <c r="A105" s="12"/>
      <c r="B105" s="12"/>
      <c r="C105" s="12"/>
      <c r="D105" s="12"/>
      <c r="E105" s="12"/>
    </row>
    <row r="106" ht="15.75" customHeight="1">
      <c r="A106" s="12"/>
      <c r="B106" s="12"/>
      <c r="C106" s="12"/>
      <c r="D106" s="12"/>
      <c r="E106" s="12"/>
    </row>
    <row r="107" ht="15.75" customHeight="1">
      <c r="A107" s="12"/>
      <c r="B107" s="12"/>
      <c r="C107" s="12"/>
      <c r="D107" s="12"/>
      <c r="E107" s="12"/>
    </row>
    <row r="108" ht="15.75" customHeight="1">
      <c r="A108" s="12"/>
      <c r="B108" s="12"/>
      <c r="C108" s="12"/>
      <c r="D108" s="12"/>
      <c r="E108" s="12"/>
    </row>
    <row r="109" ht="15.75" customHeight="1">
      <c r="A109" s="12"/>
      <c r="B109" s="12"/>
      <c r="C109" s="12"/>
      <c r="D109" s="12"/>
      <c r="E109" s="12"/>
    </row>
    <row r="110" ht="15.75" customHeight="1">
      <c r="A110" s="12"/>
      <c r="B110" s="12"/>
      <c r="C110" s="12"/>
      <c r="D110" s="12"/>
      <c r="E110" s="12"/>
    </row>
    <row r="111" ht="15.75" customHeight="1">
      <c r="A111" s="12"/>
      <c r="B111" s="12"/>
      <c r="C111" s="12"/>
      <c r="D111" s="12"/>
      <c r="E111" s="12"/>
    </row>
    <row r="112" ht="15.75" customHeight="1">
      <c r="A112" s="12"/>
      <c r="B112" s="12"/>
      <c r="C112" s="12"/>
      <c r="D112" s="12"/>
      <c r="E112" s="12"/>
    </row>
    <row r="113" ht="15.75" customHeight="1">
      <c r="A113" s="12"/>
      <c r="B113" s="12"/>
      <c r="C113" s="12"/>
      <c r="D113" s="12"/>
      <c r="E113" s="12"/>
    </row>
    <row r="114" ht="15.75" customHeight="1">
      <c r="A114" s="12"/>
      <c r="B114" s="12"/>
      <c r="C114" s="12"/>
      <c r="D114" s="12"/>
      <c r="E114" s="12"/>
    </row>
    <row r="115" ht="15.75" customHeight="1">
      <c r="A115" s="12"/>
      <c r="B115" s="12"/>
      <c r="C115" s="12"/>
      <c r="D115" s="12"/>
      <c r="E115" s="12"/>
    </row>
    <row r="116" ht="15.75" customHeight="1">
      <c r="A116" s="12"/>
      <c r="B116" s="12"/>
      <c r="C116" s="12"/>
      <c r="D116" s="12"/>
      <c r="E116" s="12"/>
    </row>
    <row r="117" ht="15.75" customHeight="1">
      <c r="A117" s="12"/>
      <c r="B117" s="12"/>
      <c r="C117" s="12"/>
      <c r="D117" s="12"/>
      <c r="E117" s="12"/>
    </row>
    <row r="118" ht="15.75" customHeight="1">
      <c r="A118" s="12"/>
      <c r="B118" s="12"/>
      <c r="C118" s="12"/>
      <c r="D118" s="12"/>
      <c r="E118" s="12"/>
    </row>
    <row r="119" ht="15.75" customHeight="1">
      <c r="A119" s="12"/>
      <c r="B119" s="12"/>
      <c r="C119" s="12"/>
      <c r="D119" s="12"/>
      <c r="E119" s="12"/>
    </row>
    <row r="120" ht="15.75" customHeight="1">
      <c r="A120" s="12"/>
      <c r="B120" s="12"/>
      <c r="C120" s="12"/>
      <c r="D120" s="12"/>
      <c r="E120" s="12"/>
    </row>
    <row r="121" ht="15.75" customHeight="1">
      <c r="A121" s="12"/>
      <c r="B121" s="12"/>
      <c r="C121" s="12"/>
      <c r="D121" s="12"/>
      <c r="E121" s="12"/>
    </row>
    <row r="122" ht="15.75" customHeight="1">
      <c r="A122" s="12"/>
      <c r="B122" s="12"/>
      <c r="C122" s="12"/>
      <c r="D122" s="12"/>
      <c r="E122" s="12"/>
    </row>
    <row r="123" ht="15.75" customHeight="1">
      <c r="A123" s="12"/>
      <c r="B123" s="12"/>
      <c r="C123" s="12"/>
      <c r="D123" s="12"/>
      <c r="E123" s="12"/>
    </row>
    <row r="124" ht="15.75" customHeight="1">
      <c r="A124" s="12"/>
      <c r="B124" s="12"/>
      <c r="C124" s="12"/>
      <c r="D124" s="12"/>
      <c r="E124" s="12"/>
    </row>
    <row r="125" ht="15.75" customHeight="1">
      <c r="A125" s="12"/>
      <c r="B125" s="12"/>
      <c r="C125" s="12"/>
      <c r="D125" s="12"/>
      <c r="E125" s="12"/>
    </row>
    <row r="126" ht="15.75" customHeight="1">
      <c r="A126" s="12"/>
      <c r="B126" s="12"/>
      <c r="C126" s="12"/>
      <c r="D126" s="12"/>
      <c r="E126" s="12"/>
    </row>
    <row r="127" ht="15.75" customHeight="1">
      <c r="A127" s="12"/>
      <c r="B127" s="12"/>
      <c r="C127" s="12"/>
      <c r="D127" s="12"/>
      <c r="E127" s="12"/>
    </row>
    <row r="128" ht="15.75" customHeight="1">
      <c r="A128" s="12"/>
      <c r="B128" s="12"/>
      <c r="C128" s="12"/>
      <c r="D128" s="12"/>
      <c r="E128" s="12"/>
    </row>
    <row r="129" ht="15.75" customHeight="1">
      <c r="A129" s="12"/>
      <c r="B129" s="12"/>
      <c r="C129" s="12"/>
      <c r="D129" s="12"/>
      <c r="E129" s="12"/>
    </row>
    <row r="130" ht="15.75" customHeight="1">
      <c r="A130" s="12"/>
      <c r="B130" s="12"/>
      <c r="C130" s="12"/>
      <c r="D130" s="12"/>
      <c r="E130" s="12"/>
    </row>
    <row r="131" ht="15.75" customHeight="1">
      <c r="A131" s="12"/>
      <c r="B131" s="12"/>
      <c r="C131" s="12"/>
      <c r="D131" s="12"/>
      <c r="E131" s="12"/>
    </row>
    <row r="132" ht="15.75" customHeight="1">
      <c r="A132" s="12"/>
      <c r="B132" s="12"/>
      <c r="C132" s="12"/>
      <c r="D132" s="12"/>
      <c r="E132" s="12"/>
    </row>
    <row r="133" ht="15.75" customHeight="1">
      <c r="A133" s="12"/>
      <c r="B133" s="12"/>
      <c r="C133" s="12"/>
      <c r="D133" s="12"/>
      <c r="E133" s="12"/>
    </row>
    <row r="134" ht="15.75" customHeight="1">
      <c r="A134" s="12"/>
      <c r="B134" s="12"/>
      <c r="C134" s="12"/>
      <c r="D134" s="12"/>
      <c r="E134" s="12"/>
    </row>
    <row r="135" ht="15.75" customHeight="1">
      <c r="A135" s="12"/>
      <c r="B135" s="12"/>
      <c r="C135" s="12"/>
      <c r="D135" s="12"/>
      <c r="E135" s="12"/>
    </row>
    <row r="136" ht="15.75" customHeight="1">
      <c r="A136" s="12"/>
      <c r="B136" s="12"/>
      <c r="C136" s="12"/>
      <c r="D136" s="12"/>
      <c r="E136" s="12"/>
    </row>
    <row r="137" ht="15.75" customHeight="1">
      <c r="A137" s="12"/>
      <c r="B137" s="12"/>
      <c r="C137" s="12"/>
      <c r="D137" s="12"/>
      <c r="E137" s="12"/>
    </row>
    <row r="138" ht="15.75" customHeight="1">
      <c r="A138" s="12"/>
      <c r="B138" s="12"/>
      <c r="C138" s="12"/>
      <c r="D138" s="12"/>
      <c r="E138" s="12"/>
    </row>
    <row r="139" ht="15.75" customHeight="1">
      <c r="A139" s="12"/>
      <c r="B139" s="12"/>
      <c r="C139" s="12"/>
      <c r="D139" s="12"/>
      <c r="E139" s="12"/>
    </row>
    <row r="140" ht="15.75" customHeight="1">
      <c r="A140" s="12"/>
      <c r="B140" s="12"/>
      <c r="C140" s="12"/>
      <c r="D140" s="12"/>
      <c r="E140" s="12"/>
    </row>
    <row r="141" ht="15.75" customHeight="1">
      <c r="A141" s="12"/>
      <c r="B141" s="12"/>
      <c r="C141" s="12"/>
      <c r="D141" s="12"/>
      <c r="E141" s="12"/>
    </row>
    <row r="142" ht="15.75" customHeight="1">
      <c r="A142" s="12"/>
      <c r="B142" s="12"/>
      <c r="C142" s="12"/>
      <c r="D142" s="12"/>
      <c r="E142" s="12"/>
    </row>
    <row r="143" ht="15.75" customHeight="1">
      <c r="A143" s="12"/>
      <c r="B143" s="12"/>
      <c r="C143" s="12"/>
      <c r="D143" s="12"/>
      <c r="E143" s="12"/>
    </row>
    <row r="144" ht="15.75" customHeight="1">
      <c r="A144" s="12"/>
      <c r="B144" s="12"/>
      <c r="C144" s="12"/>
      <c r="D144" s="12"/>
      <c r="E144" s="12"/>
    </row>
    <row r="145" ht="15.75" customHeight="1">
      <c r="A145" s="12"/>
      <c r="B145" s="12"/>
      <c r="C145" s="12"/>
      <c r="D145" s="12"/>
      <c r="E145" s="12"/>
    </row>
    <row r="146" ht="15.75" customHeight="1">
      <c r="A146" s="12"/>
      <c r="B146" s="12"/>
      <c r="C146" s="12"/>
      <c r="D146" s="12"/>
      <c r="E146" s="12"/>
    </row>
    <row r="147" ht="15.75" customHeight="1">
      <c r="A147" s="12"/>
      <c r="B147" s="12"/>
      <c r="C147" s="12"/>
      <c r="D147" s="12"/>
      <c r="E147" s="12"/>
    </row>
    <row r="148" ht="15.75" customHeight="1">
      <c r="A148" s="12"/>
      <c r="B148" s="12"/>
      <c r="C148" s="12"/>
      <c r="D148" s="12"/>
      <c r="E148" s="12"/>
    </row>
    <row r="149" ht="15.75" customHeight="1">
      <c r="A149" s="12"/>
      <c r="B149" s="12"/>
      <c r="C149" s="12"/>
      <c r="D149" s="12"/>
      <c r="E149" s="12"/>
    </row>
    <row r="150" ht="15.75" customHeight="1">
      <c r="A150" s="12"/>
      <c r="B150" s="12"/>
      <c r="C150" s="12"/>
      <c r="D150" s="12"/>
      <c r="E150" s="12"/>
    </row>
    <row r="151" ht="15.75" customHeight="1">
      <c r="A151" s="12"/>
      <c r="B151" s="12"/>
      <c r="C151" s="12"/>
      <c r="D151" s="12"/>
      <c r="E151" s="12"/>
    </row>
    <row r="152" ht="15.75" customHeight="1">
      <c r="A152" s="12"/>
      <c r="B152" s="12"/>
      <c r="C152" s="12"/>
      <c r="D152" s="12"/>
      <c r="E152" s="12"/>
    </row>
    <row r="153" ht="15.75" customHeight="1">
      <c r="A153" s="12"/>
      <c r="B153" s="12"/>
      <c r="C153" s="12"/>
      <c r="D153" s="12"/>
      <c r="E153" s="12"/>
    </row>
    <row r="154" ht="15.75" customHeight="1">
      <c r="A154" s="12"/>
      <c r="B154" s="12"/>
      <c r="C154" s="12"/>
      <c r="D154" s="12"/>
      <c r="E154" s="12"/>
    </row>
    <row r="155" ht="15.75" customHeight="1">
      <c r="A155" s="12"/>
      <c r="B155" s="12"/>
      <c r="C155" s="12"/>
      <c r="D155" s="12"/>
      <c r="E155" s="12"/>
    </row>
    <row r="156" ht="15.75" customHeight="1">
      <c r="A156" s="12"/>
      <c r="B156" s="12"/>
      <c r="C156" s="12"/>
      <c r="D156" s="12"/>
      <c r="E156" s="12"/>
    </row>
    <row r="157" ht="15.75" customHeight="1">
      <c r="A157" s="12"/>
      <c r="B157" s="12"/>
      <c r="C157" s="12"/>
      <c r="D157" s="12"/>
      <c r="E157" s="12"/>
    </row>
    <row r="158" ht="15.75" customHeight="1">
      <c r="A158" s="12"/>
      <c r="B158" s="12"/>
      <c r="C158" s="12"/>
      <c r="D158" s="12"/>
      <c r="E158" s="12"/>
    </row>
    <row r="159" ht="15.75" customHeight="1">
      <c r="A159" s="12"/>
      <c r="B159" s="12"/>
      <c r="C159" s="12"/>
      <c r="D159" s="12"/>
      <c r="E159" s="12"/>
    </row>
    <row r="160" ht="15.75" customHeight="1">
      <c r="A160" s="12"/>
      <c r="B160" s="12"/>
      <c r="C160" s="12"/>
      <c r="D160" s="12"/>
      <c r="E160" s="12"/>
    </row>
    <row r="161" ht="15.75" customHeight="1">
      <c r="A161" s="12"/>
      <c r="B161" s="12"/>
      <c r="C161" s="12"/>
      <c r="D161" s="12"/>
      <c r="E161" s="12"/>
    </row>
    <row r="162" ht="15.75" customHeight="1">
      <c r="A162" s="12"/>
      <c r="B162" s="12"/>
      <c r="C162" s="12"/>
      <c r="D162" s="12"/>
      <c r="E162" s="12"/>
    </row>
    <row r="163" ht="15.75" customHeight="1">
      <c r="A163" s="12"/>
      <c r="B163" s="12"/>
      <c r="C163" s="12"/>
      <c r="D163" s="12"/>
      <c r="E163" s="12"/>
    </row>
    <row r="164" ht="15.75" customHeight="1">
      <c r="A164" s="12"/>
      <c r="B164" s="12"/>
      <c r="C164" s="12"/>
      <c r="D164" s="12"/>
      <c r="E164" s="12"/>
    </row>
    <row r="165" ht="15.75" customHeight="1">
      <c r="A165" s="12"/>
      <c r="B165" s="12"/>
      <c r="C165" s="12"/>
      <c r="D165" s="12"/>
      <c r="E165" s="12"/>
    </row>
    <row r="166" ht="15.75" customHeight="1">
      <c r="A166" s="12"/>
      <c r="B166" s="12"/>
      <c r="C166" s="12"/>
      <c r="D166" s="12"/>
      <c r="E166" s="12"/>
    </row>
    <row r="167" ht="15.75" customHeight="1">
      <c r="A167" s="12"/>
      <c r="B167" s="12"/>
      <c r="C167" s="12"/>
      <c r="D167" s="12"/>
      <c r="E167" s="12"/>
    </row>
    <row r="168" ht="15.75" customHeight="1">
      <c r="A168" s="12"/>
      <c r="B168" s="12"/>
      <c r="C168" s="12"/>
      <c r="D168" s="12"/>
      <c r="E168" s="12"/>
    </row>
    <row r="169" ht="15.75" customHeight="1">
      <c r="A169" s="12"/>
      <c r="B169" s="12"/>
      <c r="C169" s="12"/>
      <c r="D169" s="12"/>
      <c r="E169" s="12"/>
    </row>
    <row r="170" ht="15.75" customHeight="1">
      <c r="A170" s="12"/>
      <c r="B170" s="12"/>
      <c r="C170" s="12"/>
      <c r="D170" s="12"/>
      <c r="E170" s="12"/>
    </row>
    <row r="171" ht="15.75" customHeight="1">
      <c r="A171" s="12"/>
      <c r="B171" s="12"/>
      <c r="C171" s="12"/>
      <c r="D171" s="12"/>
      <c r="E171" s="12"/>
    </row>
    <row r="172" ht="15.75" customHeight="1">
      <c r="A172" s="12"/>
      <c r="B172" s="12"/>
      <c r="C172" s="12"/>
      <c r="D172" s="12"/>
      <c r="E172" s="12"/>
    </row>
    <row r="173" ht="15.75" customHeight="1">
      <c r="A173" s="12"/>
      <c r="B173" s="12"/>
      <c r="C173" s="12"/>
      <c r="D173" s="12"/>
      <c r="E173" s="12"/>
    </row>
    <row r="174" ht="15.75" customHeight="1">
      <c r="A174" s="12"/>
      <c r="B174" s="12"/>
      <c r="C174" s="12"/>
      <c r="D174" s="12"/>
      <c r="E174" s="12"/>
    </row>
    <row r="175" ht="15.75" customHeight="1">
      <c r="A175" s="12"/>
      <c r="B175" s="12"/>
      <c r="C175" s="12"/>
      <c r="D175" s="12"/>
      <c r="E175" s="12"/>
    </row>
    <row r="176" ht="15.75" customHeight="1">
      <c r="A176" s="12"/>
      <c r="B176" s="12"/>
      <c r="C176" s="12"/>
      <c r="D176" s="12"/>
      <c r="E176" s="12"/>
    </row>
    <row r="177" ht="15.75" customHeight="1">
      <c r="A177" s="12"/>
      <c r="B177" s="12"/>
      <c r="C177" s="12"/>
      <c r="D177" s="12"/>
      <c r="E177" s="12"/>
    </row>
    <row r="178" ht="15.75" customHeight="1">
      <c r="A178" s="12"/>
      <c r="B178" s="12"/>
      <c r="C178" s="12"/>
      <c r="D178" s="12"/>
      <c r="E178" s="12"/>
    </row>
    <row r="179" ht="15.75" customHeight="1">
      <c r="A179" s="12"/>
      <c r="B179" s="12"/>
      <c r="C179" s="12"/>
      <c r="D179" s="12"/>
      <c r="E179" s="12"/>
    </row>
    <row r="180" ht="15.75" customHeight="1">
      <c r="A180" s="12"/>
      <c r="B180" s="12"/>
      <c r="C180" s="12"/>
      <c r="D180" s="12"/>
      <c r="E180" s="12"/>
    </row>
    <row r="181" ht="15.75" customHeight="1">
      <c r="A181" s="12"/>
      <c r="B181" s="12"/>
      <c r="C181" s="12"/>
      <c r="D181" s="12"/>
      <c r="E181" s="12"/>
    </row>
    <row r="182" ht="15.75" customHeight="1">
      <c r="A182" s="12"/>
      <c r="B182" s="12"/>
      <c r="C182" s="12"/>
      <c r="D182" s="12"/>
      <c r="E182" s="12"/>
    </row>
    <row r="183" ht="15.75" customHeight="1">
      <c r="A183" s="12"/>
      <c r="B183" s="12"/>
      <c r="C183" s="12"/>
      <c r="D183" s="12"/>
      <c r="E183" s="12"/>
    </row>
    <row r="184" ht="15.75" customHeight="1">
      <c r="A184" s="12"/>
      <c r="B184" s="12"/>
      <c r="C184" s="12"/>
      <c r="D184" s="12"/>
      <c r="E184" s="12"/>
    </row>
    <row r="185" ht="15.75" customHeight="1">
      <c r="A185" s="12"/>
      <c r="B185" s="12"/>
      <c r="C185" s="12"/>
      <c r="D185" s="12"/>
      <c r="E185" s="12"/>
    </row>
    <row r="186" ht="15.75" customHeight="1">
      <c r="A186" s="12"/>
      <c r="B186" s="12"/>
      <c r="C186" s="12"/>
      <c r="D186" s="12"/>
      <c r="E186" s="12"/>
    </row>
    <row r="187" ht="15.75" customHeight="1">
      <c r="A187" s="12"/>
      <c r="B187" s="12"/>
      <c r="C187" s="12"/>
      <c r="D187" s="12"/>
      <c r="E187" s="12"/>
    </row>
    <row r="188" ht="15.75" customHeight="1">
      <c r="A188" s="12"/>
      <c r="B188" s="12"/>
      <c r="C188" s="12"/>
      <c r="D188" s="12"/>
      <c r="E188" s="12"/>
    </row>
    <row r="189" ht="15.75" customHeight="1">
      <c r="A189" s="12"/>
      <c r="B189" s="12"/>
      <c r="C189" s="12"/>
      <c r="D189" s="12"/>
      <c r="E189" s="12"/>
    </row>
    <row r="190" ht="15.75" customHeight="1">
      <c r="A190" s="12"/>
      <c r="B190" s="12"/>
      <c r="C190" s="12"/>
      <c r="D190" s="12"/>
      <c r="E190" s="12"/>
    </row>
    <row r="191" ht="15.75" customHeight="1">
      <c r="A191" s="12"/>
      <c r="B191" s="12"/>
      <c r="C191" s="12"/>
      <c r="D191" s="12"/>
      <c r="E191" s="12"/>
    </row>
    <row r="192" ht="15.75" customHeight="1">
      <c r="A192" s="12"/>
      <c r="B192" s="12"/>
      <c r="C192" s="12"/>
      <c r="D192" s="12"/>
      <c r="E192" s="12"/>
    </row>
    <row r="193" ht="15.75" customHeight="1">
      <c r="A193" s="12"/>
      <c r="B193" s="12"/>
      <c r="C193" s="12"/>
      <c r="D193" s="12"/>
      <c r="E193" s="12"/>
    </row>
    <row r="194" ht="15.75" customHeight="1">
      <c r="A194" s="12"/>
      <c r="B194" s="12"/>
      <c r="C194" s="12"/>
      <c r="D194" s="12"/>
      <c r="E194" s="12"/>
    </row>
    <row r="195" ht="15.75" customHeight="1">
      <c r="A195" s="12"/>
      <c r="B195" s="12"/>
      <c r="C195" s="12"/>
      <c r="D195" s="12"/>
      <c r="E195" s="12"/>
    </row>
    <row r="196" ht="15.75" customHeight="1">
      <c r="A196" s="12"/>
      <c r="B196" s="12"/>
      <c r="C196" s="12"/>
      <c r="D196" s="12"/>
      <c r="E196" s="12"/>
    </row>
    <row r="197" ht="15.75" customHeight="1">
      <c r="A197" s="12"/>
      <c r="B197" s="12"/>
      <c r="C197" s="12"/>
      <c r="D197" s="12"/>
      <c r="E197" s="12"/>
    </row>
    <row r="198" ht="15.75" customHeight="1">
      <c r="A198" s="12"/>
      <c r="B198" s="12"/>
      <c r="C198" s="12"/>
      <c r="D198" s="12"/>
      <c r="E198" s="12"/>
    </row>
    <row r="199" ht="15.75" customHeight="1">
      <c r="A199" s="12"/>
      <c r="B199" s="12"/>
      <c r="C199" s="12"/>
      <c r="D199" s="12"/>
      <c r="E199" s="12"/>
    </row>
    <row r="200" ht="15.75" customHeight="1">
      <c r="A200" s="12"/>
      <c r="B200" s="12"/>
      <c r="C200" s="12"/>
      <c r="D200" s="12"/>
      <c r="E200" s="12"/>
    </row>
    <row r="201" ht="15.75" customHeight="1">
      <c r="A201" s="12"/>
      <c r="B201" s="12"/>
      <c r="C201" s="12"/>
      <c r="D201" s="12"/>
      <c r="E201" s="12"/>
    </row>
    <row r="202" ht="15.75" customHeight="1">
      <c r="A202" s="12"/>
      <c r="B202" s="12"/>
      <c r="C202" s="12"/>
      <c r="D202" s="12"/>
      <c r="E202" s="12"/>
    </row>
    <row r="203" ht="15.75" customHeight="1">
      <c r="A203" s="12"/>
      <c r="B203" s="12"/>
      <c r="C203" s="12"/>
      <c r="D203" s="12"/>
      <c r="E203" s="12"/>
    </row>
    <row r="204" ht="15.75" customHeight="1">
      <c r="A204" s="12"/>
      <c r="B204" s="12"/>
      <c r="C204" s="12"/>
      <c r="D204" s="12"/>
      <c r="E204" s="12"/>
    </row>
    <row r="205" ht="15.75" customHeight="1">
      <c r="A205" s="12"/>
      <c r="B205" s="12"/>
      <c r="C205" s="12"/>
      <c r="D205" s="12"/>
      <c r="E205" s="12"/>
    </row>
    <row r="206" ht="15.75" customHeight="1">
      <c r="A206" s="12"/>
      <c r="B206" s="12"/>
      <c r="C206" s="12"/>
      <c r="D206" s="12"/>
      <c r="E206" s="12"/>
    </row>
    <row r="207" ht="15.75" customHeight="1">
      <c r="A207" s="12"/>
      <c r="B207" s="12"/>
      <c r="C207" s="12"/>
      <c r="D207" s="12"/>
      <c r="E207" s="12"/>
    </row>
    <row r="208" ht="15.75" customHeight="1">
      <c r="A208" s="12"/>
      <c r="B208" s="12"/>
      <c r="C208" s="12"/>
      <c r="D208" s="12"/>
      <c r="E208" s="12"/>
    </row>
    <row r="209" ht="15.75" customHeight="1">
      <c r="A209" s="12"/>
      <c r="B209" s="12"/>
      <c r="C209" s="12"/>
      <c r="D209" s="12"/>
      <c r="E209" s="12"/>
    </row>
    <row r="210" ht="15.75" customHeight="1">
      <c r="A210" s="12"/>
      <c r="B210" s="12"/>
      <c r="C210" s="12"/>
      <c r="D210" s="12"/>
      <c r="E210" s="12"/>
    </row>
    <row r="211" ht="15.75" customHeight="1">
      <c r="A211" s="12"/>
      <c r="B211" s="12"/>
      <c r="C211" s="12"/>
      <c r="D211" s="12"/>
      <c r="E211" s="12"/>
    </row>
    <row r="212" ht="15.75" customHeight="1">
      <c r="A212" s="12"/>
      <c r="B212" s="12"/>
      <c r="C212" s="12"/>
      <c r="D212" s="12"/>
      <c r="E212" s="12"/>
    </row>
    <row r="213" ht="15.75" customHeight="1">
      <c r="A213" s="12"/>
      <c r="B213" s="12"/>
      <c r="C213" s="12"/>
      <c r="D213" s="12"/>
      <c r="E213" s="12"/>
    </row>
    <row r="214" ht="15.75" customHeight="1">
      <c r="A214" s="12"/>
      <c r="B214" s="12"/>
      <c r="C214" s="12"/>
      <c r="D214" s="12"/>
      <c r="E214" s="12"/>
    </row>
    <row r="215" ht="15.75" customHeight="1">
      <c r="A215" s="12"/>
      <c r="B215" s="12"/>
      <c r="C215" s="12"/>
      <c r="D215" s="12"/>
      <c r="E215" s="12"/>
    </row>
    <row r="216" ht="15.75" customHeight="1">
      <c r="A216" s="12"/>
      <c r="B216" s="12"/>
      <c r="C216" s="12"/>
      <c r="D216" s="12"/>
      <c r="E216" s="12"/>
    </row>
    <row r="217" ht="15.75" customHeight="1">
      <c r="A217" s="12"/>
      <c r="B217" s="12"/>
      <c r="C217" s="12"/>
      <c r="D217" s="12"/>
      <c r="E217" s="12"/>
    </row>
    <row r="218" ht="15.75" customHeight="1">
      <c r="A218" s="12"/>
      <c r="B218" s="12"/>
      <c r="C218" s="12"/>
      <c r="D218" s="12"/>
      <c r="E218" s="12"/>
    </row>
    <row r="219" ht="15.75" customHeight="1">
      <c r="A219" s="12"/>
      <c r="B219" s="12"/>
      <c r="C219" s="12"/>
      <c r="D219" s="12"/>
      <c r="E219" s="12"/>
    </row>
    <row r="220" ht="15.75" customHeight="1">
      <c r="A220" s="12"/>
      <c r="B220" s="12"/>
      <c r="C220" s="12"/>
      <c r="D220" s="12"/>
      <c r="E220" s="12"/>
    </row>
    <row r="221" ht="15.75" customHeight="1">
      <c r="A221" s="12"/>
      <c r="B221" s="12"/>
      <c r="C221" s="12"/>
      <c r="D221" s="12"/>
      <c r="E221" s="12"/>
    </row>
    <row r="222" ht="15.75" customHeight="1">
      <c r="A222" s="12"/>
      <c r="B222" s="12"/>
      <c r="C222" s="12"/>
      <c r="D222" s="12"/>
      <c r="E222" s="12"/>
    </row>
    <row r="223" ht="15.75" customHeight="1">
      <c r="A223" s="12"/>
      <c r="B223" s="12"/>
      <c r="C223" s="12"/>
      <c r="D223" s="12"/>
      <c r="E223" s="12"/>
    </row>
    <row r="224" ht="15.75" customHeight="1">
      <c r="A224" s="12"/>
      <c r="B224" s="12"/>
      <c r="C224" s="12"/>
      <c r="D224" s="12"/>
      <c r="E224" s="12"/>
    </row>
    <row r="225" ht="15.75" customHeight="1">
      <c r="A225" s="12"/>
      <c r="B225" s="12"/>
      <c r="C225" s="12"/>
      <c r="D225" s="12"/>
      <c r="E225" s="12"/>
    </row>
    <row r="226" ht="15.75" customHeight="1">
      <c r="A226" s="12"/>
      <c r="B226" s="12"/>
      <c r="C226" s="12"/>
      <c r="D226" s="12"/>
      <c r="E226" s="12"/>
    </row>
    <row r="227" ht="15.75" customHeight="1">
      <c r="A227" s="12"/>
      <c r="B227" s="12"/>
      <c r="C227" s="12"/>
      <c r="D227" s="12"/>
      <c r="E227" s="12"/>
    </row>
    <row r="228" ht="15.75" customHeight="1">
      <c r="A228" s="12"/>
      <c r="B228" s="12"/>
      <c r="C228" s="12"/>
      <c r="D228" s="12"/>
      <c r="E228" s="12"/>
    </row>
    <row r="229" ht="15.75" customHeight="1">
      <c r="A229" s="12"/>
      <c r="B229" s="12"/>
      <c r="C229" s="12"/>
      <c r="D229" s="12"/>
      <c r="E229" s="12"/>
    </row>
    <row r="230" ht="15.75" customHeight="1">
      <c r="A230" s="12"/>
      <c r="B230" s="12"/>
      <c r="C230" s="12"/>
      <c r="D230" s="12"/>
      <c r="E230" s="12"/>
    </row>
    <row r="231" ht="15.75" customHeight="1">
      <c r="A231" s="12"/>
      <c r="B231" s="12"/>
      <c r="C231" s="12"/>
      <c r="D231" s="12"/>
      <c r="E231" s="12"/>
    </row>
    <row r="232" ht="15.75" customHeight="1">
      <c r="A232" s="12"/>
      <c r="B232" s="12"/>
      <c r="C232" s="12"/>
      <c r="D232" s="12"/>
      <c r="E232" s="12"/>
    </row>
    <row r="233" ht="15.75" customHeight="1">
      <c r="A233" s="12"/>
      <c r="B233" s="12"/>
      <c r="C233" s="12"/>
      <c r="D233" s="12"/>
      <c r="E233" s="12"/>
    </row>
    <row r="234" ht="15.75" customHeight="1">
      <c r="A234" s="12"/>
      <c r="B234" s="12"/>
      <c r="C234" s="12"/>
      <c r="D234" s="12"/>
      <c r="E234" s="12"/>
    </row>
    <row r="235" ht="15.75" customHeight="1">
      <c r="A235" s="12"/>
      <c r="B235" s="12"/>
      <c r="C235" s="12"/>
      <c r="D235" s="12"/>
      <c r="E235" s="12"/>
    </row>
    <row r="236" ht="15.75" customHeight="1">
      <c r="A236" s="12"/>
      <c r="B236" s="12"/>
      <c r="C236" s="12"/>
      <c r="D236" s="12"/>
      <c r="E236" s="12"/>
    </row>
    <row r="237" ht="15.75" customHeight="1">
      <c r="A237" s="12"/>
      <c r="B237" s="12"/>
      <c r="C237" s="12"/>
      <c r="D237" s="12"/>
      <c r="E237" s="12"/>
    </row>
    <row r="238" ht="15.75" customHeight="1">
      <c r="A238" s="12"/>
      <c r="B238" s="12"/>
      <c r="C238" s="12"/>
      <c r="D238" s="12"/>
      <c r="E238" s="12"/>
    </row>
    <row r="239" ht="15.75" customHeight="1">
      <c r="A239" s="12"/>
      <c r="B239" s="12"/>
      <c r="C239" s="12"/>
      <c r="D239" s="12"/>
      <c r="E239" s="12"/>
    </row>
    <row r="240" ht="15.75" customHeight="1">
      <c r="A240" s="12"/>
      <c r="B240" s="12"/>
      <c r="C240" s="12"/>
      <c r="D240" s="12"/>
      <c r="E240" s="12"/>
    </row>
    <row r="241" ht="15.75" customHeight="1">
      <c r="A241" s="12"/>
      <c r="B241" s="12"/>
      <c r="C241" s="12"/>
      <c r="D241" s="12"/>
      <c r="E241" s="12"/>
    </row>
    <row r="242" ht="15.75" customHeight="1">
      <c r="A242" s="12"/>
      <c r="B242" s="12"/>
      <c r="C242" s="12"/>
      <c r="D242" s="12"/>
      <c r="E242" s="12"/>
    </row>
    <row r="243" ht="15.75" customHeight="1">
      <c r="A243" s="12"/>
      <c r="B243" s="12"/>
      <c r="C243" s="12"/>
      <c r="D243" s="12"/>
      <c r="E243" s="12"/>
    </row>
    <row r="244" ht="15.75" customHeight="1">
      <c r="A244" s="12"/>
      <c r="B244" s="12"/>
      <c r="C244" s="12"/>
      <c r="D244" s="12"/>
      <c r="E244" s="12"/>
    </row>
    <row r="245" ht="15.75" customHeight="1">
      <c r="A245" s="12"/>
      <c r="B245" s="12"/>
      <c r="C245" s="12"/>
      <c r="D245" s="12"/>
      <c r="E245" s="12"/>
    </row>
    <row r="246" ht="15.75" customHeight="1">
      <c r="A246" s="12"/>
      <c r="B246" s="12"/>
      <c r="C246" s="12"/>
      <c r="D246" s="12"/>
      <c r="E246" s="12"/>
    </row>
    <row r="247" ht="15.75" customHeight="1">
      <c r="A247" s="12"/>
      <c r="B247" s="12"/>
      <c r="C247" s="12"/>
      <c r="D247" s="12"/>
      <c r="E247" s="12"/>
    </row>
    <row r="248" ht="15.75" customHeight="1">
      <c r="A248" s="12"/>
      <c r="B248" s="12"/>
      <c r="C248" s="12"/>
      <c r="D248" s="12"/>
      <c r="E248" s="12"/>
    </row>
    <row r="249" ht="15.75" customHeight="1">
      <c r="A249" s="12"/>
      <c r="B249" s="12"/>
      <c r="C249" s="12"/>
      <c r="D249" s="12"/>
      <c r="E249" s="12"/>
    </row>
    <row r="250" ht="15.75" customHeight="1">
      <c r="A250" s="12"/>
      <c r="B250" s="12"/>
      <c r="C250" s="12"/>
      <c r="D250" s="12"/>
      <c r="E250" s="12"/>
    </row>
    <row r="251" ht="15.75" customHeight="1">
      <c r="A251" s="12"/>
      <c r="B251" s="12"/>
      <c r="C251" s="12"/>
      <c r="D251" s="12"/>
      <c r="E251" s="12"/>
    </row>
    <row r="252" ht="15.75" customHeight="1">
      <c r="A252" s="12"/>
      <c r="B252" s="12"/>
      <c r="C252" s="12"/>
      <c r="D252" s="12"/>
      <c r="E252" s="12"/>
    </row>
    <row r="253" ht="15.75" customHeight="1">
      <c r="A253" s="12"/>
      <c r="B253" s="12"/>
      <c r="C253" s="12"/>
      <c r="D253" s="12"/>
      <c r="E253" s="12"/>
    </row>
    <row r="254" ht="15.75" customHeight="1">
      <c r="A254" s="12"/>
      <c r="B254" s="12"/>
      <c r="C254" s="12"/>
      <c r="D254" s="12"/>
      <c r="E254" s="12"/>
    </row>
    <row r="255" ht="15.75" customHeight="1">
      <c r="A255" s="12"/>
      <c r="B255" s="12"/>
      <c r="C255" s="12"/>
      <c r="D255" s="12"/>
      <c r="E255" s="12"/>
    </row>
    <row r="256" ht="15.75" customHeight="1">
      <c r="A256" s="12"/>
      <c r="B256" s="12"/>
      <c r="C256" s="12"/>
      <c r="D256" s="12"/>
      <c r="E256" s="12"/>
    </row>
    <row r="257" ht="15.75" customHeight="1">
      <c r="A257" s="12"/>
      <c r="B257" s="12"/>
      <c r="C257" s="12"/>
      <c r="D257" s="12"/>
      <c r="E257" s="12"/>
    </row>
    <row r="258" ht="15.75" customHeight="1">
      <c r="A258" s="12"/>
      <c r="B258" s="12"/>
      <c r="C258" s="12"/>
      <c r="D258" s="12"/>
      <c r="E258" s="12"/>
    </row>
    <row r="259" ht="15.75" customHeight="1">
      <c r="A259" s="12"/>
      <c r="B259" s="12"/>
      <c r="C259" s="12"/>
      <c r="D259" s="12"/>
      <c r="E259" s="12"/>
    </row>
    <row r="260" ht="15.75" customHeight="1">
      <c r="A260" s="12"/>
      <c r="B260" s="12"/>
      <c r="C260" s="12"/>
      <c r="D260" s="12"/>
      <c r="E260" s="12"/>
    </row>
    <row r="261" ht="15.75" customHeight="1">
      <c r="A261" s="12"/>
      <c r="B261" s="12"/>
      <c r="C261" s="12"/>
      <c r="D261" s="12"/>
      <c r="E261" s="12"/>
    </row>
    <row r="262" ht="15.75" customHeight="1">
      <c r="A262" s="12"/>
      <c r="B262" s="12"/>
      <c r="C262" s="12"/>
      <c r="D262" s="12"/>
      <c r="E262" s="12"/>
    </row>
    <row r="263" ht="15.75" customHeight="1">
      <c r="A263" s="12"/>
      <c r="B263" s="12"/>
      <c r="C263" s="12"/>
      <c r="D263" s="12"/>
      <c r="E263" s="12"/>
    </row>
    <row r="264" ht="15.75" customHeight="1">
      <c r="A264" s="12"/>
      <c r="B264" s="12"/>
      <c r="C264" s="12"/>
      <c r="D264" s="12"/>
      <c r="E264" s="12"/>
    </row>
    <row r="265" ht="15.75" customHeight="1">
      <c r="A265" s="12"/>
      <c r="B265" s="12"/>
      <c r="C265" s="12"/>
      <c r="D265" s="12"/>
      <c r="E265" s="12"/>
    </row>
    <row r="266" ht="15.75" customHeight="1">
      <c r="A266" s="12"/>
      <c r="B266" s="12"/>
      <c r="C266" s="12"/>
      <c r="D266" s="12"/>
      <c r="E266" s="12"/>
    </row>
    <row r="267" ht="15.75" customHeight="1">
      <c r="A267" s="12"/>
      <c r="B267" s="12"/>
      <c r="C267" s="12"/>
      <c r="D267" s="12"/>
      <c r="E267" s="12"/>
    </row>
    <row r="268" ht="15.75" customHeight="1">
      <c r="A268" s="12"/>
      <c r="B268" s="12"/>
      <c r="C268" s="12"/>
      <c r="D268" s="12"/>
      <c r="E268" s="12"/>
    </row>
    <row r="269" ht="15.75" customHeight="1">
      <c r="A269" s="12"/>
      <c r="B269" s="12"/>
      <c r="C269" s="12"/>
      <c r="D269" s="12"/>
      <c r="E269" s="12"/>
    </row>
    <row r="270" ht="15.75" customHeight="1">
      <c r="A270" s="12"/>
      <c r="B270" s="12"/>
      <c r="C270" s="12"/>
      <c r="D270" s="12"/>
      <c r="E270" s="12"/>
    </row>
    <row r="271" ht="15.75" customHeight="1">
      <c r="A271" s="12"/>
      <c r="B271" s="12"/>
      <c r="C271" s="12"/>
      <c r="D271" s="12"/>
      <c r="E271" s="12"/>
    </row>
    <row r="272" ht="15.75" customHeight="1">
      <c r="A272" s="12"/>
      <c r="B272" s="12"/>
      <c r="C272" s="12"/>
      <c r="D272" s="12"/>
      <c r="E272" s="12"/>
    </row>
    <row r="273" ht="15.75" customHeight="1">
      <c r="A273" s="12"/>
      <c r="B273" s="12"/>
      <c r="C273" s="12"/>
      <c r="D273" s="12"/>
      <c r="E273" s="12"/>
    </row>
    <row r="274" ht="15.75" customHeight="1">
      <c r="A274" s="12"/>
      <c r="B274" s="12"/>
      <c r="C274" s="12"/>
      <c r="D274" s="12"/>
      <c r="E274" s="12"/>
    </row>
    <row r="275" ht="15.75" customHeight="1">
      <c r="A275" s="12"/>
      <c r="B275" s="12"/>
      <c r="C275" s="12"/>
      <c r="D275" s="12"/>
      <c r="E275" s="12"/>
    </row>
    <row r="276" ht="15.75" customHeight="1">
      <c r="A276" s="12"/>
      <c r="B276" s="12"/>
      <c r="C276" s="12"/>
      <c r="D276" s="12"/>
      <c r="E276" s="12"/>
    </row>
    <row r="277" ht="15.75" customHeight="1">
      <c r="A277" s="12"/>
      <c r="B277" s="12"/>
      <c r="C277" s="12"/>
      <c r="D277" s="12"/>
      <c r="E277" s="12"/>
    </row>
    <row r="278" ht="15.75" customHeight="1">
      <c r="A278" s="12"/>
      <c r="B278" s="12"/>
      <c r="C278" s="12"/>
      <c r="D278" s="12"/>
      <c r="E278" s="12"/>
    </row>
    <row r="279" ht="15.75" customHeight="1">
      <c r="A279" s="12"/>
      <c r="B279" s="12"/>
      <c r="C279" s="12"/>
      <c r="D279" s="12"/>
      <c r="E279" s="12"/>
    </row>
    <row r="280" ht="15.75" customHeight="1">
      <c r="A280" s="12"/>
      <c r="B280" s="12"/>
      <c r="C280" s="12"/>
      <c r="D280" s="12"/>
      <c r="E280" s="12"/>
    </row>
    <row r="281" ht="15.75" customHeight="1">
      <c r="A281" s="12"/>
      <c r="B281" s="12"/>
      <c r="C281" s="12"/>
      <c r="D281" s="12"/>
      <c r="E281" s="12"/>
    </row>
    <row r="282" ht="15.75" customHeight="1">
      <c r="A282" s="12"/>
      <c r="B282" s="12"/>
      <c r="C282" s="12"/>
      <c r="D282" s="12"/>
      <c r="E282" s="12"/>
    </row>
    <row r="283" ht="15.75" customHeight="1">
      <c r="A283" s="12"/>
      <c r="B283" s="12"/>
      <c r="C283" s="12"/>
      <c r="D283" s="12"/>
      <c r="E283" s="12"/>
    </row>
    <row r="284" ht="15.75" customHeight="1">
      <c r="A284" s="12"/>
      <c r="B284" s="12"/>
      <c r="C284" s="12"/>
      <c r="D284" s="12"/>
      <c r="E284" s="12"/>
    </row>
    <row r="285" ht="15.75" customHeight="1">
      <c r="A285" s="12"/>
      <c r="B285" s="12"/>
      <c r="C285" s="12"/>
      <c r="D285" s="12"/>
      <c r="E285" s="12"/>
    </row>
    <row r="286" ht="15.75" customHeight="1">
      <c r="A286" s="12"/>
      <c r="B286" s="12"/>
      <c r="C286" s="12"/>
      <c r="D286" s="12"/>
      <c r="E286" s="12"/>
    </row>
    <row r="287" ht="15.75" customHeight="1">
      <c r="A287" s="12"/>
      <c r="B287" s="12"/>
      <c r="C287" s="12"/>
      <c r="D287" s="12"/>
      <c r="E287" s="12"/>
    </row>
    <row r="288" ht="15.75" customHeight="1">
      <c r="A288" s="12"/>
      <c r="B288" s="12"/>
      <c r="C288" s="12"/>
      <c r="D288" s="12"/>
      <c r="E288" s="12"/>
    </row>
    <row r="289" ht="15.75" customHeight="1">
      <c r="A289" s="12"/>
      <c r="B289" s="12"/>
      <c r="C289" s="12"/>
      <c r="D289" s="12"/>
      <c r="E289" s="12"/>
    </row>
    <row r="290" ht="15.75" customHeight="1">
      <c r="A290" s="12"/>
      <c r="B290" s="12"/>
      <c r="C290" s="12"/>
      <c r="D290" s="12"/>
      <c r="E290" s="12"/>
    </row>
    <row r="291" ht="15.75" customHeight="1">
      <c r="A291" s="12"/>
      <c r="B291" s="12"/>
      <c r="C291" s="12"/>
      <c r="D291" s="12"/>
      <c r="E291" s="12"/>
    </row>
    <row r="292" ht="15.75" customHeight="1">
      <c r="A292" s="12"/>
      <c r="B292" s="12"/>
      <c r="C292" s="12"/>
      <c r="D292" s="12"/>
      <c r="E292" s="12"/>
    </row>
    <row r="293" ht="15.75" customHeight="1">
      <c r="A293" s="12"/>
      <c r="B293" s="12"/>
      <c r="C293" s="12"/>
      <c r="D293" s="12"/>
      <c r="E293" s="12"/>
    </row>
    <row r="294" ht="15.75" customHeight="1">
      <c r="A294" s="12"/>
      <c r="B294" s="12"/>
      <c r="C294" s="12"/>
      <c r="D294" s="12"/>
      <c r="E294" s="12"/>
    </row>
    <row r="295" ht="15.75" customHeight="1">
      <c r="A295" s="12"/>
      <c r="B295" s="12"/>
      <c r="C295" s="12"/>
      <c r="D295" s="12"/>
      <c r="E295" s="12"/>
    </row>
    <row r="296" ht="15.75" customHeight="1">
      <c r="A296" s="12"/>
      <c r="B296" s="12"/>
      <c r="C296" s="12"/>
      <c r="D296" s="12"/>
      <c r="E296" s="12"/>
    </row>
    <row r="297" ht="15.75" customHeight="1">
      <c r="A297" s="12"/>
      <c r="B297" s="12"/>
      <c r="C297" s="12"/>
      <c r="D297" s="12"/>
      <c r="E297" s="12"/>
    </row>
    <row r="298" ht="15.75" customHeight="1">
      <c r="A298" s="12"/>
      <c r="B298" s="12"/>
      <c r="C298" s="12"/>
      <c r="D298" s="12"/>
      <c r="E298" s="12"/>
    </row>
    <row r="299" ht="15.75" customHeight="1">
      <c r="A299" s="12"/>
      <c r="B299" s="12"/>
      <c r="C299" s="12"/>
      <c r="D299" s="12"/>
      <c r="E299" s="12"/>
    </row>
    <row r="300" ht="15.75" customHeight="1">
      <c r="A300" s="12"/>
      <c r="B300" s="12"/>
      <c r="C300" s="12"/>
      <c r="D300" s="12"/>
      <c r="E300" s="12"/>
    </row>
    <row r="301" ht="15.75" customHeight="1">
      <c r="A301" s="12"/>
      <c r="B301" s="12"/>
      <c r="C301" s="12"/>
      <c r="D301" s="12"/>
      <c r="E301" s="12"/>
    </row>
    <row r="302" ht="15.75" customHeight="1">
      <c r="A302" s="12"/>
      <c r="B302" s="12"/>
      <c r="C302" s="12"/>
      <c r="D302" s="12"/>
      <c r="E302" s="12"/>
    </row>
    <row r="303" ht="15.75" customHeight="1">
      <c r="A303" s="12"/>
      <c r="B303" s="12"/>
      <c r="C303" s="12"/>
      <c r="D303" s="12"/>
      <c r="E303" s="12"/>
    </row>
    <row r="304" ht="15.75" customHeight="1">
      <c r="A304" s="12"/>
      <c r="B304" s="12"/>
      <c r="C304" s="12"/>
      <c r="D304" s="12"/>
      <c r="E304" s="12"/>
    </row>
    <row r="305" ht="15.75" customHeight="1">
      <c r="A305" s="12"/>
      <c r="B305" s="12"/>
      <c r="C305" s="12"/>
      <c r="D305" s="12"/>
      <c r="E305" s="12"/>
    </row>
    <row r="306" ht="15.75" customHeight="1">
      <c r="A306" s="12"/>
      <c r="B306" s="12"/>
      <c r="C306" s="12"/>
      <c r="D306" s="12"/>
      <c r="E306" s="12"/>
    </row>
    <row r="307" ht="15.75" customHeight="1">
      <c r="A307" s="12"/>
      <c r="B307" s="12"/>
      <c r="C307" s="12"/>
      <c r="D307" s="12"/>
      <c r="E307" s="12"/>
    </row>
    <row r="308" ht="15.75" customHeight="1">
      <c r="A308" s="12"/>
      <c r="B308" s="12"/>
      <c r="C308" s="12"/>
      <c r="D308" s="12"/>
      <c r="E308" s="12"/>
    </row>
    <row r="309" ht="15.75" customHeight="1">
      <c r="A309" s="12"/>
      <c r="B309" s="12"/>
      <c r="C309" s="12"/>
      <c r="D309" s="12"/>
      <c r="E309" s="12"/>
    </row>
    <row r="310" ht="15.75" customHeight="1">
      <c r="A310" s="12"/>
      <c r="B310" s="12"/>
      <c r="C310" s="12"/>
      <c r="D310" s="12"/>
      <c r="E310" s="12"/>
    </row>
    <row r="311" ht="15.75" customHeight="1">
      <c r="A311" s="12"/>
      <c r="B311" s="12"/>
      <c r="C311" s="12"/>
      <c r="D311" s="12"/>
      <c r="E311" s="12"/>
    </row>
    <row r="312" ht="15.75" customHeight="1">
      <c r="A312" s="12"/>
      <c r="B312" s="12"/>
      <c r="C312" s="12"/>
      <c r="D312" s="12"/>
      <c r="E312" s="12"/>
    </row>
    <row r="313" ht="15.75" customHeight="1">
      <c r="A313" s="12"/>
      <c r="B313" s="12"/>
      <c r="C313" s="12"/>
      <c r="D313" s="12"/>
      <c r="E313" s="12"/>
    </row>
    <row r="314" ht="15.75" customHeight="1">
      <c r="A314" s="12"/>
      <c r="B314" s="12"/>
      <c r="C314" s="12"/>
      <c r="D314" s="12"/>
      <c r="E314" s="12"/>
    </row>
    <row r="315" ht="15.75" customHeight="1">
      <c r="A315" s="12"/>
      <c r="B315" s="12"/>
      <c r="C315" s="12"/>
      <c r="D315" s="12"/>
      <c r="E315" s="12"/>
    </row>
    <row r="316" ht="15.75" customHeight="1">
      <c r="A316" s="12"/>
      <c r="B316" s="12"/>
      <c r="C316" s="12"/>
      <c r="D316" s="12"/>
      <c r="E316" s="12"/>
    </row>
    <row r="317" ht="15.75" customHeight="1">
      <c r="A317" s="12"/>
      <c r="B317" s="12"/>
      <c r="C317" s="12"/>
      <c r="D317" s="12"/>
      <c r="E317" s="12"/>
    </row>
    <row r="318" ht="15.75" customHeight="1">
      <c r="A318" s="12"/>
      <c r="B318" s="12"/>
      <c r="C318" s="12"/>
      <c r="D318" s="12"/>
      <c r="E318" s="12"/>
    </row>
    <row r="319" ht="15.75" customHeight="1">
      <c r="A319" s="12"/>
      <c r="B319" s="12"/>
      <c r="C319" s="12"/>
      <c r="D319" s="12"/>
      <c r="E319" s="12"/>
    </row>
    <row r="320" ht="15.75" customHeight="1">
      <c r="A320" s="12"/>
      <c r="B320" s="12"/>
      <c r="C320" s="12"/>
      <c r="D320" s="12"/>
      <c r="E320" s="12"/>
    </row>
    <row r="321" ht="15.75" customHeight="1">
      <c r="A321" s="12"/>
      <c r="B321" s="12"/>
      <c r="C321" s="12"/>
      <c r="D321" s="12"/>
      <c r="E321" s="12"/>
    </row>
    <row r="322" ht="15.75" customHeight="1">
      <c r="A322" s="12"/>
      <c r="B322" s="12"/>
      <c r="C322" s="12"/>
      <c r="D322" s="12"/>
      <c r="E322" s="12"/>
    </row>
    <row r="323" ht="15.75" customHeight="1">
      <c r="A323" s="12"/>
      <c r="B323" s="12"/>
      <c r="C323" s="12"/>
      <c r="D323" s="12"/>
      <c r="E323" s="12"/>
    </row>
    <row r="324" ht="15.75" customHeight="1">
      <c r="A324" s="12"/>
      <c r="B324" s="12"/>
      <c r="C324" s="12"/>
      <c r="D324" s="12"/>
      <c r="E324" s="12"/>
    </row>
    <row r="325" ht="15.75" customHeight="1">
      <c r="A325" s="12"/>
      <c r="B325" s="12"/>
      <c r="C325" s="12"/>
      <c r="D325" s="12"/>
      <c r="E325" s="12"/>
    </row>
    <row r="326" ht="15.75" customHeight="1">
      <c r="A326" s="12"/>
      <c r="B326" s="12"/>
      <c r="C326" s="12"/>
      <c r="D326" s="12"/>
      <c r="E326" s="12"/>
    </row>
    <row r="327" ht="15.75" customHeight="1">
      <c r="A327" s="12"/>
      <c r="B327" s="12"/>
      <c r="C327" s="12"/>
      <c r="D327" s="12"/>
      <c r="E327" s="12"/>
    </row>
    <row r="328" ht="15.75" customHeight="1">
      <c r="A328" s="12"/>
      <c r="B328" s="12"/>
      <c r="C328" s="12"/>
      <c r="D328" s="12"/>
      <c r="E328" s="12"/>
    </row>
    <row r="329" ht="15.75" customHeight="1">
      <c r="A329" s="12"/>
      <c r="B329" s="12"/>
      <c r="C329" s="12"/>
      <c r="D329" s="12"/>
      <c r="E329" s="12"/>
    </row>
    <row r="330" ht="15.75" customHeight="1">
      <c r="A330" s="12"/>
      <c r="B330" s="12"/>
      <c r="C330" s="12"/>
      <c r="D330" s="12"/>
      <c r="E330" s="12"/>
    </row>
    <row r="331" ht="15.75" customHeight="1">
      <c r="A331" s="12"/>
      <c r="B331" s="12"/>
      <c r="C331" s="12"/>
      <c r="D331" s="12"/>
      <c r="E331" s="12"/>
    </row>
    <row r="332" ht="15.75" customHeight="1">
      <c r="A332" s="12"/>
      <c r="B332" s="12"/>
      <c r="C332" s="12"/>
      <c r="D332" s="12"/>
      <c r="E332" s="12"/>
    </row>
    <row r="333" ht="15.75" customHeight="1">
      <c r="A333" s="12"/>
      <c r="B333" s="12"/>
      <c r="C333" s="12"/>
      <c r="D333" s="12"/>
      <c r="E333" s="12"/>
    </row>
    <row r="334" ht="15.75" customHeight="1">
      <c r="A334" s="12"/>
      <c r="B334" s="12"/>
      <c r="C334" s="12"/>
      <c r="D334" s="12"/>
      <c r="E334" s="12"/>
    </row>
    <row r="335" ht="15.75" customHeight="1">
      <c r="A335" s="12"/>
      <c r="B335" s="12"/>
      <c r="C335" s="12"/>
      <c r="D335" s="12"/>
      <c r="E335" s="12"/>
    </row>
    <row r="336" ht="15.75" customHeight="1">
      <c r="A336" s="12"/>
      <c r="B336" s="12"/>
      <c r="C336" s="12"/>
      <c r="D336" s="12"/>
      <c r="E336" s="12"/>
    </row>
    <row r="337" ht="15.75" customHeight="1">
      <c r="A337" s="12"/>
      <c r="B337" s="12"/>
      <c r="C337" s="12"/>
      <c r="D337" s="12"/>
      <c r="E337" s="12"/>
    </row>
    <row r="338" ht="15.75" customHeight="1">
      <c r="A338" s="12"/>
      <c r="B338" s="12"/>
      <c r="C338" s="12"/>
      <c r="D338" s="12"/>
      <c r="E338" s="12"/>
    </row>
    <row r="339" ht="15.75" customHeight="1">
      <c r="A339" s="12"/>
      <c r="B339" s="12"/>
      <c r="C339" s="12"/>
      <c r="D339" s="12"/>
      <c r="E339" s="12"/>
    </row>
    <row r="340" ht="15.75" customHeight="1">
      <c r="A340" s="12"/>
      <c r="B340" s="12"/>
      <c r="C340" s="12"/>
      <c r="D340" s="12"/>
      <c r="E340" s="12"/>
    </row>
    <row r="341" ht="15.75" customHeight="1">
      <c r="A341" s="12"/>
      <c r="B341" s="12"/>
      <c r="C341" s="12"/>
      <c r="D341" s="12"/>
      <c r="E341" s="12"/>
    </row>
    <row r="342" ht="15.75" customHeight="1">
      <c r="A342" s="12"/>
      <c r="B342" s="12"/>
      <c r="C342" s="12"/>
      <c r="D342" s="12"/>
      <c r="E342" s="12"/>
    </row>
    <row r="343" ht="15.75" customHeight="1">
      <c r="A343" s="12"/>
      <c r="B343" s="12"/>
      <c r="C343" s="12"/>
      <c r="D343" s="12"/>
      <c r="E343" s="12"/>
    </row>
    <row r="344" ht="15.75" customHeight="1">
      <c r="A344" s="12"/>
      <c r="B344" s="12"/>
      <c r="C344" s="12"/>
      <c r="D344" s="12"/>
      <c r="E344" s="12"/>
    </row>
    <row r="345" ht="15.75" customHeight="1">
      <c r="A345" s="12"/>
      <c r="B345" s="12"/>
      <c r="C345" s="12"/>
      <c r="D345" s="12"/>
      <c r="E345" s="12"/>
    </row>
    <row r="346" ht="15.75" customHeight="1">
      <c r="A346" s="12"/>
      <c r="B346" s="12"/>
      <c r="C346" s="12"/>
      <c r="D346" s="12"/>
      <c r="E346" s="12"/>
    </row>
    <row r="347" ht="15.75" customHeight="1">
      <c r="A347" s="12"/>
      <c r="B347" s="12"/>
      <c r="C347" s="12"/>
      <c r="D347" s="12"/>
      <c r="E347" s="12"/>
    </row>
    <row r="348" ht="15.75" customHeight="1">
      <c r="A348" s="12"/>
      <c r="B348" s="12"/>
      <c r="C348" s="12"/>
      <c r="D348" s="12"/>
      <c r="E348" s="12"/>
    </row>
    <row r="349" ht="15.75" customHeight="1">
      <c r="A349" s="12"/>
      <c r="B349" s="12"/>
      <c r="C349" s="12"/>
      <c r="D349" s="12"/>
      <c r="E349" s="12"/>
    </row>
    <row r="350" ht="15.75" customHeight="1">
      <c r="A350" s="12"/>
      <c r="B350" s="12"/>
      <c r="C350" s="12"/>
      <c r="D350" s="12"/>
      <c r="E350" s="12"/>
    </row>
    <row r="351" ht="15.75" customHeight="1">
      <c r="A351" s="12"/>
      <c r="B351" s="12"/>
      <c r="C351" s="12"/>
      <c r="D351" s="12"/>
      <c r="E351" s="12"/>
    </row>
    <row r="352" ht="15.75" customHeight="1">
      <c r="A352" s="12"/>
      <c r="B352" s="12"/>
      <c r="C352" s="12"/>
      <c r="D352" s="12"/>
      <c r="E352" s="12"/>
    </row>
    <row r="353" ht="15.75" customHeight="1">
      <c r="A353" s="12"/>
      <c r="B353" s="12"/>
      <c r="C353" s="12"/>
      <c r="D353" s="12"/>
      <c r="E353" s="12"/>
    </row>
    <row r="354" ht="15.75" customHeight="1">
      <c r="A354" s="12"/>
      <c r="B354" s="12"/>
      <c r="C354" s="12"/>
      <c r="D354" s="12"/>
      <c r="E354" s="12"/>
    </row>
    <row r="355" ht="15.75" customHeight="1">
      <c r="A355" s="12"/>
      <c r="B355" s="12"/>
      <c r="C355" s="12"/>
      <c r="D355" s="12"/>
      <c r="E355" s="12"/>
    </row>
    <row r="356" ht="15.75" customHeight="1">
      <c r="A356" s="12"/>
      <c r="B356" s="12"/>
      <c r="C356" s="12"/>
      <c r="D356" s="12"/>
      <c r="E356" s="12"/>
    </row>
    <row r="357" ht="15.75" customHeight="1">
      <c r="A357" s="12"/>
      <c r="B357" s="12"/>
      <c r="C357" s="12"/>
      <c r="D357" s="12"/>
      <c r="E357" s="12"/>
    </row>
    <row r="358" ht="15.75" customHeight="1">
      <c r="A358" s="12"/>
      <c r="B358" s="12"/>
      <c r="C358" s="12"/>
      <c r="D358" s="12"/>
      <c r="E358" s="12"/>
    </row>
    <row r="359" ht="15.75" customHeight="1">
      <c r="A359" s="12"/>
      <c r="B359" s="12"/>
      <c r="C359" s="12"/>
      <c r="D359" s="12"/>
      <c r="E359" s="12"/>
    </row>
    <row r="360" ht="15.75" customHeight="1">
      <c r="A360" s="12"/>
      <c r="B360" s="12"/>
      <c r="C360" s="12"/>
      <c r="D360" s="12"/>
      <c r="E360" s="12"/>
    </row>
    <row r="361" ht="15.75" customHeight="1">
      <c r="A361" s="12"/>
      <c r="B361" s="12"/>
      <c r="C361" s="12"/>
      <c r="D361" s="12"/>
      <c r="E361" s="12"/>
    </row>
    <row r="362" ht="15.75" customHeight="1">
      <c r="A362" s="12"/>
      <c r="B362" s="12"/>
      <c r="C362" s="12"/>
      <c r="D362" s="12"/>
      <c r="E362" s="12"/>
    </row>
    <row r="363" ht="15.75" customHeight="1">
      <c r="A363" s="12"/>
      <c r="B363" s="12"/>
      <c r="C363" s="12"/>
      <c r="D363" s="12"/>
      <c r="E363" s="12"/>
    </row>
    <row r="364" ht="15.75" customHeight="1">
      <c r="A364" s="12"/>
      <c r="B364" s="12"/>
      <c r="C364" s="12"/>
      <c r="D364" s="12"/>
      <c r="E364" s="12"/>
    </row>
    <row r="365" ht="15.75" customHeight="1">
      <c r="A365" s="12"/>
      <c r="B365" s="12"/>
      <c r="C365" s="12"/>
      <c r="D365" s="12"/>
      <c r="E365" s="12"/>
    </row>
    <row r="366" ht="15.75" customHeight="1">
      <c r="A366" s="12"/>
      <c r="B366" s="12"/>
      <c r="C366" s="12"/>
      <c r="D366" s="12"/>
      <c r="E366" s="12"/>
    </row>
    <row r="367" ht="15.75" customHeight="1">
      <c r="A367" s="12"/>
      <c r="B367" s="12"/>
      <c r="C367" s="12"/>
      <c r="D367" s="12"/>
      <c r="E367" s="12"/>
    </row>
    <row r="368" ht="15.75" customHeight="1">
      <c r="A368" s="12"/>
      <c r="B368" s="12"/>
      <c r="C368" s="12"/>
      <c r="D368" s="12"/>
      <c r="E368" s="12"/>
    </row>
    <row r="369" ht="15.75" customHeight="1">
      <c r="A369" s="12"/>
      <c r="B369" s="12"/>
      <c r="C369" s="12"/>
      <c r="D369" s="12"/>
      <c r="E369" s="12"/>
    </row>
    <row r="370" ht="15.75" customHeight="1">
      <c r="A370" s="12"/>
      <c r="B370" s="12"/>
      <c r="C370" s="12"/>
      <c r="D370" s="12"/>
      <c r="E370" s="12"/>
    </row>
    <row r="371" ht="15.75" customHeight="1">
      <c r="A371" s="12"/>
      <c r="B371" s="12"/>
      <c r="C371" s="12"/>
      <c r="D371" s="12"/>
      <c r="E371" s="12"/>
    </row>
    <row r="372" ht="15.75" customHeight="1">
      <c r="A372" s="12"/>
      <c r="B372" s="12"/>
      <c r="C372" s="12"/>
      <c r="D372" s="12"/>
      <c r="E372" s="12"/>
    </row>
    <row r="373" ht="15.75" customHeight="1">
      <c r="A373" s="12"/>
      <c r="B373" s="12"/>
      <c r="C373" s="12"/>
      <c r="D373" s="12"/>
      <c r="E373" s="12"/>
    </row>
    <row r="374" ht="15.75" customHeight="1">
      <c r="A374" s="12"/>
      <c r="B374" s="12"/>
      <c r="C374" s="12"/>
      <c r="D374" s="12"/>
      <c r="E374" s="12"/>
    </row>
    <row r="375" ht="15.75" customHeight="1">
      <c r="A375" s="12"/>
      <c r="B375" s="12"/>
      <c r="C375" s="12"/>
      <c r="D375" s="12"/>
      <c r="E375" s="12"/>
    </row>
    <row r="376" ht="15.75" customHeight="1">
      <c r="A376" s="12"/>
      <c r="B376" s="12"/>
      <c r="C376" s="12"/>
      <c r="D376" s="12"/>
      <c r="E376" s="12"/>
    </row>
    <row r="377" ht="15.75" customHeight="1">
      <c r="A377" s="12"/>
      <c r="B377" s="12"/>
      <c r="C377" s="12"/>
      <c r="D377" s="12"/>
      <c r="E377" s="12"/>
    </row>
    <row r="378" ht="15.75" customHeight="1">
      <c r="A378" s="12"/>
      <c r="B378" s="12"/>
      <c r="C378" s="12"/>
      <c r="D378" s="12"/>
      <c r="E378" s="12"/>
    </row>
    <row r="379" ht="15.75" customHeight="1">
      <c r="A379" s="12"/>
      <c r="B379" s="12"/>
      <c r="C379" s="12"/>
      <c r="D379" s="12"/>
      <c r="E379" s="12"/>
    </row>
    <row r="380" ht="15.75" customHeight="1">
      <c r="A380" s="12"/>
      <c r="B380" s="12"/>
      <c r="C380" s="12"/>
      <c r="D380" s="12"/>
      <c r="E380" s="12"/>
    </row>
    <row r="381" ht="15.75" customHeight="1">
      <c r="A381" s="12"/>
      <c r="B381" s="12"/>
      <c r="C381" s="12"/>
      <c r="D381" s="12"/>
      <c r="E381" s="12"/>
    </row>
    <row r="382" ht="15.75" customHeight="1">
      <c r="A382" s="12"/>
      <c r="B382" s="12"/>
      <c r="C382" s="12"/>
      <c r="D382" s="12"/>
      <c r="E382" s="12"/>
    </row>
    <row r="383" ht="15.75" customHeight="1">
      <c r="A383" s="12"/>
      <c r="B383" s="12"/>
      <c r="C383" s="12"/>
      <c r="D383" s="12"/>
      <c r="E383" s="12"/>
    </row>
    <row r="384" ht="15.75" customHeight="1">
      <c r="A384" s="12"/>
      <c r="B384" s="12"/>
      <c r="C384" s="12"/>
      <c r="D384" s="12"/>
      <c r="E384" s="12"/>
    </row>
    <row r="385" ht="15.75" customHeight="1">
      <c r="A385" s="12"/>
      <c r="B385" s="12"/>
      <c r="C385" s="12"/>
      <c r="D385" s="12"/>
      <c r="E385" s="12"/>
    </row>
    <row r="386" ht="15.75" customHeight="1">
      <c r="A386" s="12"/>
      <c r="B386" s="12"/>
      <c r="C386" s="12"/>
      <c r="D386" s="12"/>
      <c r="E386" s="12"/>
    </row>
    <row r="387" ht="15.75" customHeight="1">
      <c r="A387" s="12"/>
      <c r="B387" s="12"/>
      <c r="C387" s="12"/>
      <c r="D387" s="12"/>
      <c r="E387" s="12"/>
    </row>
    <row r="388" ht="15.75" customHeight="1">
      <c r="A388" s="12"/>
      <c r="B388" s="12"/>
      <c r="C388" s="12"/>
      <c r="D388" s="12"/>
      <c r="E388" s="12"/>
    </row>
    <row r="389" ht="15.75" customHeight="1">
      <c r="A389" s="12"/>
      <c r="B389" s="12"/>
      <c r="C389" s="12"/>
      <c r="D389" s="12"/>
      <c r="E389" s="12"/>
    </row>
    <row r="390" ht="15.75" customHeight="1">
      <c r="A390" s="12"/>
      <c r="B390" s="12"/>
      <c r="C390" s="12"/>
      <c r="D390" s="12"/>
      <c r="E390" s="12"/>
    </row>
    <row r="391" ht="15.75" customHeight="1">
      <c r="A391" s="12"/>
      <c r="B391" s="12"/>
      <c r="C391" s="12"/>
      <c r="D391" s="12"/>
      <c r="E391" s="12"/>
    </row>
    <row r="392" ht="15.75" customHeight="1">
      <c r="A392" s="12"/>
      <c r="B392" s="12"/>
      <c r="C392" s="12"/>
      <c r="D392" s="12"/>
      <c r="E392" s="12"/>
    </row>
    <row r="393" ht="15.75" customHeight="1">
      <c r="A393" s="12"/>
      <c r="B393" s="12"/>
      <c r="C393" s="12"/>
      <c r="D393" s="12"/>
      <c r="E393" s="12"/>
    </row>
    <row r="394" ht="15.75" customHeight="1">
      <c r="A394" s="12"/>
      <c r="B394" s="12"/>
      <c r="C394" s="12"/>
      <c r="D394" s="12"/>
      <c r="E394" s="12"/>
    </row>
    <row r="395" ht="15.75" customHeight="1">
      <c r="A395" s="12"/>
      <c r="B395" s="12"/>
      <c r="C395" s="12"/>
      <c r="D395" s="12"/>
      <c r="E395" s="12"/>
    </row>
    <row r="396" ht="15.75" customHeight="1">
      <c r="A396" s="12"/>
      <c r="B396" s="12"/>
      <c r="C396" s="12"/>
      <c r="D396" s="12"/>
      <c r="E396" s="12"/>
    </row>
    <row r="397" ht="15.75" customHeight="1">
      <c r="A397" s="12"/>
      <c r="B397" s="12"/>
      <c r="C397" s="12"/>
      <c r="D397" s="12"/>
      <c r="E397" s="12"/>
    </row>
    <row r="398" ht="15.75" customHeight="1">
      <c r="A398" s="12"/>
      <c r="B398" s="12"/>
      <c r="C398" s="12"/>
      <c r="D398" s="12"/>
      <c r="E398" s="12"/>
    </row>
    <row r="399" ht="15.75" customHeight="1">
      <c r="A399" s="12"/>
      <c r="B399" s="12"/>
      <c r="C399" s="12"/>
      <c r="D399" s="12"/>
      <c r="E399" s="12"/>
    </row>
    <row r="400" ht="15.75" customHeight="1">
      <c r="A400" s="12"/>
      <c r="B400" s="12"/>
      <c r="C400" s="12"/>
      <c r="D400" s="12"/>
      <c r="E400" s="12"/>
    </row>
    <row r="401" ht="15.75" customHeight="1">
      <c r="A401" s="12"/>
      <c r="B401" s="12"/>
      <c r="C401" s="12"/>
      <c r="D401" s="12"/>
      <c r="E401" s="12"/>
    </row>
    <row r="402" ht="15.75" customHeight="1">
      <c r="A402" s="12"/>
      <c r="B402" s="12"/>
      <c r="C402" s="12"/>
      <c r="D402" s="12"/>
      <c r="E402" s="12"/>
    </row>
    <row r="403" ht="15.75" customHeight="1">
      <c r="A403" s="12"/>
      <c r="B403" s="12"/>
      <c r="C403" s="12"/>
      <c r="D403" s="12"/>
      <c r="E403" s="12"/>
    </row>
    <row r="404" ht="15.75" customHeight="1">
      <c r="A404" s="12"/>
      <c r="B404" s="12"/>
      <c r="C404" s="12"/>
      <c r="D404" s="12"/>
      <c r="E404" s="12"/>
    </row>
    <row r="405" ht="15.75" customHeight="1">
      <c r="A405" s="12"/>
      <c r="B405" s="12"/>
      <c r="C405" s="12"/>
      <c r="D405" s="12"/>
      <c r="E405" s="12"/>
    </row>
    <row r="406" ht="15.75" customHeight="1">
      <c r="A406" s="12"/>
      <c r="B406" s="12"/>
      <c r="C406" s="12"/>
      <c r="D406" s="12"/>
      <c r="E406" s="12"/>
    </row>
    <row r="407" ht="15.75" customHeight="1">
      <c r="A407" s="12"/>
      <c r="B407" s="12"/>
      <c r="C407" s="12"/>
      <c r="D407" s="12"/>
      <c r="E407" s="12"/>
    </row>
    <row r="408" ht="15.75" customHeight="1">
      <c r="A408" s="12"/>
      <c r="B408" s="12"/>
      <c r="C408" s="12"/>
      <c r="D408" s="12"/>
      <c r="E408" s="12"/>
    </row>
    <row r="409" ht="15.75" customHeight="1">
      <c r="A409" s="12"/>
      <c r="B409" s="12"/>
      <c r="C409" s="12"/>
      <c r="D409" s="12"/>
      <c r="E409" s="12"/>
    </row>
    <row r="410" ht="15.75" customHeight="1">
      <c r="A410" s="12"/>
      <c r="B410" s="12"/>
      <c r="C410" s="12"/>
      <c r="D410" s="12"/>
      <c r="E410" s="12"/>
    </row>
    <row r="411" ht="15.75" customHeight="1">
      <c r="A411" s="12"/>
      <c r="B411" s="12"/>
      <c r="C411" s="12"/>
      <c r="D411" s="12"/>
      <c r="E411" s="12"/>
    </row>
    <row r="412" ht="15.75" customHeight="1">
      <c r="A412" s="12"/>
      <c r="B412" s="12"/>
      <c r="C412" s="12"/>
      <c r="D412" s="12"/>
      <c r="E412" s="12"/>
    </row>
    <row r="413" ht="15.75" customHeight="1">
      <c r="A413" s="12"/>
      <c r="B413" s="12"/>
      <c r="C413" s="12"/>
      <c r="D413" s="12"/>
      <c r="E413" s="12"/>
    </row>
    <row r="414" ht="15.75" customHeight="1">
      <c r="A414" s="12"/>
      <c r="B414" s="12"/>
      <c r="C414" s="12"/>
      <c r="D414" s="12"/>
      <c r="E414" s="12"/>
    </row>
    <row r="415" ht="15.75" customHeight="1">
      <c r="A415" s="12"/>
      <c r="B415" s="12"/>
      <c r="C415" s="12"/>
      <c r="D415" s="12"/>
      <c r="E415" s="12"/>
    </row>
    <row r="416" ht="15.75" customHeight="1">
      <c r="A416" s="12"/>
      <c r="B416" s="12"/>
      <c r="C416" s="12"/>
      <c r="D416" s="12"/>
      <c r="E416" s="12"/>
    </row>
    <row r="417" ht="15.75" customHeight="1">
      <c r="A417" s="12"/>
      <c r="B417" s="12"/>
      <c r="C417" s="12"/>
      <c r="D417" s="12"/>
      <c r="E417" s="12"/>
    </row>
    <row r="418" ht="15.75" customHeight="1">
      <c r="A418" s="12"/>
      <c r="B418" s="12"/>
      <c r="C418" s="12"/>
      <c r="D418" s="12"/>
      <c r="E418" s="12"/>
    </row>
    <row r="419" ht="15.75" customHeight="1">
      <c r="A419" s="12"/>
      <c r="B419" s="12"/>
      <c r="C419" s="12"/>
      <c r="D419" s="12"/>
      <c r="E419" s="12"/>
    </row>
    <row r="420" ht="15.75" customHeight="1">
      <c r="A420" s="12"/>
      <c r="B420" s="12"/>
      <c r="C420" s="12"/>
      <c r="D420" s="12"/>
      <c r="E420" s="12"/>
    </row>
    <row r="421" ht="15.75" customHeight="1">
      <c r="A421" s="12"/>
      <c r="B421" s="12"/>
      <c r="C421" s="12"/>
      <c r="D421" s="12"/>
      <c r="E421" s="12"/>
    </row>
    <row r="422" ht="15.75" customHeight="1">
      <c r="A422" s="12"/>
      <c r="B422" s="12"/>
      <c r="C422" s="12"/>
      <c r="D422" s="12"/>
      <c r="E422" s="12"/>
    </row>
    <row r="423" ht="15.75" customHeight="1">
      <c r="A423" s="12"/>
      <c r="B423" s="12"/>
      <c r="C423" s="12"/>
      <c r="D423" s="12"/>
      <c r="E423" s="12"/>
    </row>
    <row r="424" ht="15.75" customHeight="1">
      <c r="A424" s="12"/>
      <c r="B424" s="12"/>
      <c r="C424" s="12"/>
      <c r="D424" s="12"/>
      <c r="E424" s="12"/>
    </row>
    <row r="425" ht="15.75" customHeight="1">
      <c r="A425" s="12"/>
      <c r="B425" s="12"/>
      <c r="C425" s="12"/>
      <c r="D425" s="12"/>
      <c r="E425" s="12"/>
    </row>
    <row r="426" ht="15.75" customHeight="1">
      <c r="A426" s="12"/>
      <c r="B426" s="12"/>
      <c r="C426" s="12"/>
      <c r="D426" s="12"/>
      <c r="E426" s="12"/>
    </row>
    <row r="427" ht="15.75" customHeight="1">
      <c r="A427" s="12"/>
      <c r="B427" s="12"/>
      <c r="C427" s="12"/>
      <c r="D427" s="12"/>
      <c r="E427" s="12"/>
    </row>
    <row r="428" ht="15.75" customHeight="1">
      <c r="A428" s="12"/>
      <c r="B428" s="12"/>
      <c r="C428" s="12"/>
      <c r="D428" s="12"/>
      <c r="E428" s="12"/>
    </row>
    <row r="429" ht="15.75" customHeight="1">
      <c r="A429" s="12"/>
      <c r="B429" s="12"/>
      <c r="C429" s="12"/>
      <c r="D429" s="12"/>
      <c r="E429" s="12"/>
    </row>
    <row r="430" ht="15.75" customHeight="1">
      <c r="A430" s="12"/>
      <c r="B430" s="12"/>
      <c r="C430" s="12"/>
      <c r="D430" s="12"/>
      <c r="E430" s="12"/>
    </row>
    <row r="431" ht="15.75" customHeight="1">
      <c r="A431" s="12"/>
      <c r="B431" s="12"/>
      <c r="C431" s="12"/>
      <c r="D431" s="12"/>
      <c r="E431" s="12"/>
    </row>
    <row r="432" ht="15.75" customHeight="1">
      <c r="A432" s="12"/>
      <c r="B432" s="12"/>
      <c r="C432" s="12"/>
      <c r="D432" s="12"/>
      <c r="E432" s="12"/>
    </row>
    <row r="433" ht="15.75" customHeight="1">
      <c r="A433" s="12"/>
      <c r="B433" s="12"/>
      <c r="C433" s="12"/>
      <c r="D433" s="12"/>
      <c r="E433" s="12"/>
    </row>
    <row r="434" ht="15.75" customHeight="1">
      <c r="A434" s="12"/>
      <c r="B434" s="12"/>
      <c r="C434" s="12"/>
      <c r="D434" s="12"/>
      <c r="E434" s="12"/>
    </row>
    <row r="435" ht="15.75" customHeight="1">
      <c r="A435" s="12"/>
      <c r="B435" s="12"/>
      <c r="C435" s="12"/>
      <c r="D435" s="12"/>
      <c r="E435" s="12"/>
    </row>
    <row r="436" ht="15.75" customHeight="1">
      <c r="A436" s="12"/>
      <c r="B436" s="12"/>
      <c r="C436" s="12"/>
      <c r="D436" s="12"/>
      <c r="E436" s="12"/>
    </row>
    <row r="437" ht="15.75" customHeight="1">
      <c r="A437" s="12"/>
      <c r="B437" s="12"/>
      <c r="C437" s="12"/>
      <c r="D437" s="12"/>
      <c r="E437" s="12"/>
    </row>
    <row r="438" ht="15.75" customHeight="1">
      <c r="A438" s="12"/>
      <c r="B438" s="12"/>
      <c r="C438" s="12"/>
      <c r="D438" s="12"/>
      <c r="E438" s="12"/>
    </row>
    <row r="439" ht="15.75" customHeight="1">
      <c r="A439" s="12"/>
      <c r="B439" s="12"/>
      <c r="C439" s="12"/>
      <c r="D439" s="12"/>
      <c r="E439" s="12"/>
    </row>
    <row r="440" ht="15.75" customHeight="1">
      <c r="A440" s="12"/>
      <c r="B440" s="12"/>
      <c r="C440" s="12"/>
      <c r="D440" s="12"/>
      <c r="E440" s="12"/>
    </row>
    <row r="441" ht="15.75" customHeight="1">
      <c r="A441" s="12"/>
      <c r="B441" s="12"/>
      <c r="C441" s="12"/>
      <c r="D441" s="12"/>
      <c r="E441" s="12"/>
    </row>
    <row r="442" ht="15.75" customHeight="1">
      <c r="A442" s="12"/>
      <c r="B442" s="12"/>
      <c r="C442" s="12"/>
      <c r="D442" s="12"/>
      <c r="E442" s="12"/>
    </row>
    <row r="443" ht="15.75" customHeight="1">
      <c r="A443" s="12"/>
      <c r="B443" s="12"/>
      <c r="C443" s="12"/>
      <c r="D443" s="12"/>
      <c r="E443" s="12"/>
    </row>
    <row r="444" ht="15.75" customHeight="1">
      <c r="A444" s="12"/>
      <c r="B444" s="12"/>
      <c r="C444" s="12"/>
      <c r="D444" s="12"/>
      <c r="E444" s="12"/>
    </row>
    <row r="445" ht="15.75" customHeight="1">
      <c r="A445" s="12"/>
      <c r="B445" s="12"/>
      <c r="C445" s="12"/>
      <c r="D445" s="12"/>
      <c r="E445" s="12"/>
    </row>
    <row r="446" ht="15.75" customHeight="1">
      <c r="A446" s="12"/>
      <c r="B446" s="12"/>
      <c r="C446" s="12"/>
      <c r="D446" s="12"/>
      <c r="E446" s="12"/>
    </row>
    <row r="447" ht="15.75" customHeight="1">
      <c r="A447" s="12"/>
      <c r="B447" s="12"/>
      <c r="C447" s="12"/>
      <c r="D447" s="12"/>
      <c r="E447" s="12"/>
    </row>
    <row r="448" ht="15.75" customHeight="1">
      <c r="A448" s="12"/>
      <c r="B448" s="12"/>
      <c r="C448" s="12"/>
      <c r="D448" s="12"/>
      <c r="E448" s="12"/>
    </row>
    <row r="449" ht="15.75" customHeight="1">
      <c r="A449" s="12"/>
      <c r="B449" s="12"/>
      <c r="C449" s="12"/>
      <c r="D449" s="12"/>
      <c r="E449" s="12"/>
    </row>
    <row r="450" ht="15.75" customHeight="1">
      <c r="A450" s="12"/>
      <c r="B450" s="12"/>
      <c r="C450" s="12"/>
      <c r="D450" s="12"/>
      <c r="E450" s="12"/>
    </row>
    <row r="451" ht="15.75" customHeight="1">
      <c r="A451" s="12"/>
      <c r="B451" s="12"/>
      <c r="C451" s="12"/>
      <c r="D451" s="12"/>
      <c r="E451" s="12"/>
    </row>
    <row r="452" ht="15.75" customHeight="1">
      <c r="A452" s="12"/>
      <c r="B452" s="12"/>
      <c r="C452" s="12"/>
      <c r="D452" s="12"/>
      <c r="E452" s="12"/>
    </row>
    <row r="453" ht="15.75" customHeight="1">
      <c r="A453" s="12"/>
      <c r="B453" s="12"/>
      <c r="C453" s="12"/>
      <c r="D453" s="12"/>
      <c r="E453" s="12"/>
    </row>
    <row r="454" ht="15.75" customHeight="1">
      <c r="A454" s="12"/>
      <c r="B454" s="12"/>
      <c r="C454" s="12"/>
      <c r="D454" s="12"/>
      <c r="E454" s="12"/>
    </row>
    <row r="455" ht="15.75" customHeight="1">
      <c r="A455" s="12"/>
      <c r="B455" s="12"/>
      <c r="C455" s="12"/>
      <c r="D455" s="12"/>
      <c r="E455" s="12"/>
    </row>
    <row r="456" ht="15.75" customHeight="1">
      <c r="A456" s="12"/>
      <c r="B456" s="12"/>
      <c r="C456" s="12"/>
      <c r="D456" s="12"/>
      <c r="E456" s="12"/>
    </row>
    <row r="457" ht="15.75" customHeight="1">
      <c r="A457" s="12"/>
      <c r="B457" s="12"/>
      <c r="C457" s="12"/>
      <c r="D457" s="12"/>
      <c r="E457" s="12"/>
    </row>
    <row r="458" ht="15.75" customHeight="1">
      <c r="A458" s="12"/>
      <c r="B458" s="12"/>
      <c r="C458" s="12"/>
      <c r="D458" s="12"/>
      <c r="E458" s="12"/>
    </row>
    <row r="459" ht="15.75" customHeight="1">
      <c r="A459" s="12"/>
      <c r="B459" s="12"/>
      <c r="C459" s="12"/>
      <c r="D459" s="12"/>
      <c r="E459" s="12"/>
    </row>
    <row r="460" ht="15.75" customHeight="1">
      <c r="A460" s="12"/>
      <c r="B460" s="12"/>
      <c r="C460" s="12"/>
      <c r="D460" s="12"/>
      <c r="E460" s="12"/>
    </row>
    <row r="461" ht="15.75" customHeight="1">
      <c r="A461" s="12"/>
      <c r="B461" s="12"/>
      <c r="C461" s="12"/>
      <c r="D461" s="12"/>
      <c r="E461" s="12"/>
    </row>
    <row r="462" ht="15.75" customHeight="1">
      <c r="A462" s="12"/>
      <c r="B462" s="12"/>
      <c r="C462" s="12"/>
      <c r="D462" s="12"/>
      <c r="E462" s="12"/>
    </row>
    <row r="463" ht="15.75" customHeight="1">
      <c r="A463" s="12"/>
      <c r="B463" s="12"/>
      <c r="C463" s="12"/>
      <c r="D463" s="12"/>
      <c r="E463" s="12"/>
    </row>
    <row r="464" ht="15.75" customHeight="1">
      <c r="A464" s="12"/>
      <c r="B464" s="12"/>
      <c r="C464" s="12"/>
      <c r="D464" s="12"/>
      <c r="E464" s="12"/>
    </row>
    <row r="465" ht="15.75" customHeight="1">
      <c r="A465" s="12"/>
      <c r="B465" s="12"/>
      <c r="C465" s="12"/>
      <c r="D465" s="12"/>
      <c r="E465" s="12"/>
    </row>
    <row r="466" ht="15.75" customHeight="1">
      <c r="A466" s="12"/>
      <c r="B466" s="12"/>
      <c r="C466" s="12"/>
      <c r="D466" s="12"/>
      <c r="E466" s="12"/>
    </row>
    <row r="467" ht="15.75" customHeight="1">
      <c r="A467" s="12"/>
      <c r="B467" s="12"/>
      <c r="C467" s="12"/>
      <c r="D467" s="12"/>
      <c r="E467" s="12"/>
    </row>
    <row r="468" ht="15.75" customHeight="1">
      <c r="A468" s="12"/>
      <c r="B468" s="12"/>
      <c r="C468" s="12"/>
      <c r="D468" s="12"/>
      <c r="E468" s="12"/>
    </row>
    <row r="469" ht="15.75" customHeight="1">
      <c r="A469" s="12"/>
      <c r="B469" s="12"/>
      <c r="C469" s="12"/>
      <c r="D469" s="12"/>
      <c r="E469" s="12"/>
    </row>
    <row r="470" ht="15.75" customHeight="1">
      <c r="A470" s="12"/>
      <c r="B470" s="12"/>
      <c r="C470" s="12"/>
      <c r="D470" s="12"/>
      <c r="E470" s="12"/>
    </row>
    <row r="471" ht="15.75" customHeight="1">
      <c r="A471" s="12"/>
      <c r="B471" s="12"/>
      <c r="C471" s="12"/>
      <c r="D471" s="12"/>
      <c r="E471" s="12"/>
    </row>
    <row r="472" ht="15.75" customHeight="1">
      <c r="A472" s="12"/>
      <c r="B472" s="12"/>
      <c r="C472" s="12"/>
      <c r="D472" s="12"/>
      <c r="E472" s="12"/>
    </row>
    <row r="473" ht="15.75" customHeight="1">
      <c r="A473" s="12"/>
      <c r="B473" s="12"/>
      <c r="C473" s="12"/>
      <c r="D473" s="12"/>
      <c r="E473" s="12"/>
    </row>
    <row r="474" ht="15.75" customHeight="1">
      <c r="A474" s="12"/>
      <c r="B474" s="12"/>
      <c r="C474" s="12"/>
      <c r="D474" s="12"/>
      <c r="E474" s="12"/>
    </row>
    <row r="475" ht="15.75" customHeight="1">
      <c r="A475" s="12"/>
      <c r="B475" s="12"/>
      <c r="C475" s="12"/>
      <c r="D475" s="12"/>
      <c r="E475" s="12"/>
    </row>
    <row r="476" ht="15.75" customHeight="1">
      <c r="A476" s="12"/>
      <c r="B476" s="12"/>
      <c r="C476" s="12"/>
      <c r="D476" s="12"/>
      <c r="E476" s="12"/>
    </row>
    <row r="477" ht="15.75" customHeight="1">
      <c r="A477" s="12"/>
      <c r="B477" s="12"/>
      <c r="C477" s="12"/>
      <c r="D477" s="12"/>
      <c r="E477" s="12"/>
    </row>
    <row r="478" ht="15.75" customHeight="1">
      <c r="A478" s="12"/>
      <c r="B478" s="12"/>
      <c r="C478" s="12"/>
      <c r="D478" s="12"/>
      <c r="E478" s="12"/>
    </row>
    <row r="479" ht="15.75" customHeight="1">
      <c r="A479" s="12"/>
      <c r="B479" s="12"/>
      <c r="C479" s="12"/>
      <c r="D479" s="12"/>
      <c r="E479" s="12"/>
    </row>
    <row r="480" ht="15.75" customHeight="1">
      <c r="A480" s="12"/>
      <c r="B480" s="12"/>
      <c r="C480" s="12"/>
      <c r="D480" s="12"/>
      <c r="E480" s="12"/>
    </row>
    <row r="481" ht="15.75" customHeight="1">
      <c r="A481" s="12"/>
      <c r="B481" s="12"/>
      <c r="C481" s="12"/>
      <c r="D481" s="12"/>
      <c r="E481" s="12"/>
    </row>
    <row r="482" ht="15.75" customHeight="1">
      <c r="A482" s="12"/>
      <c r="B482" s="12"/>
      <c r="C482" s="12"/>
      <c r="D482" s="12"/>
      <c r="E482" s="12"/>
    </row>
    <row r="483" ht="15.75" customHeight="1">
      <c r="A483" s="12"/>
      <c r="B483" s="12"/>
      <c r="C483" s="12"/>
      <c r="D483" s="12"/>
      <c r="E483" s="12"/>
    </row>
    <row r="484" ht="15.75" customHeight="1">
      <c r="A484" s="12"/>
      <c r="B484" s="12"/>
      <c r="C484" s="12"/>
      <c r="D484" s="12"/>
      <c r="E484" s="12"/>
    </row>
    <row r="485" ht="15.75" customHeight="1">
      <c r="A485" s="12"/>
      <c r="B485" s="12"/>
      <c r="C485" s="12"/>
      <c r="D485" s="12"/>
      <c r="E485" s="12"/>
    </row>
    <row r="486" ht="15.75" customHeight="1">
      <c r="A486" s="12"/>
      <c r="B486" s="12"/>
      <c r="C486" s="12"/>
      <c r="D486" s="12"/>
      <c r="E486" s="12"/>
    </row>
    <row r="487" ht="15.75" customHeight="1">
      <c r="A487" s="12"/>
      <c r="B487" s="12"/>
      <c r="C487" s="12"/>
      <c r="D487" s="12"/>
      <c r="E487" s="12"/>
    </row>
    <row r="488" ht="15.75" customHeight="1">
      <c r="A488" s="12"/>
      <c r="B488" s="12"/>
      <c r="C488" s="12"/>
      <c r="D488" s="12"/>
      <c r="E488" s="12"/>
    </row>
    <row r="489" ht="15.75" customHeight="1">
      <c r="A489" s="12"/>
      <c r="B489" s="12"/>
      <c r="C489" s="12"/>
      <c r="D489" s="12"/>
      <c r="E489" s="12"/>
    </row>
    <row r="490" ht="15.75" customHeight="1">
      <c r="A490" s="12"/>
      <c r="B490" s="12"/>
      <c r="C490" s="12"/>
      <c r="D490" s="12"/>
      <c r="E490" s="12"/>
    </row>
    <row r="491" ht="15.75" customHeight="1">
      <c r="A491" s="12"/>
      <c r="B491" s="12"/>
      <c r="C491" s="12"/>
      <c r="D491" s="12"/>
      <c r="E491" s="12"/>
    </row>
    <row r="492" ht="15.75" customHeight="1">
      <c r="A492" s="12"/>
      <c r="B492" s="12"/>
      <c r="C492" s="12"/>
      <c r="D492" s="12"/>
      <c r="E492" s="12"/>
    </row>
    <row r="493" ht="15.75" customHeight="1">
      <c r="A493" s="12"/>
      <c r="B493" s="12"/>
      <c r="C493" s="12"/>
      <c r="D493" s="12"/>
      <c r="E493" s="12"/>
    </row>
    <row r="494" ht="15.75" customHeight="1">
      <c r="A494" s="12"/>
      <c r="B494" s="12"/>
      <c r="C494" s="12"/>
      <c r="D494" s="12"/>
      <c r="E494" s="12"/>
    </row>
    <row r="495" ht="15.75" customHeight="1">
      <c r="A495" s="12"/>
      <c r="B495" s="12"/>
      <c r="C495" s="12"/>
      <c r="D495" s="12"/>
      <c r="E495" s="12"/>
    </row>
    <row r="496" ht="15.75" customHeight="1">
      <c r="A496" s="12"/>
      <c r="B496" s="12"/>
      <c r="C496" s="12"/>
      <c r="D496" s="12"/>
      <c r="E496" s="12"/>
    </row>
    <row r="497" ht="15.75" customHeight="1">
      <c r="A497" s="12"/>
      <c r="B497" s="12"/>
      <c r="C497" s="12"/>
      <c r="D497" s="12"/>
      <c r="E497" s="12"/>
    </row>
    <row r="498" ht="15.75" customHeight="1">
      <c r="A498" s="12"/>
      <c r="B498" s="12"/>
      <c r="C498" s="12"/>
      <c r="D498" s="12"/>
      <c r="E498" s="12"/>
    </row>
    <row r="499" ht="15.75" customHeight="1">
      <c r="A499" s="12"/>
      <c r="B499" s="12"/>
      <c r="C499" s="12"/>
      <c r="D499" s="12"/>
      <c r="E499" s="12"/>
    </row>
    <row r="500" ht="15.75" customHeight="1">
      <c r="A500" s="12"/>
      <c r="B500" s="12"/>
      <c r="C500" s="12"/>
      <c r="D500" s="12"/>
      <c r="E500" s="12"/>
    </row>
    <row r="501" ht="15.75" customHeight="1">
      <c r="A501" s="12"/>
      <c r="B501" s="12"/>
      <c r="C501" s="12"/>
      <c r="D501" s="12"/>
      <c r="E501" s="12"/>
    </row>
    <row r="502" ht="15.75" customHeight="1">
      <c r="A502" s="12"/>
      <c r="B502" s="12"/>
      <c r="C502" s="12"/>
      <c r="D502" s="12"/>
      <c r="E502" s="12"/>
    </row>
    <row r="503" ht="15.75" customHeight="1">
      <c r="A503" s="12"/>
      <c r="B503" s="12"/>
      <c r="C503" s="12"/>
      <c r="D503" s="12"/>
      <c r="E503" s="12"/>
    </row>
    <row r="504" ht="15.75" customHeight="1">
      <c r="A504" s="12"/>
      <c r="B504" s="12"/>
      <c r="C504" s="12"/>
      <c r="D504" s="12"/>
      <c r="E504" s="12"/>
    </row>
    <row r="505" ht="15.75" customHeight="1">
      <c r="A505" s="12"/>
      <c r="B505" s="12"/>
      <c r="C505" s="12"/>
      <c r="D505" s="12"/>
      <c r="E505" s="12"/>
    </row>
    <row r="506" ht="15.75" customHeight="1">
      <c r="A506" s="12"/>
      <c r="B506" s="12"/>
      <c r="C506" s="12"/>
      <c r="D506" s="12"/>
      <c r="E506" s="12"/>
    </row>
    <row r="507" ht="15.75" customHeight="1">
      <c r="A507" s="12"/>
      <c r="B507" s="12"/>
      <c r="C507" s="12"/>
      <c r="D507" s="12"/>
      <c r="E507" s="12"/>
    </row>
    <row r="508" ht="15.75" customHeight="1">
      <c r="A508" s="12"/>
      <c r="B508" s="12"/>
      <c r="C508" s="12"/>
      <c r="D508" s="12"/>
      <c r="E508" s="12"/>
    </row>
    <row r="509" ht="15.75" customHeight="1">
      <c r="A509" s="12"/>
      <c r="B509" s="12"/>
      <c r="C509" s="12"/>
      <c r="D509" s="12"/>
      <c r="E509" s="12"/>
    </row>
    <row r="510" ht="15.75" customHeight="1">
      <c r="A510" s="12"/>
      <c r="B510" s="12"/>
      <c r="C510" s="12"/>
      <c r="D510" s="12"/>
      <c r="E510" s="12"/>
    </row>
    <row r="511" ht="15.75" customHeight="1">
      <c r="A511" s="12"/>
      <c r="B511" s="12"/>
      <c r="C511" s="12"/>
      <c r="D511" s="12"/>
      <c r="E511" s="12"/>
    </row>
    <row r="512" ht="15.75" customHeight="1">
      <c r="A512" s="12"/>
      <c r="B512" s="12"/>
      <c r="C512" s="12"/>
      <c r="D512" s="12"/>
      <c r="E512" s="12"/>
    </row>
    <row r="513" ht="15.75" customHeight="1">
      <c r="A513" s="12"/>
      <c r="B513" s="12"/>
      <c r="C513" s="12"/>
      <c r="D513" s="12"/>
      <c r="E513" s="12"/>
    </row>
    <row r="514" ht="15.75" customHeight="1">
      <c r="A514" s="12"/>
      <c r="B514" s="12"/>
      <c r="C514" s="12"/>
      <c r="D514" s="12"/>
      <c r="E514" s="12"/>
    </row>
    <row r="515" ht="15.75" customHeight="1">
      <c r="A515" s="12"/>
      <c r="B515" s="12"/>
      <c r="C515" s="12"/>
      <c r="D515" s="12"/>
      <c r="E515" s="12"/>
    </row>
    <row r="516" ht="15.75" customHeight="1">
      <c r="A516" s="12"/>
      <c r="B516" s="12"/>
      <c r="C516" s="12"/>
      <c r="D516" s="12"/>
      <c r="E516" s="12"/>
    </row>
    <row r="517" ht="15.75" customHeight="1">
      <c r="A517" s="12"/>
      <c r="B517" s="12"/>
      <c r="C517" s="12"/>
      <c r="D517" s="12"/>
      <c r="E517" s="12"/>
    </row>
    <row r="518" ht="15.75" customHeight="1">
      <c r="A518" s="12"/>
      <c r="B518" s="12"/>
      <c r="C518" s="12"/>
      <c r="D518" s="12"/>
      <c r="E518" s="12"/>
    </row>
    <row r="519" ht="15.75" customHeight="1">
      <c r="A519" s="12"/>
      <c r="B519" s="12"/>
      <c r="C519" s="12"/>
      <c r="D519" s="12"/>
      <c r="E519" s="12"/>
    </row>
    <row r="520" ht="15.75" customHeight="1">
      <c r="A520" s="12"/>
      <c r="B520" s="12"/>
      <c r="C520" s="12"/>
      <c r="D520" s="12"/>
      <c r="E520" s="12"/>
    </row>
    <row r="521" ht="15.75" customHeight="1">
      <c r="A521" s="12"/>
      <c r="B521" s="12"/>
      <c r="C521" s="12"/>
      <c r="D521" s="12"/>
      <c r="E521" s="12"/>
    </row>
    <row r="522" ht="15.75" customHeight="1">
      <c r="A522" s="12"/>
      <c r="B522" s="12"/>
      <c r="C522" s="12"/>
      <c r="D522" s="12"/>
      <c r="E522" s="12"/>
    </row>
    <row r="523" ht="15.75" customHeight="1">
      <c r="A523" s="12"/>
      <c r="B523" s="12"/>
      <c r="C523" s="12"/>
      <c r="D523" s="12"/>
      <c r="E523" s="12"/>
    </row>
    <row r="524" ht="15.75" customHeight="1">
      <c r="A524" s="12"/>
      <c r="B524" s="12"/>
      <c r="C524" s="12"/>
      <c r="D524" s="12"/>
      <c r="E524" s="12"/>
    </row>
    <row r="525" ht="15.75" customHeight="1">
      <c r="A525" s="12"/>
      <c r="B525" s="12"/>
      <c r="C525" s="12"/>
      <c r="D525" s="12"/>
      <c r="E525" s="12"/>
    </row>
    <row r="526" ht="15.75" customHeight="1">
      <c r="A526" s="12"/>
      <c r="B526" s="12"/>
      <c r="C526" s="12"/>
      <c r="D526" s="12"/>
      <c r="E526" s="12"/>
    </row>
    <row r="527" ht="15.75" customHeight="1">
      <c r="A527" s="12"/>
      <c r="B527" s="12"/>
      <c r="C527" s="12"/>
      <c r="D527" s="12"/>
      <c r="E527" s="12"/>
    </row>
    <row r="528" ht="15.75" customHeight="1">
      <c r="A528" s="12"/>
      <c r="B528" s="12"/>
      <c r="C528" s="12"/>
      <c r="D528" s="12"/>
      <c r="E528" s="12"/>
    </row>
    <row r="529" ht="15.75" customHeight="1">
      <c r="A529" s="12"/>
      <c r="B529" s="12"/>
      <c r="C529" s="12"/>
      <c r="D529" s="12"/>
      <c r="E529" s="12"/>
    </row>
    <row r="530" ht="15.75" customHeight="1">
      <c r="A530" s="12"/>
      <c r="B530" s="12"/>
      <c r="C530" s="12"/>
      <c r="D530" s="12"/>
      <c r="E530" s="12"/>
    </row>
    <row r="531" ht="15.75" customHeight="1">
      <c r="A531" s="12"/>
      <c r="B531" s="12"/>
      <c r="C531" s="12"/>
      <c r="D531" s="12"/>
      <c r="E531" s="12"/>
    </row>
    <row r="532" ht="15.75" customHeight="1">
      <c r="A532" s="12"/>
      <c r="B532" s="12"/>
      <c r="C532" s="12"/>
      <c r="D532" s="12"/>
      <c r="E532" s="12"/>
    </row>
    <row r="533" ht="15.75" customHeight="1">
      <c r="A533" s="12"/>
      <c r="B533" s="12"/>
      <c r="C533" s="12"/>
      <c r="D533" s="12"/>
      <c r="E533" s="12"/>
    </row>
    <row r="534" ht="15.75" customHeight="1">
      <c r="A534" s="12"/>
      <c r="B534" s="12"/>
      <c r="C534" s="12"/>
      <c r="D534" s="12"/>
      <c r="E534" s="12"/>
    </row>
    <row r="535" ht="15.75" customHeight="1">
      <c r="A535" s="12"/>
      <c r="B535" s="12"/>
      <c r="C535" s="12"/>
      <c r="D535" s="12"/>
      <c r="E535" s="12"/>
    </row>
    <row r="536" ht="15.75" customHeight="1">
      <c r="A536" s="12"/>
      <c r="B536" s="12"/>
      <c r="C536" s="12"/>
      <c r="D536" s="12"/>
      <c r="E536" s="12"/>
    </row>
    <row r="537" ht="15.75" customHeight="1">
      <c r="A537" s="12"/>
      <c r="B537" s="12"/>
      <c r="C537" s="12"/>
      <c r="D537" s="12"/>
      <c r="E537" s="12"/>
    </row>
    <row r="538" ht="15.75" customHeight="1">
      <c r="A538" s="12"/>
      <c r="B538" s="12"/>
      <c r="C538" s="12"/>
      <c r="D538" s="12"/>
      <c r="E538" s="12"/>
    </row>
    <row r="539" ht="15.75" customHeight="1">
      <c r="A539" s="12"/>
      <c r="B539" s="12"/>
      <c r="C539" s="12"/>
      <c r="D539" s="12"/>
      <c r="E539" s="12"/>
    </row>
    <row r="540" ht="15.75" customHeight="1">
      <c r="A540" s="12"/>
      <c r="B540" s="12"/>
      <c r="C540" s="12"/>
      <c r="D540" s="12"/>
      <c r="E540" s="12"/>
    </row>
    <row r="541" ht="15.75" customHeight="1">
      <c r="A541" s="12"/>
      <c r="B541" s="12"/>
      <c r="C541" s="12"/>
      <c r="D541" s="12"/>
      <c r="E541" s="12"/>
    </row>
    <row r="542" ht="15.75" customHeight="1">
      <c r="A542" s="12"/>
      <c r="B542" s="12"/>
      <c r="C542" s="12"/>
      <c r="D542" s="12"/>
      <c r="E542" s="12"/>
    </row>
    <row r="543" ht="15.75" customHeight="1">
      <c r="A543" s="12"/>
      <c r="B543" s="12"/>
      <c r="C543" s="12"/>
      <c r="D543" s="12"/>
      <c r="E543" s="12"/>
    </row>
    <row r="544" ht="15.75" customHeight="1">
      <c r="A544" s="12"/>
      <c r="B544" s="12"/>
      <c r="C544" s="12"/>
      <c r="D544" s="12"/>
      <c r="E544" s="12"/>
    </row>
    <row r="545" ht="15.75" customHeight="1">
      <c r="A545" s="12"/>
      <c r="B545" s="12"/>
      <c r="C545" s="12"/>
      <c r="D545" s="12"/>
      <c r="E545" s="12"/>
    </row>
    <row r="546" ht="15.75" customHeight="1">
      <c r="A546" s="12"/>
      <c r="B546" s="12"/>
      <c r="C546" s="12"/>
      <c r="D546" s="12"/>
      <c r="E546" s="12"/>
    </row>
    <row r="547" ht="15.75" customHeight="1">
      <c r="A547" s="12"/>
      <c r="B547" s="12"/>
      <c r="C547" s="12"/>
      <c r="D547" s="12"/>
      <c r="E547" s="12"/>
    </row>
    <row r="548" ht="15.75" customHeight="1">
      <c r="A548" s="12"/>
      <c r="B548" s="12"/>
      <c r="C548" s="12"/>
      <c r="D548" s="12"/>
      <c r="E548" s="12"/>
    </row>
    <row r="549" ht="15.75" customHeight="1">
      <c r="A549" s="12"/>
      <c r="B549" s="12"/>
      <c r="C549" s="12"/>
      <c r="D549" s="12"/>
      <c r="E549" s="12"/>
    </row>
    <row r="550" ht="15.75" customHeight="1">
      <c r="A550" s="12"/>
      <c r="B550" s="12"/>
      <c r="C550" s="12"/>
      <c r="D550" s="12"/>
      <c r="E550" s="12"/>
    </row>
    <row r="551" ht="15.75" customHeight="1">
      <c r="A551" s="12"/>
      <c r="B551" s="12"/>
      <c r="C551" s="12"/>
      <c r="D551" s="12"/>
      <c r="E551" s="12"/>
    </row>
    <row r="552" ht="15.75" customHeight="1">
      <c r="A552" s="12"/>
      <c r="B552" s="12"/>
      <c r="C552" s="12"/>
      <c r="D552" s="12"/>
      <c r="E552" s="12"/>
    </row>
    <row r="553" ht="15.75" customHeight="1">
      <c r="A553" s="12"/>
      <c r="B553" s="12"/>
      <c r="C553" s="12"/>
      <c r="D553" s="12"/>
      <c r="E553" s="12"/>
    </row>
    <row r="554" ht="15.75" customHeight="1">
      <c r="A554" s="12"/>
      <c r="B554" s="12"/>
      <c r="C554" s="12"/>
      <c r="D554" s="12"/>
      <c r="E554" s="12"/>
    </row>
    <row r="555" ht="15.75" customHeight="1">
      <c r="A555" s="12"/>
      <c r="B555" s="12"/>
      <c r="C555" s="12"/>
      <c r="D555" s="12"/>
      <c r="E555" s="12"/>
    </row>
    <row r="556" ht="15.75" customHeight="1">
      <c r="A556" s="12"/>
      <c r="B556" s="12"/>
      <c r="C556" s="12"/>
      <c r="D556" s="12"/>
      <c r="E556" s="12"/>
    </row>
    <row r="557" ht="15.75" customHeight="1">
      <c r="A557" s="12"/>
      <c r="B557" s="12"/>
      <c r="C557" s="12"/>
      <c r="D557" s="12"/>
      <c r="E557" s="12"/>
    </row>
    <row r="558" ht="15.75" customHeight="1">
      <c r="A558" s="12"/>
      <c r="B558" s="12"/>
      <c r="C558" s="12"/>
      <c r="D558" s="12"/>
      <c r="E558" s="12"/>
    </row>
    <row r="559" ht="15.75" customHeight="1">
      <c r="A559" s="12"/>
      <c r="B559" s="12"/>
      <c r="C559" s="12"/>
      <c r="D559" s="12"/>
      <c r="E559" s="12"/>
    </row>
    <row r="560" ht="15.75" customHeight="1">
      <c r="A560" s="12"/>
      <c r="B560" s="12"/>
      <c r="C560" s="12"/>
      <c r="D560" s="12"/>
      <c r="E560" s="12"/>
    </row>
    <row r="561" ht="15.75" customHeight="1">
      <c r="A561" s="12"/>
      <c r="B561" s="12"/>
      <c r="C561" s="12"/>
      <c r="D561" s="12"/>
      <c r="E561" s="12"/>
    </row>
    <row r="562" ht="15.75" customHeight="1">
      <c r="A562" s="12"/>
      <c r="B562" s="12"/>
      <c r="C562" s="12"/>
      <c r="D562" s="12"/>
      <c r="E562" s="12"/>
    </row>
    <row r="563" ht="15.75" customHeight="1">
      <c r="A563" s="12"/>
      <c r="B563" s="12"/>
      <c r="C563" s="12"/>
      <c r="D563" s="12"/>
      <c r="E563" s="12"/>
    </row>
    <row r="564" ht="15.75" customHeight="1">
      <c r="A564" s="12"/>
      <c r="B564" s="12"/>
      <c r="C564" s="12"/>
      <c r="D564" s="12"/>
      <c r="E564" s="12"/>
    </row>
    <row r="565" ht="15.75" customHeight="1">
      <c r="A565" s="12"/>
      <c r="B565" s="12"/>
      <c r="C565" s="12"/>
      <c r="D565" s="12"/>
      <c r="E565" s="12"/>
    </row>
    <row r="566" ht="15.75" customHeight="1">
      <c r="A566" s="12"/>
      <c r="B566" s="12"/>
      <c r="C566" s="12"/>
      <c r="D566" s="12"/>
      <c r="E566" s="12"/>
    </row>
    <row r="567" ht="15.75" customHeight="1">
      <c r="A567" s="12"/>
      <c r="B567" s="12"/>
      <c r="C567" s="12"/>
      <c r="D567" s="12"/>
      <c r="E567" s="12"/>
    </row>
    <row r="568" ht="15.75" customHeight="1">
      <c r="A568" s="12"/>
      <c r="B568" s="12"/>
      <c r="C568" s="12"/>
      <c r="D568" s="12"/>
      <c r="E568" s="12"/>
    </row>
    <row r="569" ht="15.75" customHeight="1">
      <c r="A569" s="12"/>
      <c r="B569" s="12"/>
      <c r="C569" s="12"/>
      <c r="D569" s="12"/>
      <c r="E569" s="12"/>
    </row>
    <row r="570" ht="15.75" customHeight="1">
      <c r="A570" s="12"/>
      <c r="B570" s="12"/>
      <c r="C570" s="12"/>
      <c r="D570" s="12"/>
      <c r="E570" s="12"/>
    </row>
    <row r="571" ht="15.75" customHeight="1">
      <c r="A571" s="12"/>
      <c r="B571" s="12"/>
      <c r="C571" s="12"/>
      <c r="D571" s="12"/>
      <c r="E571" s="12"/>
    </row>
    <row r="572" ht="15.75" customHeight="1">
      <c r="A572" s="12"/>
      <c r="B572" s="12"/>
      <c r="C572" s="12"/>
      <c r="D572" s="12"/>
      <c r="E572" s="12"/>
    </row>
    <row r="573" ht="15.75" customHeight="1">
      <c r="A573" s="12"/>
      <c r="B573" s="12"/>
      <c r="C573" s="12"/>
      <c r="D573" s="12"/>
      <c r="E573" s="12"/>
    </row>
    <row r="574" ht="15.75" customHeight="1">
      <c r="A574" s="12"/>
      <c r="B574" s="12"/>
      <c r="C574" s="12"/>
      <c r="D574" s="12"/>
      <c r="E574" s="12"/>
    </row>
    <row r="575" ht="15.75" customHeight="1">
      <c r="A575" s="12"/>
      <c r="B575" s="12"/>
      <c r="C575" s="12"/>
      <c r="D575" s="12"/>
      <c r="E575" s="12"/>
    </row>
    <row r="576" ht="15.75" customHeight="1">
      <c r="A576" s="12"/>
      <c r="B576" s="12"/>
      <c r="C576" s="12"/>
      <c r="D576" s="12"/>
      <c r="E576" s="12"/>
    </row>
    <row r="577" ht="15.75" customHeight="1">
      <c r="A577" s="12"/>
      <c r="B577" s="12"/>
      <c r="C577" s="12"/>
      <c r="D577" s="12"/>
      <c r="E577" s="12"/>
    </row>
    <row r="578" ht="15.75" customHeight="1">
      <c r="A578" s="12"/>
      <c r="B578" s="12"/>
      <c r="C578" s="12"/>
      <c r="D578" s="12"/>
      <c r="E578" s="12"/>
    </row>
    <row r="579" ht="15.75" customHeight="1">
      <c r="A579" s="12"/>
      <c r="B579" s="12"/>
      <c r="C579" s="12"/>
      <c r="D579" s="12"/>
      <c r="E579" s="12"/>
    </row>
    <row r="580" ht="15.75" customHeight="1">
      <c r="A580" s="12"/>
      <c r="B580" s="12"/>
      <c r="C580" s="12"/>
      <c r="D580" s="12"/>
      <c r="E580" s="12"/>
    </row>
    <row r="581" ht="15.75" customHeight="1">
      <c r="A581" s="12"/>
      <c r="B581" s="12"/>
      <c r="C581" s="12"/>
      <c r="D581" s="12"/>
      <c r="E581" s="12"/>
    </row>
    <row r="582" ht="15.75" customHeight="1">
      <c r="A582" s="12"/>
      <c r="B582" s="12"/>
      <c r="C582" s="12"/>
      <c r="D582" s="12"/>
      <c r="E582" s="12"/>
    </row>
    <row r="583" ht="15.75" customHeight="1">
      <c r="A583" s="12"/>
      <c r="B583" s="12"/>
      <c r="C583" s="12"/>
      <c r="D583" s="12"/>
      <c r="E583" s="12"/>
    </row>
    <row r="584" ht="15.75" customHeight="1">
      <c r="A584" s="12"/>
      <c r="B584" s="12"/>
      <c r="C584" s="12"/>
      <c r="D584" s="12"/>
      <c r="E584" s="12"/>
    </row>
    <row r="585" ht="15.75" customHeight="1">
      <c r="A585" s="12"/>
      <c r="B585" s="12"/>
      <c r="C585" s="12"/>
      <c r="D585" s="12"/>
      <c r="E585" s="12"/>
    </row>
    <row r="586" ht="15.75" customHeight="1">
      <c r="A586" s="12"/>
      <c r="B586" s="12"/>
      <c r="C586" s="12"/>
      <c r="D586" s="12"/>
      <c r="E586" s="12"/>
    </row>
    <row r="587" ht="15.75" customHeight="1">
      <c r="A587" s="12"/>
      <c r="B587" s="12"/>
      <c r="C587" s="12"/>
      <c r="D587" s="12"/>
      <c r="E587" s="12"/>
    </row>
    <row r="588" ht="15.75" customHeight="1">
      <c r="A588" s="12"/>
      <c r="B588" s="12"/>
      <c r="C588" s="12"/>
      <c r="D588" s="12"/>
      <c r="E588" s="12"/>
    </row>
    <row r="589" ht="15.75" customHeight="1">
      <c r="A589" s="12"/>
      <c r="B589" s="12"/>
      <c r="C589" s="12"/>
      <c r="D589" s="12"/>
      <c r="E589" s="12"/>
    </row>
    <row r="590" ht="15.75" customHeight="1">
      <c r="A590" s="12"/>
      <c r="B590" s="12"/>
      <c r="C590" s="12"/>
      <c r="D590" s="12"/>
      <c r="E590" s="12"/>
    </row>
    <row r="591" ht="15.75" customHeight="1">
      <c r="A591" s="12"/>
      <c r="B591" s="12"/>
      <c r="C591" s="12"/>
      <c r="D591" s="12"/>
      <c r="E591" s="12"/>
    </row>
    <row r="592" ht="15.75" customHeight="1">
      <c r="A592" s="12"/>
      <c r="B592" s="12"/>
      <c r="C592" s="12"/>
      <c r="D592" s="12"/>
      <c r="E592" s="12"/>
    </row>
    <row r="593" ht="15.75" customHeight="1">
      <c r="A593" s="12"/>
      <c r="B593" s="12"/>
      <c r="C593" s="12"/>
      <c r="D593" s="12"/>
      <c r="E593" s="12"/>
    </row>
    <row r="594" ht="15.75" customHeight="1">
      <c r="A594" s="12"/>
      <c r="B594" s="12"/>
      <c r="C594" s="12"/>
      <c r="D594" s="12"/>
      <c r="E594" s="12"/>
    </row>
    <row r="595" ht="15.75" customHeight="1">
      <c r="A595" s="12"/>
      <c r="B595" s="12"/>
      <c r="C595" s="12"/>
      <c r="D595" s="12"/>
      <c r="E595" s="12"/>
    </row>
    <row r="596" ht="15.75" customHeight="1">
      <c r="A596" s="12"/>
      <c r="B596" s="12"/>
      <c r="C596" s="12"/>
      <c r="D596" s="12"/>
      <c r="E596" s="12"/>
    </row>
    <row r="597" ht="15.75" customHeight="1">
      <c r="A597" s="12"/>
      <c r="B597" s="12"/>
      <c r="C597" s="12"/>
      <c r="D597" s="12"/>
      <c r="E597" s="12"/>
    </row>
    <row r="598" ht="15.75" customHeight="1">
      <c r="A598" s="12"/>
      <c r="B598" s="12"/>
      <c r="C598" s="12"/>
      <c r="D598" s="12"/>
      <c r="E598" s="12"/>
    </row>
    <row r="599" ht="15.75" customHeight="1">
      <c r="A599" s="12"/>
      <c r="B599" s="12"/>
      <c r="C599" s="12"/>
      <c r="D599" s="12"/>
      <c r="E599" s="12"/>
    </row>
    <row r="600" ht="15.75" customHeight="1">
      <c r="A600" s="12"/>
      <c r="B600" s="12"/>
      <c r="C600" s="12"/>
      <c r="D600" s="12"/>
      <c r="E600" s="12"/>
    </row>
    <row r="601" ht="15.75" customHeight="1">
      <c r="A601" s="12"/>
      <c r="B601" s="12"/>
      <c r="C601" s="12"/>
      <c r="D601" s="12"/>
      <c r="E601" s="12"/>
    </row>
    <row r="602" ht="15.75" customHeight="1">
      <c r="A602" s="12"/>
      <c r="B602" s="12"/>
      <c r="C602" s="12"/>
      <c r="D602" s="12"/>
      <c r="E602" s="12"/>
    </row>
    <row r="603" ht="15.75" customHeight="1">
      <c r="A603" s="12"/>
      <c r="B603" s="12"/>
      <c r="C603" s="12"/>
      <c r="D603" s="12"/>
      <c r="E603" s="12"/>
    </row>
    <row r="604" ht="15.75" customHeight="1">
      <c r="A604" s="12"/>
      <c r="B604" s="12"/>
      <c r="C604" s="12"/>
      <c r="D604" s="12"/>
      <c r="E604" s="12"/>
    </row>
    <row r="605" ht="15.75" customHeight="1">
      <c r="A605" s="12"/>
      <c r="B605" s="12"/>
      <c r="C605" s="12"/>
      <c r="D605" s="12"/>
      <c r="E605" s="12"/>
    </row>
    <row r="606" ht="15.75" customHeight="1">
      <c r="A606" s="12"/>
      <c r="B606" s="12"/>
      <c r="C606" s="12"/>
      <c r="D606" s="12"/>
      <c r="E606" s="12"/>
    </row>
    <row r="607" ht="15.75" customHeight="1">
      <c r="A607" s="12"/>
      <c r="B607" s="12"/>
      <c r="C607" s="12"/>
      <c r="D607" s="12"/>
      <c r="E607" s="12"/>
    </row>
    <row r="608" ht="15.75" customHeight="1">
      <c r="A608" s="12"/>
      <c r="B608" s="12"/>
      <c r="C608" s="12"/>
      <c r="D608" s="12"/>
      <c r="E608" s="12"/>
    </row>
    <row r="609" ht="15.75" customHeight="1">
      <c r="A609" s="12"/>
      <c r="B609" s="12"/>
      <c r="C609" s="12"/>
      <c r="D609" s="12"/>
      <c r="E609" s="12"/>
    </row>
    <row r="610" ht="15.75" customHeight="1">
      <c r="A610" s="12"/>
      <c r="B610" s="12"/>
      <c r="C610" s="12"/>
      <c r="D610" s="12"/>
      <c r="E610" s="12"/>
    </row>
    <row r="611" ht="15.75" customHeight="1">
      <c r="A611" s="12"/>
      <c r="B611" s="12"/>
      <c r="C611" s="12"/>
      <c r="D611" s="12"/>
      <c r="E611" s="12"/>
    </row>
    <row r="612" ht="15.75" customHeight="1">
      <c r="A612" s="12"/>
      <c r="B612" s="12"/>
      <c r="C612" s="12"/>
      <c r="D612" s="12"/>
      <c r="E612" s="12"/>
    </row>
    <row r="613" ht="15.75" customHeight="1">
      <c r="A613" s="12"/>
      <c r="B613" s="12"/>
      <c r="C613" s="12"/>
      <c r="D613" s="12"/>
      <c r="E613" s="12"/>
    </row>
    <row r="614" ht="15.75" customHeight="1">
      <c r="A614" s="12"/>
      <c r="B614" s="12"/>
      <c r="C614" s="12"/>
      <c r="D614" s="12"/>
      <c r="E614" s="12"/>
    </row>
    <row r="615" ht="15.75" customHeight="1">
      <c r="A615" s="12"/>
      <c r="B615" s="12"/>
      <c r="C615" s="12"/>
      <c r="D615" s="12"/>
      <c r="E615" s="12"/>
    </row>
    <row r="616" ht="15.75" customHeight="1">
      <c r="A616" s="12"/>
      <c r="B616" s="12"/>
      <c r="C616" s="12"/>
      <c r="D616" s="12"/>
      <c r="E616" s="12"/>
    </row>
    <row r="617" ht="15.75" customHeight="1">
      <c r="A617" s="12"/>
      <c r="B617" s="12"/>
      <c r="C617" s="12"/>
      <c r="D617" s="12"/>
      <c r="E617" s="12"/>
    </row>
    <row r="618" ht="15.75" customHeight="1">
      <c r="A618" s="12"/>
      <c r="B618" s="12"/>
      <c r="C618" s="12"/>
      <c r="D618" s="12"/>
      <c r="E618" s="12"/>
    </row>
    <row r="619" ht="15.75" customHeight="1">
      <c r="A619" s="12"/>
      <c r="B619" s="12"/>
      <c r="C619" s="12"/>
      <c r="D619" s="12"/>
      <c r="E619" s="12"/>
    </row>
    <row r="620" ht="15.75" customHeight="1">
      <c r="A620" s="12"/>
      <c r="B620" s="12"/>
      <c r="C620" s="12"/>
      <c r="D620" s="12"/>
      <c r="E620" s="12"/>
    </row>
    <row r="621" ht="15.75" customHeight="1">
      <c r="A621" s="12"/>
      <c r="B621" s="12"/>
      <c r="C621" s="12"/>
      <c r="D621" s="12"/>
      <c r="E621" s="12"/>
    </row>
    <row r="622" ht="15.75" customHeight="1">
      <c r="A622" s="12"/>
      <c r="B622" s="12"/>
      <c r="C622" s="12"/>
      <c r="D622" s="12"/>
      <c r="E622" s="12"/>
    </row>
    <row r="623" ht="15.75" customHeight="1">
      <c r="A623" s="12"/>
      <c r="B623" s="12"/>
      <c r="C623" s="12"/>
      <c r="D623" s="12"/>
      <c r="E623" s="12"/>
    </row>
    <row r="624" ht="15.75" customHeight="1">
      <c r="A624" s="12"/>
      <c r="B624" s="12"/>
      <c r="C624" s="12"/>
      <c r="D624" s="12"/>
      <c r="E624" s="12"/>
    </row>
    <row r="625" ht="15.75" customHeight="1">
      <c r="A625" s="12"/>
      <c r="B625" s="12"/>
      <c r="C625" s="12"/>
      <c r="D625" s="12"/>
      <c r="E625" s="12"/>
    </row>
    <row r="626" ht="15.75" customHeight="1">
      <c r="A626" s="12"/>
      <c r="B626" s="12"/>
      <c r="C626" s="12"/>
      <c r="D626" s="12"/>
      <c r="E626" s="12"/>
    </row>
    <row r="627" ht="15.75" customHeight="1">
      <c r="A627" s="12"/>
      <c r="B627" s="12"/>
      <c r="C627" s="12"/>
      <c r="D627" s="12"/>
      <c r="E627" s="12"/>
    </row>
    <row r="628" ht="15.75" customHeight="1">
      <c r="A628" s="12"/>
      <c r="B628" s="12"/>
      <c r="C628" s="12"/>
      <c r="D628" s="12"/>
      <c r="E628" s="12"/>
    </row>
    <row r="629" ht="15.75" customHeight="1">
      <c r="A629" s="12"/>
      <c r="B629" s="12"/>
      <c r="C629" s="12"/>
      <c r="D629" s="12"/>
      <c r="E629" s="12"/>
    </row>
    <row r="630" ht="15.75" customHeight="1">
      <c r="A630" s="12"/>
      <c r="B630" s="12"/>
      <c r="C630" s="12"/>
      <c r="D630" s="12"/>
      <c r="E630" s="12"/>
    </row>
    <row r="631" ht="15.75" customHeight="1">
      <c r="A631" s="12"/>
      <c r="B631" s="12"/>
      <c r="C631" s="12"/>
      <c r="D631" s="12"/>
      <c r="E631" s="12"/>
    </row>
    <row r="632" ht="15.75" customHeight="1">
      <c r="A632" s="12"/>
      <c r="B632" s="12"/>
      <c r="C632" s="12"/>
      <c r="D632" s="12"/>
      <c r="E632" s="12"/>
    </row>
    <row r="633" ht="15.75" customHeight="1">
      <c r="A633" s="12"/>
      <c r="B633" s="12"/>
      <c r="C633" s="12"/>
      <c r="D633" s="12"/>
      <c r="E633" s="12"/>
    </row>
    <row r="634" ht="15.75" customHeight="1">
      <c r="A634" s="12"/>
      <c r="B634" s="12"/>
      <c r="C634" s="12"/>
      <c r="D634" s="12"/>
      <c r="E634" s="12"/>
    </row>
    <row r="635" ht="15.75" customHeight="1">
      <c r="A635" s="12"/>
      <c r="B635" s="12"/>
      <c r="C635" s="12"/>
      <c r="D635" s="12"/>
      <c r="E635" s="12"/>
    </row>
    <row r="636" ht="15.75" customHeight="1">
      <c r="A636" s="12"/>
      <c r="B636" s="12"/>
      <c r="C636" s="12"/>
      <c r="D636" s="12"/>
      <c r="E636" s="12"/>
    </row>
    <row r="637" ht="15.75" customHeight="1">
      <c r="A637" s="12"/>
      <c r="B637" s="12"/>
      <c r="C637" s="12"/>
      <c r="D637" s="12"/>
      <c r="E637" s="12"/>
    </row>
    <row r="638" ht="15.75" customHeight="1">
      <c r="A638" s="12"/>
      <c r="B638" s="12"/>
      <c r="C638" s="12"/>
      <c r="D638" s="12"/>
      <c r="E638" s="12"/>
    </row>
    <row r="639" ht="15.75" customHeight="1">
      <c r="A639" s="12"/>
      <c r="B639" s="12"/>
      <c r="C639" s="12"/>
      <c r="D639" s="12"/>
      <c r="E639" s="12"/>
    </row>
    <row r="640" ht="15.75" customHeight="1">
      <c r="A640" s="12"/>
      <c r="B640" s="12"/>
      <c r="C640" s="12"/>
      <c r="D640" s="12"/>
      <c r="E640" s="12"/>
    </row>
    <row r="641" ht="15.75" customHeight="1">
      <c r="A641" s="12"/>
      <c r="B641" s="12"/>
      <c r="C641" s="12"/>
      <c r="D641" s="12"/>
      <c r="E641" s="12"/>
    </row>
    <row r="642" ht="15.75" customHeight="1">
      <c r="A642" s="12"/>
      <c r="B642" s="12"/>
      <c r="C642" s="12"/>
      <c r="D642" s="12"/>
      <c r="E642" s="12"/>
    </row>
    <row r="643" ht="15.75" customHeight="1">
      <c r="A643" s="12"/>
      <c r="B643" s="12"/>
      <c r="C643" s="12"/>
      <c r="D643" s="12"/>
      <c r="E643" s="12"/>
    </row>
    <row r="644" ht="15.75" customHeight="1">
      <c r="A644" s="12"/>
      <c r="B644" s="12"/>
      <c r="C644" s="12"/>
      <c r="D644" s="12"/>
      <c r="E644" s="12"/>
    </row>
    <row r="645" ht="15.75" customHeight="1">
      <c r="A645" s="12"/>
      <c r="B645" s="12"/>
      <c r="C645" s="12"/>
      <c r="D645" s="12"/>
      <c r="E645" s="12"/>
    </row>
    <row r="646" ht="15.75" customHeight="1">
      <c r="A646" s="12"/>
      <c r="B646" s="12"/>
      <c r="C646" s="12"/>
      <c r="D646" s="12"/>
      <c r="E646" s="12"/>
    </row>
    <row r="647" ht="15.75" customHeight="1">
      <c r="A647" s="12"/>
      <c r="B647" s="12"/>
      <c r="C647" s="12"/>
      <c r="D647" s="12"/>
      <c r="E647" s="12"/>
    </row>
    <row r="648" ht="15.75" customHeight="1">
      <c r="A648" s="12"/>
      <c r="B648" s="12"/>
      <c r="C648" s="12"/>
      <c r="D648" s="12"/>
      <c r="E648" s="12"/>
    </row>
    <row r="649" ht="15.75" customHeight="1">
      <c r="A649" s="12"/>
      <c r="B649" s="12"/>
      <c r="C649" s="12"/>
      <c r="D649" s="12"/>
      <c r="E649" s="12"/>
    </row>
    <row r="650" ht="15.75" customHeight="1">
      <c r="A650" s="12"/>
      <c r="B650" s="12"/>
      <c r="C650" s="12"/>
      <c r="D650" s="12"/>
      <c r="E650" s="12"/>
    </row>
    <row r="651" ht="15.75" customHeight="1">
      <c r="A651" s="12"/>
      <c r="B651" s="12"/>
      <c r="C651" s="12"/>
      <c r="D651" s="12"/>
      <c r="E651" s="12"/>
    </row>
    <row r="652" ht="15.75" customHeight="1">
      <c r="A652" s="12"/>
      <c r="B652" s="12"/>
      <c r="C652" s="12"/>
      <c r="D652" s="12"/>
      <c r="E652" s="12"/>
    </row>
    <row r="653" ht="15.75" customHeight="1">
      <c r="A653" s="12"/>
      <c r="B653" s="12"/>
      <c r="C653" s="12"/>
      <c r="D653" s="12"/>
      <c r="E653" s="12"/>
    </row>
    <row r="654" ht="15.75" customHeight="1">
      <c r="A654" s="12"/>
      <c r="B654" s="12"/>
      <c r="C654" s="12"/>
      <c r="D654" s="12"/>
      <c r="E654" s="12"/>
    </row>
    <row r="655" ht="15.75" customHeight="1">
      <c r="A655" s="12"/>
      <c r="B655" s="12"/>
      <c r="C655" s="12"/>
      <c r="D655" s="12"/>
      <c r="E655" s="12"/>
    </row>
    <row r="656" ht="15.75" customHeight="1">
      <c r="A656" s="12"/>
      <c r="B656" s="12"/>
      <c r="C656" s="12"/>
      <c r="D656" s="12"/>
      <c r="E656" s="12"/>
    </row>
    <row r="657" ht="15.75" customHeight="1">
      <c r="A657" s="12"/>
      <c r="B657" s="12"/>
      <c r="C657" s="12"/>
      <c r="D657" s="12"/>
      <c r="E657" s="12"/>
    </row>
    <row r="658" ht="15.75" customHeight="1">
      <c r="A658" s="12"/>
      <c r="B658" s="12"/>
      <c r="C658" s="12"/>
      <c r="D658" s="12"/>
      <c r="E658" s="12"/>
    </row>
    <row r="659" ht="15.75" customHeight="1">
      <c r="A659" s="12"/>
      <c r="B659" s="12"/>
      <c r="C659" s="12"/>
      <c r="D659" s="12"/>
      <c r="E659" s="12"/>
    </row>
    <row r="660" ht="15.75" customHeight="1">
      <c r="A660" s="12"/>
      <c r="B660" s="12"/>
      <c r="C660" s="12"/>
      <c r="D660" s="12"/>
      <c r="E660" s="12"/>
    </row>
    <row r="661" ht="15.75" customHeight="1">
      <c r="A661" s="12"/>
      <c r="B661" s="12"/>
      <c r="C661" s="12"/>
      <c r="D661" s="12"/>
      <c r="E661" s="12"/>
    </row>
    <row r="662" ht="15.75" customHeight="1">
      <c r="A662" s="12"/>
      <c r="B662" s="12"/>
      <c r="C662" s="12"/>
      <c r="D662" s="12"/>
      <c r="E662" s="12"/>
    </row>
    <row r="663" ht="15.75" customHeight="1">
      <c r="A663" s="12"/>
      <c r="B663" s="12"/>
      <c r="C663" s="12"/>
      <c r="D663" s="12"/>
      <c r="E663" s="12"/>
    </row>
    <row r="664" ht="15.75" customHeight="1">
      <c r="A664" s="12"/>
      <c r="B664" s="12"/>
      <c r="C664" s="12"/>
      <c r="D664" s="12"/>
      <c r="E664" s="12"/>
    </row>
    <row r="665" ht="15.75" customHeight="1">
      <c r="A665" s="12"/>
      <c r="B665" s="12"/>
      <c r="C665" s="12"/>
      <c r="D665" s="12"/>
      <c r="E665" s="12"/>
    </row>
    <row r="666" ht="15.75" customHeight="1">
      <c r="A666" s="12"/>
      <c r="B666" s="12"/>
      <c r="C666" s="12"/>
      <c r="D666" s="12"/>
      <c r="E666" s="12"/>
    </row>
    <row r="667" ht="15.75" customHeight="1">
      <c r="A667" s="12"/>
      <c r="B667" s="12"/>
      <c r="C667" s="12"/>
      <c r="D667" s="12"/>
      <c r="E667" s="12"/>
    </row>
    <row r="668" ht="15.75" customHeight="1">
      <c r="A668" s="12"/>
      <c r="B668" s="12"/>
      <c r="C668" s="12"/>
      <c r="D668" s="12"/>
      <c r="E668" s="12"/>
    </row>
    <row r="669" ht="15.75" customHeight="1">
      <c r="A669" s="12"/>
      <c r="B669" s="12"/>
      <c r="C669" s="12"/>
      <c r="D669" s="12"/>
      <c r="E669" s="12"/>
    </row>
    <row r="670" ht="15.75" customHeight="1">
      <c r="A670" s="12"/>
      <c r="B670" s="12"/>
      <c r="C670" s="12"/>
      <c r="D670" s="12"/>
      <c r="E670" s="12"/>
    </row>
    <row r="671" ht="15.75" customHeight="1">
      <c r="A671" s="12"/>
      <c r="B671" s="12"/>
      <c r="C671" s="12"/>
      <c r="D671" s="12"/>
      <c r="E671" s="12"/>
    </row>
    <row r="672" ht="15.75" customHeight="1">
      <c r="A672" s="12"/>
      <c r="B672" s="12"/>
      <c r="C672" s="12"/>
      <c r="D672" s="12"/>
      <c r="E672" s="12"/>
    </row>
    <row r="673" ht="15.75" customHeight="1">
      <c r="A673" s="12"/>
      <c r="B673" s="12"/>
      <c r="C673" s="12"/>
      <c r="D673" s="12"/>
      <c r="E673" s="12"/>
    </row>
    <row r="674" ht="15.75" customHeight="1">
      <c r="A674" s="12"/>
      <c r="B674" s="12"/>
      <c r="C674" s="12"/>
      <c r="D674" s="12"/>
      <c r="E674" s="12"/>
    </row>
    <row r="675" ht="15.75" customHeight="1">
      <c r="A675" s="12"/>
      <c r="B675" s="12"/>
      <c r="C675" s="12"/>
      <c r="D675" s="12"/>
      <c r="E675" s="12"/>
    </row>
    <row r="676" ht="15.75" customHeight="1">
      <c r="A676" s="12"/>
      <c r="B676" s="12"/>
      <c r="C676" s="12"/>
      <c r="D676" s="12"/>
      <c r="E676" s="12"/>
    </row>
    <row r="677" ht="15.75" customHeight="1">
      <c r="A677" s="12"/>
      <c r="B677" s="12"/>
      <c r="C677" s="12"/>
      <c r="D677" s="12"/>
      <c r="E677" s="12"/>
    </row>
    <row r="678" ht="15.75" customHeight="1">
      <c r="A678" s="12"/>
      <c r="B678" s="12"/>
      <c r="C678" s="12"/>
      <c r="D678" s="12"/>
      <c r="E678" s="12"/>
    </row>
    <row r="679" ht="15.75" customHeight="1">
      <c r="A679" s="12"/>
      <c r="B679" s="12"/>
      <c r="C679" s="12"/>
      <c r="D679" s="12"/>
      <c r="E679" s="12"/>
    </row>
    <row r="680" ht="15.75" customHeight="1">
      <c r="A680" s="12"/>
      <c r="B680" s="12"/>
      <c r="C680" s="12"/>
      <c r="D680" s="12"/>
      <c r="E680" s="12"/>
    </row>
    <row r="681" ht="15.75" customHeight="1">
      <c r="A681" s="12"/>
      <c r="B681" s="12"/>
      <c r="C681" s="12"/>
      <c r="D681" s="12"/>
      <c r="E681" s="12"/>
    </row>
    <row r="682" ht="15.75" customHeight="1">
      <c r="A682" s="12"/>
      <c r="B682" s="12"/>
      <c r="C682" s="12"/>
      <c r="D682" s="12"/>
      <c r="E682" s="12"/>
    </row>
    <row r="683" ht="15.75" customHeight="1">
      <c r="A683" s="12"/>
      <c r="B683" s="12"/>
      <c r="C683" s="12"/>
      <c r="D683" s="12"/>
      <c r="E683" s="12"/>
    </row>
    <row r="684" ht="15.75" customHeight="1">
      <c r="A684" s="12"/>
      <c r="B684" s="12"/>
      <c r="C684" s="12"/>
      <c r="D684" s="12"/>
      <c r="E684" s="12"/>
    </row>
    <row r="685" ht="15.75" customHeight="1">
      <c r="A685" s="12"/>
      <c r="B685" s="12"/>
      <c r="C685" s="12"/>
      <c r="D685" s="12"/>
      <c r="E685" s="12"/>
    </row>
    <row r="686" ht="15.75" customHeight="1">
      <c r="A686" s="12"/>
      <c r="B686" s="12"/>
      <c r="C686" s="12"/>
      <c r="D686" s="12"/>
      <c r="E686" s="12"/>
    </row>
    <row r="687" ht="15.75" customHeight="1">
      <c r="A687" s="12"/>
      <c r="B687" s="12"/>
      <c r="C687" s="12"/>
      <c r="D687" s="12"/>
      <c r="E687" s="12"/>
    </row>
    <row r="688" ht="15.75" customHeight="1">
      <c r="A688" s="12"/>
      <c r="B688" s="12"/>
      <c r="C688" s="12"/>
      <c r="D688" s="12"/>
      <c r="E688" s="12"/>
    </row>
    <row r="689" ht="15.75" customHeight="1">
      <c r="A689" s="12"/>
      <c r="B689" s="12"/>
      <c r="C689" s="12"/>
      <c r="D689" s="12"/>
      <c r="E689" s="12"/>
    </row>
    <row r="690" ht="15.75" customHeight="1">
      <c r="A690" s="12"/>
      <c r="B690" s="12"/>
      <c r="C690" s="12"/>
      <c r="D690" s="12"/>
      <c r="E690" s="12"/>
    </row>
    <row r="691" ht="15.75" customHeight="1">
      <c r="A691" s="12"/>
      <c r="B691" s="12"/>
      <c r="C691" s="12"/>
      <c r="D691" s="12"/>
      <c r="E691" s="12"/>
    </row>
    <row r="692" ht="15.75" customHeight="1">
      <c r="A692" s="12"/>
      <c r="B692" s="12"/>
      <c r="C692" s="12"/>
      <c r="D692" s="12"/>
      <c r="E692" s="12"/>
    </row>
    <row r="693" ht="15.75" customHeight="1">
      <c r="A693" s="12"/>
      <c r="B693" s="12"/>
      <c r="C693" s="12"/>
      <c r="D693" s="12"/>
      <c r="E693" s="12"/>
    </row>
    <row r="694" ht="15.75" customHeight="1">
      <c r="A694" s="12"/>
      <c r="B694" s="12"/>
      <c r="C694" s="12"/>
      <c r="D694" s="12"/>
      <c r="E694" s="12"/>
    </row>
    <row r="695" ht="15.75" customHeight="1">
      <c r="A695" s="12"/>
      <c r="B695" s="12"/>
      <c r="C695" s="12"/>
      <c r="D695" s="12"/>
      <c r="E695" s="12"/>
    </row>
    <row r="696" ht="15.75" customHeight="1">
      <c r="A696" s="12"/>
      <c r="B696" s="12"/>
      <c r="C696" s="12"/>
      <c r="D696" s="12"/>
      <c r="E696" s="12"/>
    </row>
    <row r="697" ht="15.75" customHeight="1">
      <c r="A697" s="12"/>
      <c r="B697" s="12"/>
      <c r="C697" s="12"/>
      <c r="D697" s="12"/>
      <c r="E697" s="12"/>
    </row>
    <row r="698" ht="15.75" customHeight="1">
      <c r="A698" s="12"/>
      <c r="B698" s="12"/>
      <c r="C698" s="12"/>
      <c r="D698" s="12"/>
      <c r="E698" s="12"/>
    </row>
    <row r="699" ht="15.75" customHeight="1">
      <c r="A699" s="12"/>
      <c r="B699" s="12"/>
      <c r="C699" s="12"/>
      <c r="D699" s="12"/>
      <c r="E699" s="12"/>
    </row>
    <row r="700" ht="15.75" customHeight="1">
      <c r="A700" s="12"/>
      <c r="B700" s="12"/>
      <c r="C700" s="12"/>
      <c r="D700" s="12"/>
      <c r="E700" s="12"/>
    </row>
    <row r="701" ht="15.75" customHeight="1">
      <c r="A701" s="12"/>
      <c r="B701" s="12"/>
      <c r="C701" s="12"/>
      <c r="D701" s="12"/>
      <c r="E701" s="12"/>
    </row>
    <row r="702" ht="15.75" customHeight="1">
      <c r="A702" s="12"/>
      <c r="B702" s="12"/>
      <c r="C702" s="12"/>
      <c r="D702" s="12"/>
      <c r="E702" s="12"/>
    </row>
    <row r="703" ht="15.75" customHeight="1">
      <c r="A703" s="12"/>
      <c r="B703" s="12"/>
      <c r="C703" s="12"/>
      <c r="D703" s="12"/>
      <c r="E703" s="12"/>
    </row>
    <row r="704" ht="15.75" customHeight="1">
      <c r="A704" s="12"/>
      <c r="B704" s="12"/>
      <c r="C704" s="12"/>
      <c r="D704" s="12"/>
      <c r="E704" s="12"/>
    </row>
    <row r="705" ht="15.75" customHeight="1">
      <c r="A705" s="12"/>
      <c r="B705" s="12"/>
      <c r="C705" s="12"/>
      <c r="D705" s="12"/>
      <c r="E705" s="12"/>
    </row>
    <row r="706" ht="15.75" customHeight="1">
      <c r="A706" s="12"/>
      <c r="B706" s="12"/>
      <c r="C706" s="12"/>
      <c r="D706" s="12"/>
      <c r="E706" s="12"/>
    </row>
    <row r="707" ht="15.75" customHeight="1">
      <c r="A707" s="12"/>
      <c r="B707" s="12"/>
      <c r="C707" s="12"/>
      <c r="D707" s="12"/>
      <c r="E707" s="12"/>
    </row>
    <row r="708" ht="15.75" customHeight="1">
      <c r="A708" s="12"/>
      <c r="B708" s="12"/>
      <c r="C708" s="12"/>
      <c r="D708" s="12"/>
      <c r="E708" s="12"/>
    </row>
    <row r="709" ht="15.75" customHeight="1">
      <c r="A709" s="12"/>
      <c r="B709" s="12"/>
      <c r="C709" s="12"/>
      <c r="D709" s="12"/>
      <c r="E709" s="12"/>
    </row>
    <row r="710" ht="15.75" customHeight="1">
      <c r="A710" s="12"/>
      <c r="B710" s="12"/>
      <c r="C710" s="12"/>
      <c r="D710" s="12"/>
      <c r="E710" s="12"/>
    </row>
    <row r="711" ht="15.75" customHeight="1">
      <c r="A711" s="12"/>
      <c r="B711" s="12"/>
      <c r="C711" s="12"/>
      <c r="D711" s="12"/>
      <c r="E711" s="12"/>
    </row>
    <row r="712" ht="15.75" customHeight="1">
      <c r="A712" s="12"/>
      <c r="B712" s="12"/>
      <c r="C712" s="12"/>
      <c r="D712" s="12"/>
      <c r="E712" s="12"/>
    </row>
    <row r="713" ht="15.75" customHeight="1">
      <c r="A713" s="12"/>
      <c r="B713" s="12"/>
      <c r="C713" s="12"/>
      <c r="D713" s="12"/>
      <c r="E713" s="12"/>
    </row>
    <row r="714" ht="15.75" customHeight="1">
      <c r="A714" s="12"/>
      <c r="B714" s="12"/>
      <c r="C714" s="12"/>
      <c r="D714" s="12"/>
      <c r="E714" s="12"/>
    </row>
    <row r="715" ht="15.75" customHeight="1">
      <c r="A715" s="12"/>
      <c r="B715" s="12"/>
      <c r="C715" s="12"/>
      <c r="D715" s="12"/>
      <c r="E715" s="12"/>
    </row>
    <row r="716" ht="15.75" customHeight="1">
      <c r="A716" s="12"/>
      <c r="B716" s="12"/>
      <c r="C716" s="12"/>
      <c r="D716" s="12"/>
      <c r="E716" s="12"/>
    </row>
    <row r="717" ht="15.75" customHeight="1">
      <c r="A717" s="12"/>
      <c r="B717" s="12"/>
      <c r="C717" s="12"/>
      <c r="D717" s="12"/>
      <c r="E717" s="12"/>
    </row>
    <row r="718" ht="15.75" customHeight="1">
      <c r="A718" s="12"/>
      <c r="B718" s="12"/>
      <c r="C718" s="12"/>
      <c r="D718" s="12"/>
      <c r="E718" s="12"/>
    </row>
    <row r="719" ht="15.75" customHeight="1">
      <c r="A719" s="12"/>
      <c r="B719" s="12"/>
      <c r="C719" s="12"/>
      <c r="D719" s="12"/>
      <c r="E719" s="12"/>
    </row>
    <row r="720" ht="15.75" customHeight="1">
      <c r="A720" s="12"/>
      <c r="B720" s="12"/>
      <c r="C720" s="12"/>
      <c r="D720" s="12"/>
      <c r="E720" s="12"/>
    </row>
    <row r="721" ht="15.75" customHeight="1">
      <c r="A721" s="12"/>
      <c r="B721" s="12"/>
      <c r="C721" s="12"/>
      <c r="D721" s="12"/>
      <c r="E721" s="12"/>
    </row>
    <row r="722" ht="15.75" customHeight="1">
      <c r="A722" s="12"/>
      <c r="B722" s="12"/>
      <c r="C722" s="12"/>
      <c r="D722" s="12"/>
      <c r="E722" s="12"/>
    </row>
    <row r="723" ht="15.75" customHeight="1">
      <c r="A723" s="12"/>
      <c r="B723" s="12"/>
      <c r="C723" s="12"/>
      <c r="D723" s="12"/>
      <c r="E723" s="12"/>
    </row>
    <row r="724" ht="15.75" customHeight="1">
      <c r="A724" s="12"/>
      <c r="B724" s="12"/>
      <c r="C724" s="12"/>
      <c r="D724" s="12"/>
      <c r="E724" s="12"/>
    </row>
    <row r="725" ht="15.75" customHeight="1">
      <c r="A725" s="12"/>
      <c r="B725" s="12"/>
      <c r="C725" s="12"/>
      <c r="D725" s="12"/>
      <c r="E725" s="12"/>
    </row>
    <row r="726" ht="15.75" customHeight="1">
      <c r="A726" s="12"/>
      <c r="B726" s="12"/>
      <c r="C726" s="12"/>
      <c r="D726" s="12"/>
      <c r="E726" s="12"/>
    </row>
    <row r="727" ht="15.75" customHeight="1">
      <c r="A727" s="12"/>
      <c r="B727" s="12"/>
      <c r="C727" s="12"/>
      <c r="D727" s="12"/>
      <c r="E727" s="12"/>
    </row>
    <row r="728" ht="15.75" customHeight="1">
      <c r="A728" s="12"/>
      <c r="B728" s="12"/>
      <c r="C728" s="12"/>
      <c r="D728" s="12"/>
      <c r="E728" s="12"/>
    </row>
    <row r="729" ht="15.75" customHeight="1">
      <c r="A729" s="12"/>
      <c r="B729" s="12"/>
      <c r="C729" s="12"/>
      <c r="D729" s="12"/>
      <c r="E729" s="12"/>
    </row>
    <row r="730" ht="15.75" customHeight="1">
      <c r="A730" s="12"/>
      <c r="B730" s="12"/>
      <c r="C730" s="12"/>
      <c r="D730" s="12"/>
      <c r="E730" s="12"/>
    </row>
    <row r="731" ht="15.75" customHeight="1">
      <c r="A731" s="12"/>
      <c r="B731" s="12"/>
      <c r="C731" s="12"/>
      <c r="D731" s="12"/>
      <c r="E731" s="12"/>
    </row>
    <row r="732" ht="15.75" customHeight="1">
      <c r="A732" s="12"/>
      <c r="B732" s="12"/>
      <c r="C732" s="12"/>
      <c r="D732" s="12"/>
      <c r="E732" s="12"/>
    </row>
    <row r="733" ht="15.75" customHeight="1">
      <c r="A733" s="12"/>
      <c r="B733" s="12"/>
      <c r="C733" s="12"/>
      <c r="D733" s="12"/>
      <c r="E733" s="12"/>
    </row>
    <row r="734" ht="15.75" customHeight="1">
      <c r="A734" s="12"/>
      <c r="B734" s="12"/>
      <c r="C734" s="12"/>
      <c r="D734" s="12"/>
      <c r="E734" s="12"/>
    </row>
    <row r="735" ht="15.75" customHeight="1">
      <c r="A735" s="12"/>
      <c r="B735" s="12"/>
      <c r="C735" s="12"/>
      <c r="D735" s="12"/>
      <c r="E735" s="12"/>
    </row>
    <row r="736" ht="15.75" customHeight="1">
      <c r="A736" s="12"/>
      <c r="B736" s="12"/>
      <c r="C736" s="12"/>
      <c r="D736" s="12"/>
      <c r="E736" s="12"/>
    </row>
    <row r="737" ht="15.75" customHeight="1">
      <c r="A737" s="12"/>
      <c r="B737" s="12"/>
      <c r="C737" s="12"/>
      <c r="D737" s="12"/>
      <c r="E737" s="12"/>
    </row>
    <row r="738" ht="15.75" customHeight="1">
      <c r="A738" s="12"/>
      <c r="B738" s="12"/>
      <c r="C738" s="12"/>
      <c r="D738" s="12"/>
      <c r="E738" s="12"/>
    </row>
    <row r="739" ht="15.75" customHeight="1">
      <c r="A739" s="12"/>
      <c r="B739" s="12"/>
      <c r="C739" s="12"/>
      <c r="D739" s="12"/>
      <c r="E739" s="12"/>
    </row>
    <row r="740" ht="15.75" customHeight="1">
      <c r="A740" s="12"/>
      <c r="B740" s="12"/>
      <c r="C740" s="12"/>
      <c r="D740" s="12"/>
      <c r="E740" s="12"/>
    </row>
    <row r="741" ht="15.75" customHeight="1">
      <c r="A741" s="12"/>
      <c r="B741" s="12"/>
      <c r="C741" s="12"/>
      <c r="D741" s="12"/>
      <c r="E741" s="12"/>
    </row>
    <row r="742" ht="15.75" customHeight="1">
      <c r="A742" s="12"/>
      <c r="B742" s="12"/>
      <c r="C742" s="12"/>
      <c r="D742" s="12"/>
      <c r="E742" s="12"/>
    </row>
    <row r="743" ht="15.75" customHeight="1">
      <c r="A743" s="12"/>
      <c r="B743" s="12"/>
      <c r="C743" s="12"/>
      <c r="D743" s="12"/>
      <c r="E743" s="12"/>
    </row>
    <row r="744" ht="15.75" customHeight="1">
      <c r="A744" s="12"/>
      <c r="B744" s="12"/>
      <c r="C744" s="12"/>
      <c r="D744" s="12"/>
      <c r="E744" s="12"/>
    </row>
    <row r="745" ht="15.75" customHeight="1">
      <c r="A745" s="12"/>
      <c r="B745" s="12"/>
      <c r="C745" s="12"/>
      <c r="D745" s="12"/>
      <c r="E745" s="12"/>
    </row>
    <row r="746" ht="15.75" customHeight="1">
      <c r="A746" s="12"/>
      <c r="B746" s="12"/>
      <c r="C746" s="12"/>
      <c r="D746" s="12"/>
      <c r="E746" s="12"/>
    </row>
    <row r="747" ht="15.75" customHeight="1">
      <c r="A747" s="12"/>
      <c r="B747" s="12"/>
      <c r="C747" s="12"/>
      <c r="D747" s="12"/>
      <c r="E747" s="12"/>
    </row>
    <row r="748" ht="15.75" customHeight="1">
      <c r="A748" s="12"/>
      <c r="B748" s="12"/>
      <c r="C748" s="12"/>
      <c r="D748" s="12"/>
      <c r="E748" s="12"/>
    </row>
    <row r="749" ht="15.75" customHeight="1">
      <c r="A749" s="12"/>
      <c r="B749" s="12"/>
      <c r="C749" s="12"/>
      <c r="D749" s="12"/>
      <c r="E749" s="12"/>
    </row>
    <row r="750" ht="15.75" customHeight="1">
      <c r="A750" s="12"/>
      <c r="B750" s="12"/>
      <c r="C750" s="12"/>
      <c r="D750" s="12"/>
      <c r="E750" s="12"/>
    </row>
    <row r="751" ht="15.75" customHeight="1">
      <c r="A751" s="12"/>
      <c r="B751" s="12"/>
      <c r="C751" s="12"/>
      <c r="D751" s="12"/>
      <c r="E751" s="12"/>
    </row>
    <row r="752" ht="15.75" customHeight="1">
      <c r="A752" s="12"/>
      <c r="B752" s="12"/>
      <c r="C752" s="12"/>
      <c r="D752" s="12"/>
      <c r="E752" s="12"/>
    </row>
    <row r="753" ht="15.75" customHeight="1">
      <c r="A753" s="12"/>
      <c r="B753" s="12"/>
      <c r="C753" s="12"/>
      <c r="D753" s="12"/>
      <c r="E753" s="12"/>
    </row>
    <row r="754" ht="15.75" customHeight="1">
      <c r="A754" s="12"/>
      <c r="B754" s="12"/>
      <c r="C754" s="12"/>
      <c r="D754" s="12"/>
      <c r="E754" s="12"/>
    </row>
    <row r="755" ht="15.75" customHeight="1">
      <c r="A755" s="12"/>
      <c r="B755" s="12"/>
      <c r="C755" s="12"/>
      <c r="D755" s="12"/>
      <c r="E755" s="12"/>
    </row>
    <row r="756" ht="15.75" customHeight="1">
      <c r="A756" s="12"/>
      <c r="B756" s="12"/>
      <c r="C756" s="12"/>
      <c r="D756" s="12"/>
      <c r="E756" s="12"/>
    </row>
    <row r="757" ht="15.75" customHeight="1">
      <c r="A757" s="12"/>
      <c r="B757" s="12"/>
      <c r="C757" s="12"/>
      <c r="D757" s="12"/>
      <c r="E757" s="12"/>
    </row>
    <row r="758" ht="15.75" customHeight="1">
      <c r="A758" s="12"/>
      <c r="B758" s="12"/>
      <c r="C758" s="12"/>
      <c r="D758" s="12"/>
      <c r="E758" s="12"/>
    </row>
    <row r="759" ht="15.75" customHeight="1">
      <c r="A759" s="12"/>
      <c r="B759" s="12"/>
      <c r="C759" s="12"/>
      <c r="D759" s="12"/>
      <c r="E759" s="12"/>
    </row>
    <row r="760" ht="15.75" customHeight="1">
      <c r="A760" s="12"/>
      <c r="B760" s="12"/>
      <c r="C760" s="12"/>
      <c r="D760" s="12"/>
      <c r="E760" s="12"/>
    </row>
    <row r="761" ht="15.75" customHeight="1">
      <c r="A761" s="12"/>
      <c r="B761" s="12"/>
      <c r="C761" s="12"/>
      <c r="D761" s="12"/>
      <c r="E761" s="12"/>
    </row>
    <row r="762" ht="15.75" customHeight="1">
      <c r="A762" s="12"/>
      <c r="B762" s="12"/>
      <c r="C762" s="12"/>
      <c r="D762" s="12"/>
      <c r="E762" s="12"/>
    </row>
    <row r="763" ht="15.75" customHeight="1">
      <c r="A763" s="12"/>
      <c r="B763" s="12"/>
      <c r="C763" s="12"/>
      <c r="D763" s="12"/>
      <c r="E763" s="12"/>
    </row>
    <row r="764" ht="15.75" customHeight="1">
      <c r="A764" s="12"/>
      <c r="B764" s="12"/>
      <c r="C764" s="12"/>
      <c r="D764" s="12"/>
      <c r="E764" s="12"/>
    </row>
    <row r="765" ht="15.75" customHeight="1">
      <c r="A765" s="12"/>
      <c r="B765" s="12"/>
      <c r="C765" s="12"/>
      <c r="D765" s="12"/>
      <c r="E765" s="12"/>
    </row>
    <row r="766" ht="15.75" customHeight="1">
      <c r="A766" s="12"/>
      <c r="B766" s="12"/>
      <c r="C766" s="12"/>
      <c r="D766" s="12"/>
      <c r="E766" s="12"/>
    </row>
    <row r="767" ht="15.75" customHeight="1">
      <c r="A767" s="12"/>
      <c r="B767" s="12"/>
      <c r="C767" s="12"/>
      <c r="D767" s="12"/>
      <c r="E767" s="12"/>
    </row>
    <row r="768" ht="15.75" customHeight="1">
      <c r="A768" s="12"/>
      <c r="B768" s="12"/>
      <c r="C768" s="12"/>
      <c r="D768" s="12"/>
      <c r="E768" s="12"/>
    </row>
    <row r="769" ht="15.75" customHeight="1">
      <c r="A769" s="12"/>
      <c r="B769" s="12"/>
      <c r="C769" s="12"/>
      <c r="D769" s="12"/>
      <c r="E769" s="12"/>
    </row>
    <row r="770" ht="15.75" customHeight="1">
      <c r="A770" s="12"/>
      <c r="B770" s="12"/>
      <c r="C770" s="12"/>
      <c r="D770" s="12"/>
      <c r="E770" s="12"/>
    </row>
    <row r="771" ht="15.75" customHeight="1">
      <c r="A771" s="12"/>
      <c r="B771" s="12"/>
      <c r="C771" s="12"/>
      <c r="D771" s="12"/>
      <c r="E771" s="12"/>
    </row>
    <row r="772" ht="15.75" customHeight="1">
      <c r="A772" s="12"/>
      <c r="B772" s="12"/>
      <c r="C772" s="12"/>
      <c r="D772" s="12"/>
      <c r="E772" s="12"/>
    </row>
    <row r="773" ht="15.75" customHeight="1">
      <c r="A773" s="12"/>
      <c r="B773" s="12"/>
      <c r="C773" s="12"/>
      <c r="D773" s="12"/>
      <c r="E773" s="12"/>
    </row>
    <row r="774" ht="15.75" customHeight="1">
      <c r="A774" s="12"/>
      <c r="B774" s="12"/>
      <c r="C774" s="12"/>
      <c r="D774" s="12"/>
      <c r="E774" s="12"/>
    </row>
    <row r="775" ht="15.75" customHeight="1">
      <c r="A775" s="12"/>
      <c r="B775" s="12"/>
      <c r="C775" s="12"/>
      <c r="D775" s="12"/>
      <c r="E775" s="12"/>
    </row>
    <row r="776" ht="15.75" customHeight="1">
      <c r="A776" s="12"/>
      <c r="B776" s="12"/>
      <c r="C776" s="12"/>
      <c r="D776" s="12"/>
      <c r="E776" s="12"/>
    </row>
    <row r="777" ht="15.75" customHeight="1">
      <c r="A777" s="12"/>
      <c r="B777" s="12"/>
      <c r="C777" s="12"/>
      <c r="D777" s="12"/>
      <c r="E777" s="12"/>
    </row>
    <row r="778" ht="15.75" customHeight="1">
      <c r="A778" s="12"/>
      <c r="B778" s="12"/>
      <c r="C778" s="12"/>
      <c r="D778" s="12"/>
      <c r="E778" s="12"/>
    </row>
    <row r="779" ht="15.75" customHeight="1">
      <c r="A779" s="12"/>
      <c r="B779" s="12"/>
      <c r="C779" s="12"/>
      <c r="D779" s="12"/>
      <c r="E779" s="12"/>
    </row>
    <row r="780" ht="15.75" customHeight="1">
      <c r="A780" s="12"/>
      <c r="B780" s="12"/>
      <c r="C780" s="12"/>
      <c r="D780" s="12"/>
      <c r="E780" s="12"/>
    </row>
    <row r="781" ht="15.75" customHeight="1">
      <c r="A781" s="12"/>
      <c r="B781" s="12"/>
      <c r="C781" s="12"/>
      <c r="D781" s="12"/>
      <c r="E781" s="12"/>
    </row>
    <row r="782" ht="15.75" customHeight="1">
      <c r="A782" s="12"/>
      <c r="B782" s="12"/>
      <c r="C782" s="12"/>
      <c r="D782" s="12"/>
      <c r="E782" s="12"/>
    </row>
    <row r="783" ht="15.75" customHeight="1">
      <c r="A783" s="12"/>
      <c r="B783" s="12"/>
      <c r="C783" s="12"/>
      <c r="D783" s="12"/>
      <c r="E783" s="12"/>
    </row>
    <row r="784" ht="15.75" customHeight="1">
      <c r="A784" s="12"/>
      <c r="B784" s="12"/>
      <c r="C784" s="12"/>
      <c r="D784" s="12"/>
      <c r="E784" s="12"/>
    </row>
    <row r="785" ht="15.75" customHeight="1">
      <c r="A785" s="12"/>
      <c r="B785" s="12"/>
      <c r="C785" s="12"/>
      <c r="D785" s="12"/>
      <c r="E785" s="12"/>
    </row>
    <row r="786" ht="15.75" customHeight="1">
      <c r="A786" s="12"/>
      <c r="B786" s="12"/>
      <c r="C786" s="12"/>
      <c r="D786" s="12"/>
      <c r="E786" s="12"/>
    </row>
    <row r="787" ht="15.75" customHeight="1">
      <c r="A787" s="12"/>
      <c r="B787" s="12"/>
      <c r="C787" s="12"/>
      <c r="D787" s="12"/>
      <c r="E787" s="12"/>
    </row>
    <row r="788" ht="15.75" customHeight="1">
      <c r="A788" s="12"/>
      <c r="B788" s="12"/>
      <c r="C788" s="12"/>
      <c r="D788" s="12"/>
      <c r="E788" s="12"/>
    </row>
    <row r="789" ht="15.75" customHeight="1">
      <c r="A789" s="12"/>
      <c r="B789" s="12"/>
      <c r="C789" s="12"/>
      <c r="D789" s="12"/>
      <c r="E789" s="12"/>
    </row>
    <row r="790" ht="15.75" customHeight="1">
      <c r="A790" s="12"/>
      <c r="B790" s="12"/>
      <c r="C790" s="12"/>
      <c r="D790" s="12"/>
      <c r="E790" s="12"/>
    </row>
    <row r="791" ht="15.75" customHeight="1">
      <c r="A791" s="12"/>
      <c r="B791" s="12"/>
      <c r="C791" s="12"/>
      <c r="D791" s="12"/>
      <c r="E791" s="12"/>
    </row>
    <row r="792" ht="15.75" customHeight="1">
      <c r="A792" s="12"/>
      <c r="B792" s="12"/>
      <c r="C792" s="12"/>
      <c r="D792" s="12"/>
      <c r="E792" s="12"/>
    </row>
    <row r="793" ht="15.75" customHeight="1">
      <c r="A793" s="12"/>
      <c r="B793" s="12"/>
      <c r="C793" s="12"/>
      <c r="D793" s="12"/>
      <c r="E793" s="12"/>
    </row>
    <row r="794" ht="15.75" customHeight="1">
      <c r="A794" s="12"/>
      <c r="B794" s="12"/>
      <c r="C794" s="12"/>
      <c r="D794" s="12"/>
      <c r="E794" s="12"/>
    </row>
    <row r="795" ht="15.75" customHeight="1">
      <c r="A795" s="12"/>
      <c r="B795" s="12"/>
      <c r="C795" s="12"/>
      <c r="D795" s="12"/>
      <c r="E795" s="12"/>
    </row>
    <row r="796" ht="15.75" customHeight="1">
      <c r="A796" s="12"/>
      <c r="B796" s="12"/>
      <c r="C796" s="12"/>
      <c r="D796" s="12"/>
      <c r="E796" s="12"/>
    </row>
    <row r="797" ht="15.75" customHeight="1">
      <c r="A797" s="12"/>
      <c r="B797" s="12"/>
      <c r="C797" s="12"/>
      <c r="D797" s="12"/>
      <c r="E797" s="12"/>
    </row>
    <row r="798" ht="15.75" customHeight="1">
      <c r="A798" s="12"/>
      <c r="B798" s="12"/>
      <c r="C798" s="12"/>
      <c r="D798" s="12"/>
      <c r="E798" s="12"/>
    </row>
    <row r="799" ht="15.75" customHeight="1">
      <c r="A799" s="12"/>
      <c r="B799" s="12"/>
      <c r="C799" s="12"/>
      <c r="D799" s="12"/>
      <c r="E799" s="12"/>
    </row>
    <row r="800" ht="15.75" customHeight="1">
      <c r="A800" s="12"/>
      <c r="B800" s="12"/>
      <c r="C800" s="12"/>
      <c r="D800" s="12"/>
      <c r="E800" s="12"/>
    </row>
    <row r="801" ht="15.75" customHeight="1">
      <c r="A801" s="12"/>
      <c r="B801" s="12"/>
      <c r="C801" s="12"/>
      <c r="D801" s="12"/>
      <c r="E801" s="12"/>
    </row>
    <row r="802" ht="15.75" customHeight="1">
      <c r="A802" s="12"/>
      <c r="B802" s="12"/>
      <c r="C802" s="12"/>
      <c r="D802" s="12"/>
      <c r="E802" s="12"/>
    </row>
    <row r="803" ht="15.75" customHeight="1">
      <c r="A803" s="12"/>
      <c r="B803" s="12"/>
      <c r="C803" s="12"/>
      <c r="D803" s="12"/>
      <c r="E803" s="12"/>
    </row>
    <row r="804" ht="15.75" customHeight="1">
      <c r="A804" s="12"/>
      <c r="B804" s="12"/>
      <c r="C804" s="12"/>
      <c r="D804" s="12"/>
      <c r="E804" s="12"/>
    </row>
    <row r="805" ht="15.75" customHeight="1">
      <c r="A805" s="12"/>
      <c r="B805" s="12"/>
      <c r="C805" s="12"/>
      <c r="D805" s="12"/>
      <c r="E805" s="12"/>
    </row>
    <row r="806" ht="15.75" customHeight="1">
      <c r="A806" s="12"/>
      <c r="B806" s="12"/>
      <c r="C806" s="12"/>
      <c r="D806" s="12"/>
      <c r="E806" s="12"/>
    </row>
    <row r="807" ht="15.75" customHeight="1">
      <c r="A807" s="12"/>
      <c r="B807" s="12"/>
      <c r="C807" s="12"/>
      <c r="D807" s="12"/>
      <c r="E807" s="12"/>
    </row>
    <row r="808" ht="15.75" customHeight="1">
      <c r="A808" s="12"/>
      <c r="B808" s="12"/>
      <c r="C808" s="12"/>
      <c r="D808" s="12"/>
      <c r="E808" s="12"/>
    </row>
    <row r="809" ht="15.75" customHeight="1">
      <c r="A809" s="12"/>
      <c r="B809" s="12"/>
      <c r="C809" s="12"/>
      <c r="D809" s="12"/>
      <c r="E809" s="12"/>
    </row>
    <row r="810" ht="15.75" customHeight="1">
      <c r="A810" s="12"/>
      <c r="B810" s="12"/>
      <c r="C810" s="12"/>
      <c r="D810" s="12"/>
      <c r="E810" s="12"/>
    </row>
    <row r="811" ht="15.75" customHeight="1">
      <c r="A811" s="12"/>
      <c r="B811" s="12"/>
      <c r="C811" s="12"/>
      <c r="D811" s="12"/>
      <c r="E811" s="12"/>
    </row>
    <row r="812" ht="15.75" customHeight="1">
      <c r="A812" s="12"/>
      <c r="B812" s="12"/>
      <c r="C812" s="12"/>
      <c r="D812" s="12"/>
      <c r="E812" s="12"/>
    </row>
    <row r="813" ht="15.75" customHeight="1">
      <c r="A813" s="12"/>
      <c r="B813" s="12"/>
      <c r="C813" s="12"/>
      <c r="D813" s="12"/>
      <c r="E813" s="12"/>
    </row>
    <row r="814" ht="15.75" customHeight="1">
      <c r="A814" s="12"/>
      <c r="B814" s="12"/>
      <c r="C814" s="12"/>
      <c r="D814" s="12"/>
      <c r="E814" s="12"/>
    </row>
    <row r="815" ht="15.75" customHeight="1">
      <c r="A815" s="12"/>
      <c r="B815" s="12"/>
      <c r="C815" s="12"/>
      <c r="D815" s="12"/>
      <c r="E815" s="12"/>
    </row>
    <row r="816" ht="15.75" customHeight="1">
      <c r="A816" s="12"/>
      <c r="B816" s="12"/>
      <c r="C816" s="12"/>
      <c r="D816" s="12"/>
      <c r="E816" s="12"/>
    </row>
    <row r="817" ht="15.75" customHeight="1">
      <c r="A817" s="12"/>
      <c r="B817" s="12"/>
      <c r="C817" s="12"/>
      <c r="D817" s="12"/>
      <c r="E817" s="12"/>
    </row>
    <row r="818" ht="15.75" customHeight="1">
      <c r="A818" s="12"/>
      <c r="B818" s="12"/>
      <c r="C818" s="12"/>
      <c r="D818" s="12"/>
      <c r="E818" s="12"/>
    </row>
    <row r="819" ht="15.75" customHeight="1">
      <c r="A819" s="12"/>
      <c r="B819" s="12"/>
      <c r="C819" s="12"/>
      <c r="D819" s="12"/>
      <c r="E819" s="12"/>
    </row>
    <row r="820" ht="15.75" customHeight="1">
      <c r="A820" s="12"/>
      <c r="B820" s="12"/>
      <c r="C820" s="12"/>
      <c r="D820" s="12"/>
      <c r="E820" s="12"/>
    </row>
    <row r="821" ht="15.75" customHeight="1">
      <c r="A821" s="12"/>
      <c r="B821" s="12"/>
      <c r="C821" s="12"/>
      <c r="D821" s="12"/>
      <c r="E821" s="12"/>
    </row>
    <row r="822" ht="15.75" customHeight="1">
      <c r="A822" s="12"/>
      <c r="B822" s="12"/>
      <c r="C822" s="12"/>
      <c r="D822" s="12"/>
      <c r="E822" s="12"/>
    </row>
    <row r="823" ht="15.75" customHeight="1">
      <c r="A823" s="12"/>
      <c r="B823" s="12"/>
      <c r="C823" s="12"/>
      <c r="D823" s="12"/>
      <c r="E823" s="12"/>
    </row>
    <row r="824" ht="15.75" customHeight="1">
      <c r="A824" s="12"/>
      <c r="B824" s="12"/>
      <c r="C824" s="12"/>
      <c r="D824" s="12"/>
      <c r="E824" s="12"/>
    </row>
    <row r="825" ht="15.75" customHeight="1">
      <c r="A825" s="12"/>
      <c r="B825" s="12"/>
      <c r="C825" s="12"/>
      <c r="D825" s="12"/>
      <c r="E825" s="12"/>
    </row>
    <row r="826" ht="15.75" customHeight="1">
      <c r="A826" s="12"/>
      <c r="B826" s="12"/>
      <c r="C826" s="12"/>
      <c r="D826" s="12"/>
      <c r="E826" s="12"/>
    </row>
    <row r="827" ht="15.75" customHeight="1">
      <c r="A827" s="12"/>
      <c r="B827" s="12"/>
      <c r="C827" s="12"/>
      <c r="D827" s="12"/>
      <c r="E827" s="12"/>
    </row>
    <row r="828" ht="15.75" customHeight="1">
      <c r="A828" s="12"/>
      <c r="B828" s="12"/>
      <c r="C828" s="12"/>
      <c r="D828" s="12"/>
      <c r="E828" s="12"/>
    </row>
    <row r="829" ht="15.75" customHeight="1">
      <c r="A829" s="12"/>
      <c r="B829" s="12"/>
      <c r="C829" s="12"/>
      <c r="D829" s="12"/>
      <c r="E829" s="12"/>
    </row>
    <row r="830" ht="15.75" customHeight="1">
      <c r="A830" s="12"/>
      <c r="B830" s="12"/>
      <c r="C830" s="12"/>
      <c r="D830" s="12"/>
      <c r="E830" s="12"/>
    </row>
    <row r="831" ht="15.75" customHeight="1">
      <c r="A831" s="12"/>
      <c r="B831" s="12"/>
      <c r="C831" s="12"/>
      <c r="D831" s="12"/>
      <c r="E831" s="12"/>
    </row>
    <row r="832" ht="15.75" customHeight="1">
      <c r="A832" s="12"/>
      <c r="B832" s="12"/>
      <c r="C832" s="12"/>
      <c r="D832" s="12"/>
      <c r="E832" s="12"/>
    </row>
    <row r="833" ht="15.75" customHeight="1">
      <c r="A833" s="12"/>
      <c r="B833" s="12"/>
      <c r="C833" s="12"/>
      <c r="D833" s="12"/>
      <c r="E833" s="12"/>
    </row>
    <row r="834" ht="15.75" customHeight="1">
      <c r="A834" s="12"/>
      <c r="B834" s="12"/>
      <c r="C834" s="12"/>
      <c r="D834" s="12"/>
      <c r="E834" s="12"/>
    </row>
    <row r="835" ht="15.75" customHeight="1">
      <c r="A835" s="12"/>
      <c r="B835" s="12"/>
      <c r="C835" s="12"/>
      <c r="D835" s="12"/>
      <c r="E835" s="12"/>
    </row>
    <row r="836" ht="15.75" customHeight="1">
      <c r="A836" s="12"/>
      <c r="B836" s="12"/>
      <c r="C836" s="12"/>
      <c r="D836" s="12"/>
      <c r="E836" s="12"/>
    </row>
    <row r="837" ht="15.75" customHeight="1">
      <c r="A837" s="12"/>
      <c r="B837" s="12"/>
      <c r="C837" s="12"/>
      <c r="D837" s="12"/>
      <c r="E837" s="12"/>
    </row>
    <row r="838" ht="15.75" customHeight="1">
      <c r="A838" s="12"/>
      <c r="B838" s="12"/>
      <c r="C838" s="12"/>
      <c r="D838" s="12"/>
      <c r="E838" s="12"/>
    </row>
    <row r="839" ht="15.75" customHeight="1">
      <c r="A839" s="12"/>
      <c r="B839" s="12"/>
      <c r="C839" s="12"/>
      <c r="D839" s="12"/>
      <c r="E839" s="12"/>
    </row>
    <row r="840" ht="15.75" customHeight="1">
      <c r="A840" s="12"/>
      <c r="B840" s="12"/>
      <c r="C840" s="12"/>
      <c r="D840" s="12"/>
      <c r="E840" s="12"/>
    </row>
    <row r="841" ht="15.75" customHeight="1">
      <c r="A841" s="12"/>
      <c r="B841" s="12"/>
      <c r="C841" s="12"/>
      <c r="D841" s="12"/>
      <c r="E841" s="12"/>
    </row>
    <row r="842" ht="15.75" customHeight="1">
      <c r="A842" s="12"/>
      <c r="B842" s="12"/>
      <c r="C842" s="12"/>
      <c r="D842" s="12"/>
      <c r="E842" s="12"/>
    </row>
    <row r="843" ht="15.75" customHeight="1">
      <c r="A843" s="12"/>
      <c r="B843" s="12"/>
      <c r="C843" s="12"/>
      <c r="D843" s="12"/>
      <c r="E843" s="12"/>
    </row>
    <row r="844" ht="15.75" customHeight="1">
      <c r="A844" s="12"/>
      <c r="B844" s="12"/>
      <c r="C844" s="12"/>
      <c r="D844" s="12"/>
      <c r="E844" s="12"/>
    </row>
    <row r="845" ht="15.75" customHeight="1">
      <c r="A845" s="12"/>
      <c r="B845" s="12"/>
      <c r="C845" s="12"/>
      <c r="D845" s="12"/>
      <c r="E845" s="12"/>
    </row>
    <row r="846" ht="15.75" customHeight="1">
      <c r="A846" s="12"/>
      <c r="B846" s="12"/>
      <c r="C846" s="12"/>
      <c r="D846" s="12"/>
      <c r="E846" s="12"/>
    </row>
    <row r="847" ht="15.75" customHeight="1">
      <c r="A847" s="12"/>
      <c r="B847" s="12"/>
      <c r="C847" s="12"/>
      <c r="D847" s="12"/>
      <c r="E847" s="12"/>
    </row>
    <row r="848" ht="15.75" customHeight="1">
      <c r="A848" s="12"/>
      <c r="B848" s="12"/>
      <c r="C848" s="12"/>
      <c r="D848" s="12"/>
      <c r="E848" s="12"/>
    </row>
    <row r="849" ht="15.75" customHeight="1">
      <c r="A849" s="12"/>
      <c r="B849" s="12"/>
      <c r="C849" s="12"/>
      <c r="D849" s="12"/>
      <c r="E849" s="12"/>
    </row>
    <row r="850" ht="15.75" customHeight="1">
      <c r="A850" s="12"/>
      <c r="B850" s="12"/>
      <c r="C850" s="12"/>
      <c r="D850" s="12"/>
      <c r="E850" s="12"/>
    </row>
    <row r="851" ht="15.75" customHeight="1">
      <c r="A851" s="12"/>
      <c r="B851" s="12"/>
      <c r="C851" s="12"/>
      <c r="D851" s="12"/>
      <c r="E851" s="12"/>
    </row>
    <row r="852" ht="15.75" customHeight="1">
      <c r="A852" s="12"/>
      <c r="B852" s="12"/>
      <c r="C852" s="12"/>
      <c r="D852" s="12"/>
      <c r="E852" s="12"/>
    </row>
    <row r="853" ht="15.75" customHeight="1">
      <c r="A853" s="12"/>
      <c r="B853" s="12"/>
      <c r="C853" s="12"/>
      <c r="D853" s="12"/>
      <c r="E853" s="12"/>
    </row>
    <row r="854" ht="15.75" customHeight="1">
      <c r="A854" s="12"/>
      <c r="B854" s="12"/>
      <c r="C854" s="12"/>
      <c r="D854" s="12"/>
      <c r="E854" s="12"/>
    </row>
    <row r="855" ht="15.75" customHeight="1">
      <c r="A855" s="12"/>
      <c r="B855" s="12"/>
      <c r="C855" s="12"/>
      <c r="D855" s="12"/>
      <c r="E855" s="12"/>
    </row>
    <row r="856" ht="15.75" customHeight="1">
      <c r="A856" s="12"/>
      <c r="B856" s="12"/>
      <c r="C856" s="12"/>
      <c r="D856" s="12"/>
      <c r="E856" s="12"/>
    </row>
    <row r="857" ht="15.75" customHeight="1">
      <c r="A857" s="12"/>
      <c r="B857" s="12"/>
      <c r="C857" s="12"/>
      <c r="D857" s="12"/>
      <c r="E857" s="12"/>
    </row>
    <row r="858" ht="15.75" customHeight="1">
      <c r="A858" s="12"/>
      <c r="B858" s="12"/>
      <c r="C858" s="12"/>
      <c r="D858" s="12"/>
      <c r="E858" s="12"/>
    </row>
    <row r="859" ht="15.75" customHeight="1">
      <c r="A859" s="12"/>
      <c r="B859" s="12"/>
      <c r="C859" s="12"/>
      <c r="D859" s="12"/>
      <c r="E859" s="12"/>
    </row>
    <row r="860" ht="15.75" customHeight="1">
      <c r="A860" s="12"/>
      <c r="B860" s="12"/>
      <c r="C860" s="12"/>
      <c r="D860" s="12"/>
      <c r="E860" s="12"/>
    </row>
    <row r="861" ht="15.75" customHeight="1">
      <c r="A861" s="12"/>
      <c r="B861" s="12"/>
      <c r="C861" s="12"/>
      <c r="D861" s="12"/>
      <c r="E861" s="12"/>
    </row>
    <row r="862" ht="15.75" customHeight="1">
      <c r="A862" s="12"/>
      <c r="B862" s="12"/>
      <c r="C862" s="12"/>
      <c r="D862" s="12"/>
      <c r="E862" s="12"/>
    </row>
    <row r="863" ht="15.75" customHeight="1">
      <c r="A863" s="12"/>
      <c r="B863" s="12"/>
      <c r="C863" s="12"/>
      <c r="D863" s="12"/>
      <c r="E863" s="12"/>
    </row>
    <row r="864" ht="15.75" customHeight="1">
      <c r="A864" s="12"/>
      <c r="B864" s="12"/>
      <c r="C864" s="12"/>
      <c r="D864" s="12"/>
      <c r="E864" s="12"/>
    </row>
    <row r="865" ht="15.75" customHeight="1">
      <c r="A865" s="12"/>
      <c r="B865" s="12"/>
      <c r="C865" s="12"/>
      <c r="D865" s="12"/>
      <c r="E865" s="12"/>
    </row>
    <row r="866" ht="15.75" customHeight="1">
      <c r="A866" s="12"/>
      <c r="B866" s="12"/>
      <c r="C866" s="12"/>
      <c r="D866" s="12"/>
      <c r="E866" s="12"/>
    </row>
    <row r="867" ht="15.75" customHeight="1">
      <c r="A867" s="12"/>
      <c r="B867" s="12"/>
      <c r="C867" s="12"/>
      <c r="D867" s="12"/>
      <c r="E867" s="12"/>
    </row>
    <row r="868" ht="15.75" customHeight="1">
      <c r="A868" s="12"/>
      <c r="B868" s="12"/>
      <c r="C868" s="12"/>
      <c r="D868" s="12"/>
      <c r="E868" s="12"/>
    </row>
    <row r="869" ht="15.75" customHeight="1">
      <c r="A869" s="12"/>
      <c r="B869" s="12"/>
      <c r="C869" s="12"/>
      <c r="D869" s="12"/>
      <c r="E869" s="12"/>
    </row>
    <row r="870" ht="15.75" customHeight="1">
      <c r="A870" s="12"/>
      <c r="B870" s="12"/>
      <c r="C870" s="12"/>
      <c r="D870" s="12"/>
      <c r="E870" s="12"/>
    </row>
    <row r="871" ht="15.75" customHeight="1">
      <c r="A871" s="12"/>
      <c r="B871" s="12"/>
      <c r="C871" s="12"/>
      <c r="D871" s="12"/>
      <c r="E871" s="12"/>
    </row>
    <row r="872" ht="15.75" customHeight="1">
      <c r="A872" s="12"/>
      <c r="B872" s="12"/>
      <c r="C872" s="12"/>
      <c r="D872" s="12"/>
      <c r="E872" s="12"/>
    </row>
    <row r="873" ht="15.75" customHeight="1">
      <c r="A873" s="12"/>
      <c r="B873" s="12"/>
      <c r="C873" s="12"/>
      <c r="D873" s="12"/>
      <c r="E873" s="12"/>
    </row>
    <row r="874" ht="15.75" customHeight="1">
      <c r="A874" s="12"/>
      <c r="B874" s="12"/>
      <c r="C874" s="12"/>
      <c r="D874" s="12"/>
      <c r="E874" s="12"/>
    </row>
    <row r="875" ht="15.75" customHeight="1">
      <c r="A875" s="12"/>
      <c r="B875" s="12"/>
      <c r="C875" s="12"/>
      <c r="D875" s="12"/>
      <c r="E875" s="12"/>
    </row>
    <row r="876" ht="15.75" customHeight="1">
      <c r="A876" s="12"/>
      <c r="B876" s="12"/>
      <c r="C876" s="12"/>
      <c r="D876" s="12"/>
      <c r="E876" s="12"/>
    </row>
    <row r="877" ht="15.75" customHeight="1">
      <c r="A877" s="12"/>
      <c r="B877" s="12"/>
      <c r="C877" s="12"/>
      <c r="D877" s="12"/>
      <c r="E877" s="12"/>
    </row>
    <row r="878" ht="15.75" customHeight="1">
      <c r="A878" s="12"/>
      <c r="B878" s="12"/>
      <c r="C878" s="12"/>
      <c r="D878" s="12"/>
      <c r="E878" s="12"/>
    </row>
    <row r="879" ht="15.75" customHeight="1">
      <c r="A879" s="12"/>
      <c r="B879" s="12"/>
      <c r="C879" s="12"/>
      <c r="D879" s="12"/>
      <c r="E879" s="12"/>
    </row>
    <row r="880" ht="15.75" customHeight="1">
      <c r="A880" s="12"/>
      <c r="B880" s="12"/>
      <c r="C880" s="12"/>
      <c r="D880" s="12"/>
      <c r="E880" s="12"/>
    </row>
    <row r="881" ht="15.75" customHeight="1">
      <c r="A881" s="12"/>
      <c r="B881" s="12"/>
      <c r="C881" s="12"/>
      <c r="D881" s="12"/>
      <c r="E881" s="12"/>
    </row>
    <row r="882" ht="15.75" customHeight="1">
      <c r="A882" s="12"/>
      <c r="B882" s="12"/>
      <c r="C882" s="12"/>
      <c r="D882" s="12"/>
      <c r="E882" s="12"/>
    </row>
    <row r="883" ht="15.75" customHeight="1">
      <c r="A883" s="12"/>
      <c r="B883" s="12"/>
      <c r="C883" s="12"/>
      <c r="D883" s="12"/>
      <c r="E883" s="12"/>
    </row>
    <row r="884" ht="15.75" customHeight="1">
      <c r="A884" s="12"/>
      <c r="B884" s="12"/>
      <c r="C884" s="12"/>
      <c r="D884" s="12"/>
      <c r="E884" s="12"/>
    </row>
    <row r="885" ht="15.75" customHeight="1">
      <c r="A885" s="12"/>
      <c r="B885" s="12"/>
      <c r="C885" s="12"/>
      <c r="D885" s="12"/>
      <c r="E885" s="12"/>
    </row>
    <row r="886" ht="15.75" customHeight="1">
      <c r="A886" s="12"/>
      <c r="B886" s="12"/>
      <c r="C886" s="12"/>
      <c r="D886" s="12"/>
      <c r="E886" s="12"/>
    </row>
    <row r="887" ht="15.75" customHeight="1">
      <c r="A887" s="12"/>
      <c r="B887" s="12"/>
      <c r="C887" s="12"/>
      <c r="D887" s="12"/>
      <c r="E887" s="12"/>
    </row>
    <row r="888" ht="15.75" customHeight="1">
      <c r="A888" s="12"/>
      <c r="B888" s="12"/>
      <c r="C888" s="12"/>
      <c r="D888" s="12"/>
      <c r="E888" s="12"/>
    </row>
    <row r="889" ht="15.75" customHeight="1">
      <c r="A889" s="12"/>
      <c r="B889" s="12"/>
      <c r="C889" s="12"/>
      <c r="D889" s="12"/>
      <c r="E889" s="12"/>
    </row>
    <row r="890" ht="15.75" customHeight="1">
      <c r="A890" s="12"/>
      <c r="B890" s="12"/>
      <c r="C890" s="12"/>
      <c r="D890" s="12"/>
      <c r="E890" s="12"/>
    </row>
    <row r="891" ht="15.75" customHeight="1">
      <c r="A891" s="12"/>
      <c r="B891" s="12"/>
      <c r="C891" s="12"/>
      <c r="D891" s="12"/>
      <c r="E891" s="12"/>
    </row>
    <row r="892" ht="15.75" customHeight="1">
      <c r="A892" s="12"/>
      <c r="B892" s="12"/>
      <c r="C892" s="12"/>
      <c r="D892" s="12"/>
      <c r="E892" s="12"/>
    </row>
    <row r="893" ht="15.75" customHeight="1">
      <c r="A893" s="12"/>
      <c r="B893" s="12"/>
      <c r="C893" s="12"/>
      <c r="D893" s="12"/>
      <c r="E893" s="12"/>
    </row>
    <row r="894" ht="15.75" customHeight="1">
      <c r="A894" s="12"/>
      <c r="B894" s="12"/>
      <c r="C894" s="12"/>
      <c r="D894" s="12"/>
      <c r="E894" s="12"/>
    </row>
    <row r="895" ht="15.75" customHeight="1">
      <c r="A895" s="12"/>
      <c r="B895" s="12"/>
      <c r="C895" s="12"/>
      <c r="D895" s="12"/>
      <c r="E895" s="12"/>
    </row>
    <row r="896" ht="15.75" customHeight="1">
      <c r="A896" s="12"/>
      <c r="B896" s="12"/>
      <c r="C896" s="12"/>
      <c r="D896" s="12"/>
      <c r="E896" s="12"/>
    </row>
    <row r="897" ht="15.75" customHeight="1">
      <c r="A897" s="12"/>
      <c r="B897" s="12"/>
      <c r="C897" s="12"/>
      <c r="D897" s="12"/>
      <c r="E897" s="12"/>
    </row>
    <row r="898" ht="15.75" customHeight="1">
      <c r="A898" s="12"/>
      <c r="B898" s="12"/>
      <c r="C898" s="12"/>
      <c r="D898" s="12"/>
      <c r="E898" s="12"/>
    </row>
    <row r="899" ht="15.75" customHeight="1">
      <c r="A899" s="12"/>
      <c r="B899" s="12"/>
      <c r="C899" s="12"/>
      <c r="D899" s="12"/>
      <c r="E899" s="12"/>
    </row>
    <row r="900" ht="15.75" customHeight="1">
      <c r="A900" s="12"/>
      <c r="B900" s="12"/>
      <c r="C900" s="12"/>
      <c r="D900" s="12"/>
      <c r="E900" s="12"/>
    </row>
    <row r="901" ht="15.75" customHeight="1">
      <c r="A901" s="12"/>
      <c r="B901" s="12"/>
      <c r="C901" s="12"/>
      <c r="D901" s="12"/>
      <c r="E901" s="12"/>
    </row>
    <row r="902" ht="15.75" customHeight="1">
      <c r="A902" s="12"/>
      <c r="B902" s="12"/>
      <c r="C902" s="12"/>
      <c r="D902" s="12"/>
      <c r="E902" s="12"/>
    </row>
    <row r="903" ht="15.75" customHeight="1">
      <c r="A903" s="12"/>
      <c r="B903" s="12"/>
      <c r="C903" s="12"/>
      <c r="D903" s="12"/>
      <c r="E903" s="12"/>
    </row>
    <row r="904" ht="15.75" customHeight="1">
      <c r="A904" s="12"/>
      <c r="B904" s="12"/>
      <c r="C904" s="12"/>
      <c r="D904" s="12"/>
      <c r="E904" s="12"/>
    </row>
    <row r="905" ht="15.75" customHeight="1">
      <c r="A905" s="12"/>
      <c r="B905" s="12"/>
      <c r="C905" s="12"/>
      <c r="D905" s="12"/>
      <c r="E905" s="12"/>
    </row>
    <row r="906" ht="15.75" customHeight="1">
      <c r="A906" s="12"/>
      <c r="B906" s="12"/>
      <c r="C906" s="12"/>
      <c r="D906" s="12"/>
      <c r="E906" s="12"/>
    </row>
    <row r="907" ht="15.75" customHeight="1">
      <c r="A907" s="12"/>
      <c r="B907" s="12"/>
      <c r="C907" s="12"/>
      <c r="D907" s="12"/>
      <c r="E907" s="12"/>
    </row>
    <row r="908" ht="15.75" customHeight="1">
      <c r="A908" s="12"/>
      <c r="B908" s="12"/>
      <c r="C908" s="12"/>
      <c r="D908" s="12"/>
      <c r="E908" s="12"/>
    </row>
    <row r="909" ht="15.75" customHeight="1">
      <c r="A909" s="12"/>
      <c r="B909" s="12"/>
      <c r="C909" s="12"/>
      <c r="D909" s="12"/>
      <c r="E909" s="12"/>
    </row>
    <row r="910" ht="15.75" customHeight="1">
      <c r="A910" s="12"/>
      <c r="B910" s="12"/>
      <c r="C910" s="12"/>
      <c r="D910" s="12"/>
      <c r="E910" s="12"/>
    </row>
    <row r="911" ht="15.75" customHeight="1">
      <c r="A911" s="12"/>
      <c r="B911" s="12"/>
      <c r="C911" s="12"/>
      <c r="D911" s="12"/>
      <c r="E911" s="12"/>
    </row>
    <row r="912" ht="15.75" customHeight="1">
      <c r="A912" s="12"/>
      <c r="B912" s="12"/>
      <c r="C912" s="12"/>
      <c r="D912" s="12"/>
      <c r="E912" s="12"/>
    </row>
    <row r="913" ht="15.75" customHeight="1">
      <c r="A913" s="12"/>
      <c r="B913" s="12"/>
      <c r="C913" s="12"/>
      <c r="D913" s="12"/>
      <c r="E913" s="12"/>
    </row>
    <row r="914" ht="15.75" customHeight="1">
      <c r="A914" s="12"/>
      <c r="B914" s="12"/>
      <c r="C914" s="12"/>
      <c r="D914" s="12"/>
      <c r="E914" s="12"/>
    </row>
    <row r="915" ht="15.75" customHeight="1">
      <c r="A915" s="12"/>
      <c r="B915" s="12"/>
      <c r="C915" s="12"/>
      <c r="D915" s="12"/>
      <c r="E915" s="12"/>
    </row>
    <row r="916" ht="15.75" customHeight="1">
      <c r="A916" s="12"/>
      <c r="B916" s="12"/>
      <c r="C916" s="12"/>
      <c r="D916" s="12"/>
      <c r="E916" s="12"/>
    </row>
    <row r="917" ht="15.75" customHeight="1">
      <c r="A917" s="12"/>
      <c r="B917" s="12"/>
      <c r="C917" s="12"/>
      <c r="D917" s="12"/>
      <c r="E917" s="12"/>
    </row>
    <row r="918" ht="15.75" customHeight="1">
      <c r="A918" s="12"/>
      <c r="B918" s="12"/>
      <c r="C918" s="12"/>
      <c r="D918" s="12"/>
      <c r="E918" s="12"/>
    </row>
    <row r="919" ht="15.75" customHeight="1">
      <c r="A919" s="12"/>
      <c r="B919" s="12"/>
      <c r="C919" s="12"/>
      <c r="D919" s="12"/>
      <c r="E919" s="12"/>
    </row>
    <row r="920" ht="15.75" customHeight="1">
      <c r="A920" s="12"/>
      <c r="B920" s="12"/>
      <c r="C920" s="12"/>
      <c r="D920" s="12"/>
      <c r="E920" s="12"/>
    </row>
    <row r="921" ht="15.75" customHeight="1">
      <c r="A921" s="12"/>
      <c r="B921" s="12"/>
      <c r="C921" s="12"/>
      <c r="D921" s="12"/>
      <c r="E921" s="12"/>
    </row>
    <row r="922" ht="15.75" customHeight="1">
      <c r="A922" s="12"/>
      <c r="B922" s="12"/>
      <c r="C922" s="12"/>
      <c r="D922" s="12"/>
      <c r="E922" s="12"/>
    </row>
    <row r="923" ht="15.75" customHeight="1">
      <c r="A923" s="12"/>
      <c r="B923" s="12"/>
      <c r="C923" s="12"/>
      <c r="D923" s="12"/>
      <c r="E923" s="12"/>
    </row>
    <row r="924" ht="15.75" customHeight="1">
      <c r="A924" s="12"/>
      <c r="B924" s="12"/>
      <c r="C924" s="12"/>
      <c r="D924" s="12"/>
      <c r="E924" s="12"/>
    </row>
    <row r="925" ht="15.75" customHeight="1">
      <c r="A925" s="12"/>
      <c r="B925" s="12"/>
      <c r="C925" s="12"/>
      <c r="D925" s="12"/>
      <c r="E925" s="12"/>
    </row>
    <row r="926" ht="15.75" customHeight="1">
      <c r="A926" s="12"/>
      <c r="B926" s="12"/>
      <c r="C926" s="12"/>
      <c r="D926" s="12"/>
      <c r="E926" s="12"/>
    </row>
    <row r="927" ht="15.75" customHeight="1">
      <c r="A927" s="12"/>
      <c r="B927" s="12"/>
      <c r="C927" s="12"/>
      <c r="D927" s="12"/>
      <c r="E927" s="12"/>
    </row>
    <row r="928" ht="15.75" customHeight="1">
      <c r="A928" s="12"/>
      <c r="B928" s="12"/>
      <c r="C928" s="12"/>
      <c r="D928" s="12"/>
      <c r="E928" s="12"/>
    </row>
    <row r="929" ht="15.75" customHeight="1">
      <c r="A929" s="12"/>
      <c r="B929" s="12"/>
      <c r="C929" s="12"/>
      <c r="D929" s="12"/>
      <c r="E929" s="12"/>
    </row>
    <row r="930" ht="15.75" customHeight="1">
      <c r="A930" s="12"/>
      <c r="B930" s="12"/>
      <c r="C930" s="12"/>
      <c r="D930" s="12"/>
      <c r="E930" s="12"/>
    </row>
    <row r="931" ht="15.75" customHeight="1">
      <c r="A931" s="12"/>
      <c r="B931" s="12"/>
      <c r="C931" s="12"/>
      <c r="D931" s="12"/>
      <c r="E931" s="12"/>
    </row>
    <row r="932" ht="15.75" customHeight="1">
      <c r="A932" s="12"/>
      <c r="B932" s="12"/>
      <c r="C932" s="12"/>
      <c r="D932" s="12"/>
      <c r="E932" s="12"/>
    </row>
    <row r="933" ht="15.75" customHeight="1">
      <c r="A933" s="12"/>
      <c r="B933" s="12"/>
      <c r="C933" s="12"/>
      <c r="D933" s="12"/>
      <c r="E933" s="12"/>
    </row>
    <row r="934" ht="15.75" customHeight="1">
      <c r="A934" s="12"/>
      <c r="B934" s="12"/>
      <c r="C934" s="12"/>
      <c r="D934" s="12"/>
      <c r="E934" s="12"/>
    </row>
    <row r="935" ht="15.75" customHeight="1">
      <c r="A935" s="12"/>
      <c r="B935" s="12"/>
      <c r="C935" s="12"/>
      <c r="D935" s="12"/>
      <c r="E935" s="12"/>
    </row>
    <row r="936" ht="15.75" customHeight="1">
      <c r="A936" s="12"/>
      <c r="B936" s="12"/>
      <c r="C936" s="12"/>
      <c r="D936" s="12"/>
      <c r="E936" s="12"/>
    </row>
    <row r="937" ht="15.75" customHeight="1">
      <c r="A937" s="12"/>
      <c r="B937" s="12"/>
      <c r="C937" s="12"/>
      <c r="D937" s="12"/>
      <c r="E937" s="12"/>
    </row>
    <row r="938" ht="15.75" customHeight="1">
      <c r="A938" s="12"/>
      <c r="B938" s="12"/>
      <c r="C938" s="12"/>
      <c r="D938" s="12"/>
      <c r="E938" s="12"/>
    </row>
    <row r="939" ht="15.75" customHeight="1">
      <c r="A939" s="12"/>
      <c r="B939" s="12"/>
      <c r="C939" s="12"/>
      <c r="D939" s="12"/>
      <c r="E939" s="12"/>
    </row>
    <row r="940" ht="15.75" customHeight="1">
      <c r="A940" s="12"/>
      <c r="B940" s="12"/>
      <c r="C940" s="12"/>
      <c r="D940" s="12"/>
      <c r="E940" s="12"/>
    </row>
    <row r="941" ht="15.75" customHeight="1">
      <c r="A941" s="12"/>
      <c r="B941" s="12"/>
      <c r="C941" s="12"/>
      <c r="D941" s="12"/>
      <c r="E941" s="12"/>
    </row>
    <row r="942" ht="15.75" customHeight="1">
      <c r="A942" s="12"/>
      <c r="B942" s="12"/>
      <c r="C942" s="12"/>
      <c r="D942" s="12"/>
      <c r="E942" s="12"/>
    </row>
    <row r="943" ht="15.75" customHeight="1">
      <c r="A943" s="12"/>
      <c r="B943" s="12"/>
      <c r="C943" s="12"/>
      <c r="D943" s="12"/>
      <c r="E943" s="12"/>
    </row>
    <row r="944" ht="15.75" customHeight="1">
      <c r="A944" s="12"/>
      <c r="B944" s="12"/>
      <c r="C944" s="12"/>
      <c r="D944" s="12"/>
      <c r="E944" s="12"/>
    </row>
    <row r="945" ht="15.75" customHeight="1">
      <c r="A945" s="12"/>
      <c r="B945" s="12"/>
      <c r="C945" s="12"/>
      <c r="D945" s="12"/>
      <c r="E945" s="12"/>
    </row>
    <row r="946" ht="15.75" customHeight="1">
      <c r="A946" s="12"/>
      <c r="B946" s="12"/>
      <c r="C946" s="12"/>
      <c r="D946" s="12"/>
      <c r="E946" s="12"/>
    </row>
    <row r="947" ht="15.75" customHeight="1">
      <c r="A947" s="12"/>
      <c r="B947" s="12"/>
      <c r="C947" s="12"/>
      <c r="D947" s="12"/>
      <c r="E947" s="12"/>
    </row>
    <row r="948" ht="15.75" customHeight="1">
      <c r="A948" s="12"/>
      <c r="B948" s="12"/>
      <c r="C948" s="12"/>
      <c r="D948" s="12"/>
      <c r="E948" s="12"/>
    </row>
    <row r="949" ht="15.75" customHeight="1">
      <c r="A949" s="12"/>
      <c r="B949" s="12"/>
      <c r="C949" s="12"/>
      <c r="D949" s="12"/>
      <c r="E949" s="12"/>
    </row>
    <row r="950" ht="15.75" customHeight="1">
      <c r="A950" s="12"/>
      <c r="B950" s="12"/>
      <c r="C950" s="12"/>
      <c r="D950" s="12"/>
      <c r="E950" s="12"/>
    </row>
    <row r="951" ht="15.75" customHeight="1">
      <c r="A951" s="12"/>
      <c r="B951" s="12"/>
      <c r="C951" s="12"/>
      <c r="D951" s="12"/>
      <c r="E951" s="12"/>
    </row>
    <row r="952" ht="15.75" customHeight="1">
      <c r="A952" s="12"/>
      <c r="B952" s="12"/>
      <c r="C952" s="12"/>
      <c r="D952" s="12"/>
      <c r="E952" s="12"/>
    </row>
    <row r="953" ht="15.75" customHeight="1">
      <c r="A953" s="12"/>
      <c r="B953" s="12"/>
      <c r="C953" s="12"/>
      <c r="D953" s="12"/>
      <c r="E953" s="12"/>
    </row>
    <row r="954" ht="15.75" customHeight="1">
      <c r="A954" s="12"/>
      <c r="B954" s="12"/>
      <c r="C954" s="12"/>
      <c r="D954" s="12"/>
      <c r="E954" s="12"/>
    </row>
    <row r="955" ht="15.75" customHeight="1">
      <c r="A955" s="12"/>
      <c r="B955" s="12"/>
      <c r="C955" s="12"/>
      <c r="D955" s="12"/>
      <c r="E955" s="12"/>
    </row>
    <row r="956" ht="15.75" customHeight="1">
      <c r="A956" s="12"/>
      <c r="B956" s="12"/>
      <c r="C956" s="12"/>
      <c r="D956" s="12"/>
      <c r="E956" s="12"/>
    </row>
    <row r="957" ht="15.75" customHeight="1">
      <c r="A957" s="12"/>
      <c r="B957" s="12"/>
      <c r="C957" s="12"/>
      <c r="D957" s="12"/>
      <c r="E957" s="12"/>
    </row>
    <row r="958" ht="15.75" customHeight="1">
      <c r="A958" s="12"/>
      <c r="B958" s="12"/>
      <c r="C958" s="12"/>
      <c r="D958" s="12"/>
      <c r="E958" s="12"/>
    </row>
    <row r="959" ht="15.75" customHeight="1">
      <c r="A959" s="12"/>
      <c r="B959" s="12"/>
      <c r="C959" s="12"/>
      <c r="D959" s="12"/>
      <c r="E959" s="12"/>
    </row>
    <row r="960" ht="15.75" customHeight="1">
      <c r="A960" s="12"/>
      <c r="B960" s="12"/>
      <c r="C960" s="12"/>
      <c r="D960" s="12"/>
      <c r="E960" s="12"/>
    </row>
    <row r="961" ht="15.75" customHeight="1">
      <c r="A961" s="12"/>
      <c r="B961" s="12"/>
      <c r="C961" s="12"/>
      <c r="D961" s="12"/>
      <c r="E961" s="12"/>
    </row>
    <row r="962" ht="15.75" customHeight="1">
      <c r="A962" s="12"/>
      <c r="B962" s="12"/>
      <c r="C962" s="12"/>
      <c r="D962" s="12"/>
      <c r="E962" s="12"/>
    </row>
    <row r="963" ht="15.75" customHeight="1">
      <c r="A963" s="12"/>
      <c r="B963" s="12"/>
      <c r="C963" s="12"/>
      <c r="D963" s="12"/>
      <c r="E963" s="12"/>
    </row>
    <row r="964" ht="15.75" customHeight="1">
      <c r="A964" s="12"/>
      <c r="B964" s="12"/>
      <c r="C964" s="12"/>
      <c r="D964" s="12"/>
      <c r="E964" s="12"/>
    </row>
    <row r="965" ht="15.75" customHeight="1">
      <c r="A965" s="12"/>
      <c r="B965" s="12"/>
      <c r="C965" s="12"/>
      <c r="D965" s="12"/>
      <c r="E965" s="12"/>
    </row>
    <row r="966" ht="15.75" customHeight="1">
      <c r="A966" s="12"/>
      <c r="B966" s="12"/>
      <c r="C966" s="12"/>
      <c r="D966" s="12"/>
      <c r="E966" s="12"/>
    </row>
    <row r="967" ht="15.75" customHeight="1">
      <c r="A967" s="12"/>
      <c r="B967" s="12"/>
      <c r="C967" s="12"/>
      <c r="D967" s="12"/>
      <c r="E967" s="12"/>
    </row>
    <row r="968" ht="15.75" customHeight="1">
      <c r="A968" s="12"/>
      <c r="B968" s="12"/>
      <c r="C968" s="12"/>
      <c r="D968" s="12"/>
      <c r="E968" s="12"/>
    </row>
    <row r="969" ht="15.75" customHeight="1">
      <c r="A969" s="12"/>
      <c r="B969" s="12"/>
      <c r="C969" s="12"/>
      <c r="D969" s="12"/>
      <c r="E969" s="12"/>
    </row>
    <row r="970" ht="15.75" customHeight="1">
      <c r="A970" s="12"/>
      <c r="B970" s="12"/>
      <c r="C970" s="12"/>
      <c r="D970" s="12"/>
      <c r="E970" s="12"/>
    </row>
    <row r="971" ht="15.75" customHeight="1">
      <c r="A971" s="12"/>
      <c r="B971" s="12"/>
      <c r="C971" s="12"/>
      <c r="D971" s="12"/>
      <c r="E971" s="12"/>
    </row>
    <row r="972" ht="15.75" customHeight="1">
      <c r="A972" s="12"/>
      <c r="B972" s="12"/>
      <c r="C972" s="12"/>
      <c r="D972" s="12"/>
      <c r="E972" s="12"/>
    </row>
    <row r="973" ht="15.75" customHeight="1">
      <c r="A973" s="12"/>
      <c r="B973" s="12"/>
      <c r="C973" s="12"/>
      <c r="D973" s="12"/>
      <c r="E973" s="12"/>
    </row>
    <row r="974" ht="15.75" customHeight="1">
      <c r="A974" s="12"/>
      <c r="B974" s="12"/>
      <c r="C974" s="12"/>
      <c r="D974" s="12"/>
      <c r="E974" s="12"/>
    </row>
    <row r="975" ht="15.75" customHeight="1">
      <c r="A975" s="12"/>
      <c r="B975" s="12"/>
      <c r="C975" s="12"/>
      <c r="D975" s="12"/>
      <c r="E975" s="12"/>
    </row>
    <row r="976" ht="15.75" customHeight="1">
      <c r="A976" s="12"/>
      <c r="B976" s="12"/>
      <c r="C976" s="12"/>
      <c r="D976" s="12"/>
      <c r="E976" s="12"/>
    </row>
    <row r="977" ht="15.75" customHeight="1">
      <c r="A977" s="12"/>
      <c r="B977" s="12"/>
      <c r="C977" s="12"/>
      <c r="D977" s="12"/>
      <c r="E977" s="12"/>
    </row>
    <row r="978" ht="15.75" customHeight="1">
      <c r="A978" s="12"/>
      <c r="B978" s="12"/>
      <c r="C978" s="12"/>
      <c r="D978" s="12"/>
      <c r="E978" s="12"/>
    </row>
    <row r="979" ht="15.75" customHeight="1">
      <c r="A979" s="12"/>
      <c r="B979" s="12"/>
      <c r="C979" s="12"/>
      <c r="D979" s="12"/>
      <c r="E979" s="12"/>
    </row>
    <row r="980" ht="15.75" customHeight="1">
      <c r="A980" s="12"/>
      <c r="B980" s="12"/>
      <c r="C980" s="12"/>
      <c r="D980" s="12"/>
      <c r="E980" s="12"/>
    </row>
    <row r="981" ht="15.75" customHeight="1">
      <c r="A981" s="12"/>
      <c r="B981" s="12"/>
      <c r="C981" s="12"/>
      <c r="D981" s="12"/>
      <c r="E981" s="12"/>
    </row>
    <row r="982" ht="15.75" customHeight="1">
      <c r="A982" s="12"/>
      <c r="B982" s="12"/>
      <c r="C982" s="12"/>
      <c r="D982" s="12"/>
      <c r="E982" s="12"/>
    </row>
    <row r="983" ht="15.75" customHeight="1">
      <c r="A983" s="12"/>
      <c r="B983" s="12"/>
      <c r="C983" s="12"/>
      <c r="D983" s="12"/>
      <c r="E983" s="12"/>
    </row>
    <row r="984" ht="15.75" customHeight="1">
      <c r="A984" s="12"/>
      <c r="B984" s="12"/>
      <c r="C984" s="12"/>
      <c r="D984" s="12"/>
      <c r="E984" s="12"/>
    </row>
    <row r="985" ht="15.75" customHeight="1">
      <c r="A985" s="12"/>
      <c r="B985" s="12"/>
      <c r="C985" s="12"/>
      <c r="D985" s="12"/>
      <c r="E985" s="12"/>
    </row>
    <row r="986" ht="15.75" customHeight="1">
      <c r="A986" s="12"/>
      <c r="B986" s="12"/>
      <c r="C986" s="12"/>
      <c r="D986" s="12"/>
      <c r="E986" s="12"/>
    </row>
    <row r="987" ht="15.75" customHeight="1">
      <c r="A987" s="12"/>
      <c r="B987" s="12"/>
      <c r="C987" s="12"/>
      <c r="D987" s="12"/>
      <c r="E987" s="12"/>
    </row>
    <row r="988" ht="15.75" customHeight="1">
      <c r="A988" s="12"/>
      <c r="B988" s="12"/>
      <c r="C988" s="12"/>
      <c r="D988" s="12"/>
      <c r="E988" s="12"/>
    </row>
    <row r="989" ht="15.75" customHeight="1">
      <c r="A989" s="12"/>
      <c r="B989" s="12"/>
      <c r="C989" s="12"/>
      <c r="D989" s="12"/>
      <c r="E989" s="12"/>
    </row>
    <row r="990" ht="15.75" customHeight="1">
      <c r="A990" s="12"/>
      <c r="B990" s="12"/>
      <c r="C990" s="12"/>
      <c r="D990" s="12"/>
      <c r="E990" s="12"/>
    </row>
    <row r="991" ht="15.75" customHeight="1">
      <c r="A991" s="12"/>
      <c r="B991" s="12"/>
      <c r="C991" s="12"/>
      <c r="D991" s="12"/>
      <c r="E991" s="12"/>
    </row>
    <row r="992" ht="15.75" customHeight="1">
      <c r="A992" s="12"/>
      <c r="B992" s="12"/>
      <c r="C992" s="12"/>
      <c r="D992" s="12"/>
      <c r="E992" s="12"/>
    </row>
    <row r="993" ht="15.75" customHeight="1">
      <c r="A993" s="12"/>
      <c r="B993" s="12"/>
      <c r="C993" s="12"/>
      <c r="D993" s="12"/>
      <c r="E993" s="12"/>
    </row>
    <row r="994" ht="15.75" customHeight="1">
      <c r="A994" s="12"/>
      <c r="B994" s="12"/>
      <c r="C994" s="12"/>
      <c r="D994" s="12"/>
      <c r="E994" s="12"/>
    </row>
    <row r="995" ht="15.75" customHeight="1">
      <c r="A995" s="12"/>
      <c r="B995" s="12"/>
      <c r="C995" s="12"/>
      <c r="D995" s="12"/>
      <c r="E995" s="12"/>
    </row>
    <row r="996" ht="15.75" customHeight="1">
      <c r="A996" s="12"/>
      <c r="B996" s="12"/>
      <c r="C996" s="12"/>
      <c r="D996" s="12"/>
      <c r="E996" s="12"/>
    </row>
    <row r="997" ht="15.75" customHeight="1">
      <c r="A997" s="12"/>
      <c r="B997" s="12"/>
      <c r="C997" s="12"/>
      <c r="D997" s="12"/>
      <c r="E997" s="12"/>
    </row>
    <row r="998" ht="15.75" customHeight="1">
      <c r="A998" s="12"/>
      <c r="B998" s="12"/>
      <c r="C998" s="12"/>
      <c r="D998" s="12"/>
      <c r="E998" s="12"/>
    </row>
    <row r="999" ht="15.75" customHeight="1">
      <c r="A999" s="12"/>
      <c r="B999" s="12"/>
      <c r="C999" s="12"/>
      <c r="D999" s="12"/>
      <c r="E999" s="12"/>
    </row>
    <row r="1000" ht="15.75" customHeight="1">
      <c r="A1000" s="12"/>
      <c r="B1000" s="12"/>
      <c r="C1000" s="12"/>
      <c r="D1000" s="12"/>
      <c r="E1000" s="12"/>
    </row>
  </sheetData>
  <printOptions/>
  <pageMargins bottom="1.0" footer="0.0" header="0.0" left="0.75" right="0.75" top="1.0"/>
  <pageSetup paperSize="9" orientation="portrait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4.0"/>
    <col customWidth="1" min="2" max="2" width="22.0"/>
    <col customWidth="1" min="3" max="26" width="8.71"/>
  </cols>
  <sheetData>
    <row r="1" ht="15.0" customHeight="1">
      <c r="A1" s="2" t="s">
        <v>135</v>
      </c>
      <c r="B1" s="2" t="s">
        <v>152</v>
      </c>
    </row>
    <row r="2" ht="15.0" customHeight="1">
      <c r="A2" s="3" t="s">
        <v>24</v>
      </c>
      <c r="B2" s="3">
        <f>SUMIF(Classificacio!$B:$B,$A2,Classificacio!$E:$E)</f>
        <v>15</v>
      </c>
    </row>
    <row r="3" ht="15.0" customHeight="1">
      <c r="A3" s="3" t="s">
        <v>46</v>
      </c>
      <c r="B3" s="3">
        <f>SUMIF(Classificacio!$B:$B,$A3,Classificacio!$E:$E)</f>
        <v>15</v>
      </c>
    </row>
    <row r="4" ht="15.0" customHeight="1">
      <c r="A4" s="3" t="s">
        <v>58</v>
      </c>
      <c r="B4" s="3">
        <f>SUMIF(Classificacio!$B:$B,$A4,Classificacio!$E:$E)</f>
        <v>15</v>
      </c>
    </row>
    <row r="5" ht="15.0" customHeight="1">
      <c r="A5" s="3" t="s">
        <v>71</v>
      </c>
      <c r="B5" s="3">
        <f>SUMIF(Classificacio!$B:$B,$A5,Classificacio!$E:$E)</f>
        <v>10</v>
      </c>
    </row>
    <row r="6" ht="15.0" customHeight="1">
      <c r="A6" s="3" t="s">
        <v>140</v>
      </c>
      <c r="B6" s="3">
        <f>SUMIF(Classificacio!$B:$B,$A6,Classificacio!$E:$E)</f>
        <v>10</v>
      </c>
    </row>
    <row r="7" ht="15.0" customHeight="1">
      <c r="A7" s="3" t="s">
        <v>145</v>
      </c>
      <c r="B7" s="3">
        <f>SUMIF(Classificacio!$B:$B,$A7,Classificacio!$E:$E)</f>
        <v>20</v>
      </c>
    </row>
    <row r="8" ht="15.0" customHeight="1">
      <c r="A8" s="3" t="s">
        <v>7</v>
      </c>
      <c r="B8" s="3">
        <f>SUMIF(Classificacio!$B:$B,$A8,Classificacio!$E:$E)</f>
        <v>85.2</v>
      </c>
    </row>
    <row r="9">
      <c r="A9" s="12"/>
      <c r="B9" s="12"/>
    </row>
    <row r="10">
      <c r="A10" s="12"/>
      <c r="B10" s="12"/>
    </row>
    <row r="11">
      <c r="A11" s="12"/>
      <c r="B11" s="12"/>
    </row>
    <row r="12">
      <c r="A12" s="12"/>
      <c r="B12" s="12"/>
    </row>
    <row r="13">
      <c r="A13" s="12"/>
      <c r="B13" s="12"/>
    </row>
    <row r="14">
      <c r="A14" s="12"/>
      <c r="B14" s="12"/>
    </row>
    <row r="15">
      <c r="A15" s="12"/>
      <c r="B15" s="12"/>
    </row>
    <row r="16">
      <c r="A16" s="12"/>
      <c r="B16" s="12"/>
    </row>
    <row r="17">
      <c r="A17" s="12"/>
      <c r="B17" s="12"/>
    </row>
    <row r="18">
      <c r="A18" s="12"/>
      <c r="B18" s="12"/>
    </row>
    <row r="19">
      <c r="A19" s="12"/>
      <c r="B19" s="12"/>
    </row>
    <row r="20">
      <c r="A20" s="12"/>
      <c r="B20" s="12"/>
    </row>
    <row r="21" ht="15.75" customHeight="1">
      <c r="A21" s="12"/>
      <c r="B21" s="12"/>
    </row>
    <row r="22" ht="15.75" customHeight="1">
      <c r="A22" s="12"/>
      <c r="B22" s="12"/>
    </row>
    <row r="23" ht="15.75" customHeight="1">
      <c r="A23" s="12"/>
      <c r="B23" s="12"/>
    </row>
    <row r="24" ht="15.75" customHeight="1">
      <c r="A24" s="12"/>
      <c r="B24" s="12"/>
    </row>
    <row r="25" ht="15.75" customHeight="1">
      <c r="A25" s="12"/>
      <c r="B25" s="12"/>
    </row>
    <row r="26" ht="15.75" customHeight="1">
      <c r="A26" s="12"/>
      <c r="B26" s="12"/>
    </row>
    <row r="27" ht="15.75" customHeight="1">
      <c r="A27" s="12"/>
      <c r="B27" s="12"/>
    </row>
    <row r="28" ht="15.75" customHeight="1">
      <c r="A28" s="12"/>
      <c r="B28" s="12"/>
    </row>
    <row r="29" ht="15.75" customHeight="1">
      <c r="A29" s="12"/>
      <c r="B29" s="12"/>
    </row>
    <row r="30" ht="15.75" customHeight="1">
      <c r="A30" s="12"/>
      <c r="B30" s="12"/>
    </row>
    <row r="31" ht="15.75" customHeight="1">
      <c r="A31" s="12"/>
      <c r="B31" s="12"/>
    </row>
    <row r="32" ht="15.75" customHeight="1">
      <c r="A32" s="12"/>
      <c r="B32" s="12"/>
    </row>
    <row r="33" ht="15.75" customHeight="1">
      <c r="A33" s="12"/>
      <c r="B33" s="12"/>
    </row>
    <row r="34" ht="15.75" customHeight="1">
      <c r="A34" s="12"/>
      <c r="B34" s="12"/>
    </row>
    <row r="35" ht="15.75" customHeight="1">
      <c r="A35" s="12"/>
      <c r="B35" s="12"/>
    </row>
    <row r="36" ht="15.75" customHeight="1">
      <c r="A36" s="12"/>
      <c r="B36" s="12"/>
    </row>
    <row r="37" ht="15.75" customHeight="1">
      <c r="A37" s="12"/>
      <c r="B37" s="12"/>
    </row>
    <row r="38" ht="15.75" customHeight="1">
      <c r="A38" s="12"/>
      <c r="B38" s="12"/>
    </row>
    <row r="39" ht="15.75" customHeight="1">
      <c r="A39" s="12"/>
      <c r="B39" s="12"/>
    </row>
    <row r="40" ht="15.75" customHeight="1">
      <c r="A40" s="12"/>
      <c r="B40" s="12"/>
    </row>
    <row r="41" ht="15.75" customHeight="1">
      <c r="A41" s="12"/>
      <c r="B41" s="12"/>
    </row>
    <row r="42" ht="15.75" customHeight="1">
      <c r="A42" s="12"/>
      <c r="B42" s="12"/>
    </row>
    <row r="43" ht="15.75" customHeight="1">
      <c r="A43" s="12"/>
      <c r="B43" s="12"/>
    </row>
    <row r="44" ht="15.75" customHeight="1">
      <c r="A44" s="12"/>
      <c r="B44" s="12"/>
    </row>
    <row r="45" ht="15.75" customHeight="1">
      <c r="A45" s="12"/>
      <c r="B45" s="12"/>
    </row>
    <row r="46" ht="15.75" customHeight="1">
      <c r="A46" s="12"/>
      <c r="B46" s="12"/>
    </row>
    <row r="47" ht="15.75" customHeight="1">
      <c r="A47" s="12"/>
      <c r="B47" s="12"/>
    </row>
    <row r="48" ht="15.75" customHeight="1">
      <c r="A48" s="12"/>
      <c r="B48" s="12"/>
    </row>
    <row r="49" ht="15.75" customHeight="1">
      <c r="A49" s="12"/>
      <c r="B49" s="12"/>
    </row>
    <row r="50" ht="15.75" customHeight="1">
      <c r="A50" s="12"/>
      <c r="B50" s="12"/>
    </row>
    <row r="51" ht="15.75" customHeight="1">
      <c r="A51" s="12"/>
      <c r="B51" s="12"/>
    </row>
    <row r="52" ht="15.75" customHeight="1">
      <c r="A52" s="12"/>
      <c r="B52" s="12"/>
    </row>
    <row r="53" ht="15.75" customHeight="1">
      <c r="A53" s="12"/>
      <c r="B53" s="12"/>
    </row>
    <row r="54" ht="15.75" customHeight="1">
      <c r="A54" s="12"/>
      <c r="B54" s="12"/>
    </row>
    <row r="55" ht="15.75" customHeight="1">
      <c r="A55" s="12"/>
      <c r="B55" s="12"/>
    </row>
    <row r="56" ht="15.75" customHeight="1">
      <c r="A56" s="12"/>
      <c r="B56" s="12"/>
    </row>
    <row r="57" ht="15.75" customHeight="1">
      <c r="A57" s="12"/>
      <c r="B57" s="12"/>
    </row>
    <row r="58" ht="15.75" customHeight="1">
      <c r="A58" s="12"/>
      <c r="B58" s="12"/>
    </row>
    <row r="59" ht="15.75" customHeight="1">
      <c r="A59" s="12"/>
      <c r="B59" s="12"/>
    </row>
    <row r="60" ht="15.75" customHeight="1">
      <c r="A60" s="12"/>
      <c r="B60" s="12"/>
    </row>
    <row r="61" ht="15.75" customHeight="1">
      <c r="A61" s="12"/>
      <c r="B61" s="12"/>
    </row>
    <row r="62" ht="15.75" customHeight="1">
      <c r="A62" s="12"/>
      <c r="B62" s="12"/>
    </row>
    <row r="63" ht="15.75" customHeight="1">
      <c r="A63" s="12"/>
      <c r="B63" s="12"/>
    </row>
    <row r="64" ht="15.75" customHeight="1">
      <c r="A64" s="12"/>
      <c r="B64" s="12"/>
    </row>
    <row r="65" ht="15.75" customHeight="1">
      <c r="A65" s="12"/>
      <c r="B65" s="12"/>
    </row>
    <row r="66" ht="15.75" customHeight="1">
      <c r="A66" s="12"/>
      <c r="B66" s="12"/>
    </row>
    <row r="67" ht="15.75" customHeight="1">
      <c r="A67" s="12"/>
      <c r="B67" s="12"/>
    </row>
    <row r="68" ht="15.75" customHeight="1">
      <c r="A68" s="12"/>
      <c r="B68" s="12"/>
    </row>
    <row r="69" ht="15.75" customHeight="1">
      <c r="A69" s="12"/>
      <c r="B69" s="12"/>
    </row>
    <row r="70" ht="15.75" customHeight="1">
      <c r="A70" s="12"/>
      <c r="B70" s="12"/>
    </row>
    <row r="71" ht="15.75" customHeight="1">
      <c r="A71" s="12"/>
      <c r="B71" s="12"/>
    </row>
    <row r="72" ht="15.75" customHeight="1">
      <c r="A72" s="12"/>
      <c r="B72" s="12"/>
    </row>
    <row r="73" ht="15.75" customHeight="1">
      <c r="A73" s="12"/>
      <c r="B73" s="12"/>
    </row>
    <row r="74" ht="15.75" customHeight="1">
      <c r="A74" s="12"/>
      <c r="B74" s="12"/>
    </row>
    <row r="75" ht="15.75" customHeight="1">
      <c r="A75" s="12"/>
      <c r="B75" s="12"/>
    </row>
    <row r="76" ht="15.75" customHeight="1">
      <c r="A76" s="12"/>
      <c r="B76" s="12"/>
    </row>
    <row r="77" ht="15.75" customHeight="1">
      <c r="A77" s="12"/>
      <c r="B77" s="12"/>
    </row>
    <row r="78" ht="15.75" customHeight="1">
      <c r="A78" s="12"/>
      <c r="B78" s="12"/>
    </row>
    <row r="79" ht="15.75" customHeight="1">
      <c r="A79" s="12"/>
      <c r="B79" s="12"/>
    </row>
    <row r="80" ht="15.75" customHeight="1">
      <c r="A80" s="12"/>
      <c r="B80" s="12"/>
    </row>
    <row r="81" ht="15.75" customHeight="1">
      <c r="A81" s="12"/>
      <c r="B81" s="12"/>
    </row>
    <row r="82" ht="15.75" customHeight="1">
      <c r="A82" s="12"/>
      <c r="B82" s="12"/>
    </row>
    <row r="83" ht="15.75" customHeight="1">
      <c r="A83" s="12"/>
      <c r="B83" s="12"/>
    </row>
    <row r="84" ht="15.75" customHeight="1">
      <c r="A84" s="12"/>
      <c r="B84" s="12"/>
    </row>
    <row r="85" ht="15.75" customHeight="1">
      <c r="A85" s="12"/>
      <c r="B85" s="12"/>
    </row>
    <row r="86" ht="15.75" customHeight="1">
      <c r="A86" s="12"/>
      <c r="B86" s="12"/>
    </row>
    <row r="87" ht="15.75" customHeight="1">
      <c r="A87" s="12"/>
      <c r="B87" s="12"/>
    </row>
    <row r="88" ht="15.75" customHeight="1">
      <c r="A88" s="12"/>
      <c r="B88" s="12"/>
    </row>
    <row r="89" ht="15.75" customHeight="1">
      <c r="A89" s="12"/>
      <c r="B89" s="12"/>
    </row>
    <row r="90" ht="15.75" customHeight="1">
      <c r="A90" s="12"/>
      <c r="B90" s="12"/>
    </row>
    <row r="91" ht="15.75" customHeight="1">
      <c r="A91" s="12"/>
      <c r="B91" s="12"/>
    </row>
    <row r="92" ht="15.75" customHeight="1">
      <c r="A92" s="12"/>
      <c r="B92" s="12"/>
    </row>
    <row r="93" ht="15.75" customHeight="1">
      <c r="A93" s="12"/>
      <c r="B93" s="12"/>
    </row>
    <row r="94" ht="15.75" customHeight="1">
      <c r="A94" s="12"/>
      <c r="B94" s="12"/>
    </row>
    <row r="95" ht="15.75" customHeight="1">
      <c r="A95" s="12"/>
      <c r="B95" s="12"/>
    </row>
    <row r="96" ht="15.75" customHeight="1">
      <c r="A96" s="12"/>
      <c r="B96" s="12"/>
    </row>
    <row r="97" ht="15.75" customHeight="1">
      <c r="A97" s="12"/>
      <c r="B97" s="12"/>
    </row>
    <row r="98" ht="15.75" customHeight="1">
      <c r="A98" s="12"/>
      <c r="B98" s="12"/>
    </row>
    <row r="99" ht="15.75" customHeight="1">
      <c r="A99" s="12"/>
      <c r="B99" s="12"/>
    </row>
    <row r="100" ht="15.75" customHeight="1">
      <c r="A100" s="12"/>
      <c r="B100" s="12"/>
    </row>
    <row r="101" ht="15.75" customHeight="1">
      <c r="A101" s="12"/>
      <c r="B101" s="12"/>
    </row>
    <row r="102" ht="15.75" customHeight="1">
      <c r="A102" s="12"/>
      <c r="B102" s="12"/>
    </row>
    <row r="103" ht="15.75" customHeight="1">
      <c r="A103" s="12"/>
      <c r="B103" s="12"/>
    </row>
    <row r="104" ht="15.75" customHeight="1">
      <c r="A104" s="12"/>
      <c r="B104" s="12"/>
    </row>
    <row r="105" ht="15.75" customHeight="1">
      <c r="A105" s="12"/>
      <c r="B105" s="12"/>
    </row>
    <row r="106" ht="15.75" customHeight="1">
      <c r="A106" s="12"/>
      <c r="B106" s="12"/>
    </row>
    <row r="107" ht="15.75" customHeight="1">
      <c r="A107" s="12"/>
      <c r="B107" s="12"/>
    </row>
    <row r="108" ht="15.75" customHeight="1">
      <c r="A108" s="12"/>
      <c r="B108" s="12"/>
    </row>
    <row r="109" ht="15.75" customHeight="1">
      <c r="A109" s="12"/>
      <c r="B109" s="12"/>
    </row>
    <row r="110" ht="15.75" customHeight="1">
      <c r="A110" s="12"/>
      <c r="B110" s="12"/>
    </row>
    <row r="111" ht="15.75" customHeight="1">
      <c r="A111" s="12"/>
      <c r="B111" s="12"/>
    </row>
    <row r="112" ht="15.75" customHeight="1">
      <c r="A112" s="12"/>
      <c r="B112" s="12"/>
    </row>
    <row r="113" ht="15.75" customHeight="1">
      <c r="A113" s="12"/>
      <c r="B113" s="12"/>
    </row>
    <row r="114" ht="15.75" customHeight="1">
      <c r="A114" s="12"/>
      <c r="B114" s="12"/>
    </row>
    <row r="115" ht="15.75" customHeight="1">
      <c r="A115" s="12"/>
      <c r="B115" s="12"/>
    </row>
    <row r="116" ht="15.75" customHeight="1">
      <c r="A116" s="12"/>
      <c r="B116" s="12"/>
    </row>
    <row r="117" ht="15.75" customHeight="1">
      <c r="A117" s="12"/>
      <c r="B117" s="12"/>
    </row>
    <row r="118" ht="15.75" customHeight="1">
      <c r="A118" s="12"/>
      <c r="B118" s="12"/>
    </row>
    <row r="119" ht="15.75" customHeight="1">
      <c r="A119" s="12"/>
      <c r="B119" s="12"/>
    </row>
    <row r="120" ht="15.75" customHeight="1">
      <c r="A120" s="12"/>
      <c r="B120" s="12"/>
    </row>
    <row r="121" ht="15.75" customHeight="1">
      <c r="A121" s="12"/>
      <c r="B121" s="12"/>
    </row>
    <row r="122" ht="15.75" customHeight="1">
      <c r="A122" s="12"/>
      <c r="B122" s="12"/>
    </row>
    <row r="123" ht="15.75" customHeight="1">
      <c r="A123" s="12"/>
      <c r="B123" s="12"/>
    </row>
    <row r="124" ht="15.75" customHeight="1">
      <c r="A124" s="12"/>
      <c r="B124" s="12"/>
    </row>
    <row r="125" ht="15.75" customHeight="1">
      <c r="A125" s="12"/>
      <c r="B125" s="12"/>
    </row>
    <row r="126" ht="15.75" customHeight="1">
      <c r="A126" s="12"/>
      <c r="B126" s="12"/>
    </row>
    <row r="127" ht="15.75" customHeight="1">
      <c r="A127" s="12"/>
      <c r="B127" s="12"/>
    </row>
    <row r="128" ht="15.75" customHeight="1">
      <c r="A128" s="12"/>
      <c r="B128" s="12"/>
    </row>
    <row r="129" ht="15.75" customHeight="1">
      <c r="A129" s="12"/>
      <c r="B129" s="12"/>
    </row>
    <row r="130" ht="15.75" customHeight="1">
      <c r="A130" s="12"/>
      <c r="B130" s="12"/>
    </row>
    <row r="131" ht="15.75" customHeight="1">
      <c r="A131" s="12"/>
      <c r="B131" s="12"/>
    </row>
    <row r="132" ht="15.75" customHeight="1">
      <c r="A132" s="12"/>
      <c r="B132" s="12"/>
    </row>
    <row r="133" ht="15.75" customHeight="1">
      <c r="A133" s="12"/>
      <c r="B133" s="12"/>
    </row>
    <row r="134" ht="15.75" customHeight="1">
      <c r="A134" s="12"/>
      <c r="B134" s="12"/>
    </row>
    <row r="135" ht="15.75" customHeight="1">
      <c r="A135" s="12"/>
      <c r="B135" s="12"/>
    </row>
    <row r="136" ht="15.75" customHeight="1">
      <c r="A136" s="12"/>
      <c r="B136" s="12"/>
    </row>
    <row r="137" ht="15.75" customHeight="1">
      <c r="A137" s="12"/>
      <c r="B137" s="12"/>
    </row>
    <row r="138" ht="15.75" customHeight="1">
      <c r="A138" s="12"/>
      <c r="B138" s="12"/>
    </row>
    <row r="139" ht="15.75" customHeight="1">
      <c r="A139" s="12"/>
      <c r="B139" s="12"/>
    </row>
    <row r="140" ht="15.75" customHeight="1">
      <c r="A140" s="12"/>
      <c r="B140" s="12"/>
    </row>
    <row r="141" ht="15.75" customHeight="1">
      <c r="A141" s="12"/>
      <c r="B141" s="12"/>
    </row>
    <row r="142" ht="15.75" customHeight="1">
      <c r="A142" s="12"/>
      <c r="B142" s="12"/>
    </row>
    <row r="143" ht="15.75" customHeight="1">
      <c r="A143" s="12"/>
      <c r="B143" s="12"/>
    </row>
    <row r="144" ht="15.75" customHeight="1">
      <c r="A144" s="12"/>
      <c r="B144" s="12"/>
    </row>
    <row r="145" ht="15.75" customHeight="1">
      <c r="A145" s="12"/>
      <c r="B145" s="12"/>
    </row>
    <row r="146" ht="15.75" customHeight="1">
      <c r="A146" s="12"/>
      <c r="B146" s="12"/>
    </row>
    <row r="147" ht="15.75" customHeight="1">
      <c r="A147" s="12"/>
      <c r="B147" s="12"/>
    </row>
    <row r="148" ht="15.75" customHeight="1">
      <c r="A148" s="12"/>
      <c r="B148" s="12"/>
    </row>
    <row r="149" ht="15.75" customHeight="1">
      <c r="A149" s="12"/>
      <c r="B149" s="12"/>
    </row>
    <row r="150" ht="15.75" customHeight="1">
      <c r="A150" s="12"/>
      <c r="B150" s="12"/>
    </row>
    <row r="151" ht="15.75" customHeight="1">
      <c r="A151" s="12"/>
      <c r="B151" s="12"/>
    </row>
    <row r="152" ht="15.75" customHeight="1">
      <c r="A152" s="12"/>
      <c r="B152" s="12"/>
    </row>
    <row r="153" ht="15.75" customHeight="1">
      <c r="A153" s="12"/>
      <c r="B153" s="12"/>
    </row>
    <row r="154" ht="15.75" customHeight="1">
      <c r="A154" s="12"/>
      <c r="B154" s="12"/>
    </row>
    <row r="155" ht="15.75" customHeight="1">
      <c r="A155" s="12"/>
      <c r="B155" s="12"/>
    </row>
    <row r="156" ht="15.75" customHeight="1">
      <c r="A156" s="12"/>
      <c r="B156" s="12"/>
    </row>
    <row r="157" ht="15.75" customHeight="1">
      <c r="A157" s="12"/>
      <c r="B157" s="12"/>
    </row>
    <row r="158" ht="15.75" customHeight="1">
      <c r="A158" s="12"/>
      <c r="B158" s="12"/>
    </row>
    <row r="159" ht="15.75" customHeight="1">
      <c r="A159" s="12"/>
      <c r="B159" s="12"/>
    </row>
    <row r="160" ht="15.75" customHeight="1">
      <c r="A160" s="12"/>
      <c r="B160" s="12"/>
    </row>
    <row r="161" ht="15.75" customHeight="1">
      <c r="A161" s="12"/>
      <c r="B161" s="12"/>
    </row>
    <row r="162" ht="15.75" customHeight="1">
      <c r="A162" s="12"/>
      <c r="B162" s="12"/>
    </row>
    <row r="163" ht="15.75" customHeight="1">
      <c r="A163" s="12"/>
      <c r="B163" s="12"/>
    </row>
    <row r="164" ht="15.75" customHeight="1">
      <c r="A164" s="12"/>
      <c r="B164" s="12"/>
    </row>
    <row r="165" ht="15.75" customHeight="1">
      <c r="A165" s="12"/>
      <c r="B165" s="12"/>
    </row>
    <row r="166" ht="15.75" customHeight="1">
      <c r="A166" s="12"/>
      <c r="B166" s="12"/>
    </row>
    <row r="167" ht="15.75" customHeight="1">
      <c r="A167" s="12"/>
      <c r="B167" s="12"/>
    </row>
    <row r="168" ht="15.75" customHeight="1">
      <c r="A168" s="12"/>
      <c r="B168" s="12"/>
    </row>
    <row r="169" ht="15.75" customHeight="1">
      <c r="A169" s="12"/>
      <c r="B169" s="12"/>
    </row>
    <row r="170" ht="15.75" customHeight="1">
      <c r="A170" s="12"/>
      <c r="B170" s="12"/>
    </row>
    <row r="171" ht="15.75" customHeight="1">
      <c r="A171" s="12"/>
      <c r="B171" s="12"/>
    </row>
    <row r="172" ht="15.75" customHeight="1">
      <c r="A172" s="12"/>
      <c r="B172" s="12"/>
    </row>
    <row r="173" ht="15.75" customHeight="1">
      <c r="A173" s="12"/>
      <c r="B173" s="12"/>
    </row>
    <row r="174" ht="15.75" customHeight="1">
      <c r="A174" s="12"/>
      <c r="B174" s="12"/>
    </row>
    <row r="175" ht="15.75" customHeight="1">
      <c r="A175" s="12"/>
      <c r="B175" s="12"/>
    </row>
    <row r="176" ht="15.75" customHeight="1">
      <c r="A176" s="12"/>
      <c r="B176" s="12"/>
    </row>
    <row r="177" ht="15.75" customHeight="1">
      <c r="A177" s="12"/>
      <c r="B177" s="12"/>
    </row>
    <row r="178" ht="15.75" customHeight="1">
      <c r="A178" s="12"/>
      <c r="B178" s="12"/>
    </row>
    <row r="179" ht="15.75" customHeight="1">
      <c r="A179" s="12"/>
      <c r="B179" s="12"/>
    </row>
    <row r="180" ht="15.75" customHeight="1">
      <c r="A180" s="12"/>
      <c r="B180" s="12"/>
    </row>
    <row r="181" ht="15.75" customHeight="1">
      <c r="A181" s="12"/>
      <c r="B181" s="12"/>
    </row>
    <row r="182" ht="15.75" customHeight="1">
      <c r="A182" s="12"/>
      <c r="B182" s="12"/>
    </row>
    <row r="183" ht="15.75" customHeight="1">
      <c r="A183" s="12"/>
      <c r="B183" s="12"/>
    </row>
    <row r="184" ht="15.75" customHeight="1">
      <c r="A184" s="12"/>
      <c r="B184" s="12"/>
    </row>
    <row r="185" ht="15.75" customHeight="1">
      <c r="A185" s="12"/>
      <c r="B185" s="12"/>
    </row>
    <row r="186" ht="15.75" customHeight="1">
      <c r="A186" s="12"/>
      <c r="B186" s="12"/>
    </row>
    <row r="187" ht="15.75" customHeight="1">
      <c r="A187" s="12"/>
      <c r="B187" s="12"/>
    </row>
    <row r="188" ht="15.75" customHeight="1">
      <c r="A188" s="12"/>
      <c r="B188" s="12"/>
    </row>
    <row r="189" ht="15.75" customHeight="1">
      <c r="A189" s="12"/>
      <c r="B189" s="12"/>
    </row>
    <row r="190" ht="15.75" customHeight="1">
      <c r="A190" s="12"/>
      <c r="B190" s="12"/>
    </row>
    <row r="191" ht="15.75" customHeight="1">
      <c r="A191" s="12"/>
      <c r="B191" s="12"/>
    </row>
    <row r="192" ht="15.75" customHeight="1">
      <c r="A192" s="12"/>
      <c r="B192" s="12"/>
    </row>
    <row r="193" ht="15.75" customHeight="1">
      <c r="A193" s="12"/>
      <c r="B193" s="12"/>
    </row>
    <row r="194" ht="15.75" customHeight="1">
      <c r="A194" s="12"/>
      <c r="B194" s="12"/>
    </row>
    <row r="195" ht="15.75" customHeight="1">
      <c r="A195" s="12"/>
      <c r="B195" s="12"/>
    </row>
    <row r="196" ht="15.75" customHeight="1">
      <c r="A196" s="12"/>
      <c r="B196" s="12"/>
    </row>
    <row r="197" ht="15.75" customHeight="1">
      <c r="A197" s="12"/>
      <c r="B197" s="12"/>
    </row>
    <row r="198" ht="15.75" customHeight="1">
      <c r="A198" s="12"/>
      <c r="B198" s="12"/>
    </row>
    <row r="199" ht="15.75" customHeight="1">
      <c r="A199" s="12"/>
      <c r="B199" s="12"/>
    </row>
    <row r="200" ht="15.75" customHeight="1">
      <c r="A200" s="12"/>
      <c r="B200" s="12"/>
    </row>
    <row r="201" ht="15.75" customHeight="1">
      <c r="A201" s="12"/>
      <c r="B201" s="12"/>
    </row>
    <row r="202" ht="15.75" customHeight="1">
      <c r="A202" s="12"/>
      <c r="B202" s="12"/>
    </row>
    <row r="203" ht="15.75" customHeight="1">
      <c r="A203" s="12"/>
      <c r="B203" s="12"/>
    </row>
    <row r="204" ht="15.75" customHeight="1">
      <c r="A204" s="12"/>
      <c r="B204" s="12"/>
    </row>
    <row r="205" ht="15.75" customHeight="1">
      <c r="A205" s="12"/>
      <c r="B205" s="12"/>
    </row>
    <row r="206" ht="15.75" customHeight="1">
      <c r="A206" s="12"/>
      <c r="B206" s="12"/>
    </row>
    <row r="207" ht="15.75" customHeight="1">
      <c r="A207" s="12"/>
      <c r="B207" s="12"/>
    </row>
    <row r="208" ht="15.75" customHeight="1">
      <c r="A208" s="12"/>
      <c r="B208" s="12"/>
    </row>
    <row r="209" ht="15.75" customHeight="1">
      <c r="A209" s="12"/>
      <c r="B209" s="12"/>
    </row>
    <row r="210" ht="15.75" customHeight="1">
      <c r="A210" s="12"/>
      <c r="B210" s="12"/>
    </row>
    <row r="211" ht="15.75" customHeight="1">
      <c r="A211" s="12"/>
      <c r="B211" s="12"/>
    </row>
    <row r="212" ht="15.75" customHeight="1">
      <c r="A212" s="12"/>
      <c r="B212" s="12"/>
    </row>
    <row r="213" ht="15.75" customHeight="1">
      <c r="A213" s="12"/>
      <c r="B213" s="12"/>
    </row>
    <row r="214" ht="15.75" customHeight="1">
      <c r="A214" s="12"/>
      <c r="B214" s="12"/>
    </row>
    <row r="215" ht="15.75" customHeight="1">
      <c r="A215" s="12"/>
      <c r="B215" s="12"/>
    </row>
    <row r="216" ht="15.75" customHeight="1">
      <c r="A216" s="12"/>
      <c r="B216" s="12"/>
    </row>
    <row r="217" ht="15.75" customHeight="1">
      <c r="A217" s="12"/>
      <c r="B217" s="12"/>
    </row>
    <row r="218" ht="15.75" customHeight="1">
      <c r="A218" s="12"/>
      <c r="B218" s="12"/>
    </row>
    <row r="219" ht="15.75" customHeight="1">
      <c r="A219" s="12"/>
      <c r="B219" s="12"/>
    </row>
    <row r="220" ht="15.75" customHeight="1">
      <c r="A220" s="12"/>
      <c r="B220" s="12"/>
    </row>
    <row r="221" ht="15.75" customHeight="1">
      <c r="A221" s="12"/>
      <c r="B221" s="12"/>
    </row>
    <row r="222" ht="15.75" customHeight="1">
      <c r="A222" s="12"/>
      <c r="B222" s="12"/>
    </row>
    <row r="223" ht="15.75" customHeight="1">
      <c r="A223" s="12"/>
      <c r="B223" s="12"/>
    </row>
    <row r="224" ht="15.75" customHeight="1">
      <c r="A224" s="12"/>
      <c r="B224" s="12"/>
    </row>
    <row r="225" ht="15.75" customHeight="1">
      <c r="A225" s="12"/>
      <c r="B225" s="12"/>
    </row>
    <row r="226" ht="15.75" customHeight="1">
      <c r="A226" s="12"/>
      <c r="B226" s="12"/>
    </row>
    <row r="227" ht="15.75" customHeight="1">
      <c r="A227" s="12"/>
      <c r="B227" s="12"/>
    </row>
    <row r="228" ht="15.75" customHeight="1">
      <c r="A228" s="12"/>
      <c r="B228" s="12"/>
    </row>
    <row r="229" ht="15.75" customHeight="1">
      <c r="A229" s="12"/>
      <c r="B229" s="12"/>
    </row>
    <row r="230" ht="15.75" customHeight="1">
      <c r="A230" s="12"/>
      <c r="B230" s="12"/>
    </row>
    <row r="231" ht="15.75" customHeight="1">
      <c r="A231" s="12"/>
      <c r="B231" s="12"/>
    </row>
    <row r="232" ht="15.75" customHeight="1">
      <c r="A232" s="12"/>
      <c r="B232" s="12"/>
    </row>
    <row r="233" ht="15.75" customHeight="1">
      <c r="A233" s="12"/>
      <c r="B233" s="12"/>
    </row>
    <row r="234" ht="15.75" customHeight="1">
      <c r="A234" s="12"/>
      <c r="B234" s="12"/>
    </row>
    <row r="235" ht="15.75" customHeight="1">
      <c r="A235" s="12"/>
      <c r="B235" s="12"/>
    </row>
    <row r="236" ht="15.75" customHeight="1">
      <c r="A236" s="12"/>
      <c r="B236" s="12"/>
    </row>
    <row r="237" ht="15.75" customHeight="1">
      <c r="A237" s="12"/>
      <c r="B237" s="12"/>
    </row>
    <row r="238" ht="15.75" customHeight="1">
      <c r="A238" s="12"/>
      <c r="B238" s="12"/>
    </row>
    <row r="239" ht="15.75" customHeight="1">
      <c r="A239" s="12"/>
      <c r="B239" s="12"/>
    </row>
    <row r="240" ht="15.75" customHeight="1">
      <c r="A240" s="12"/>
      <c r="B240" s="12"/>
    </row>
    <row r="241" ht="15.75" customHeight="1">
      <c r="A241" s="12"/>
      <c r="B241" s="12"/>
    </row>
    <row r="242" ht="15.75" customHeight="1">
      <c r="A242" s="12"/>
      <c r="B242" s="12"/>
    </row>
    <row r="243" ht="15.75" customHeight="1">
      <c r="A243" s="12"/>
      <c r="B243" s="12"/>
    </row>
    <row r="244" ht="15.75" customHeight="1">
      <c r="A244" s="12"/>
      <c r="B244" s="12"/>
    </row>
    <row r="245" ht="15.75" customHeight="1">
      <c r="A245" s="12"/>
      <c r="B245" s="12"/>
    </row>
    <row r="246" ht="15.75" customHeight="1">
      <c r="A246" s="12"/>
      <c r="B246" s="12"/>
    </row>
    <row r="247" ht="15.75" customHeight="1">
      <c r="A247" s="12"/>
      <c r="B247" s="12"/>
    </row>
    <row r="248" ht="15.75" customHeight="1">
      <c r="A248" s="12"/>
      <c r="B248" s="12"/>
    </row>
    <row r="249" ht="15.75" customHeight="1">
      <c r="A249" s="12"/>
      <c r="B249" s="12"/>
    </row>
    <row r="250" ht="15.75" customHeight="1">
      <c r="A250" s="12"/>
      <c r="B250" s="12"/>
    </row>
    <row r="251" ht="15.75" customHeight="1">
      <c r="A251" s="12"/>
      <c r="B251" s="12"/>
    </row>
    <row r="252" ht="15.75" customHeight="1">
      <c r="A252" s="12"/>
      <c r="B252" s="12"/>
    </row>
    <row r="253" ht="15.75" customHeight="1">
      <c r="A253" s="12"/>
      <c r="B253" s="12"/>
    </row>
    <row r="254" ht="15.75" customHeight="1">
      <c r="A254" s="12"/>
      <c r="B254" s="12"/>
    </row>
    <row r="255" ht="15.75" customHeight="1">
      <c r="A255" s="12"/>
      <c r="B255" s="12"/>
    </row>
    <row r="256" ht="15.75" customHeight="1">
      <c r="A256" s="12"/>
      <c r="B256" s="12"/>
    </row>
    <row r="257" ht="15.75" customHeight="1">
      <c r="A257" s="12"/>
      <c r="B257" s="12"/>
    </row>
    <row r="258" ht="15.75" customHeight="1">
      <c r="A258" s="12"/>
      <c r="B258" s="12"/>
    </row>
    <row r="259" ht="15.75" customHeight="1">
      <c r="A259" s="12"/>
      <c r="B259" s="12"/>
    </row>
    <row r="260" ht="15.75" customHeight="1">
      <c r="A260" s="12"/>
      <c r="B260" s="12"/>
    </row>
    <row r="261" ht="15.75" customHeight="1">
      <c r="A261" s="12"/>
      <c r="B261" s="12"/>
    </row>
    <row r="262" ht="15.75" customHeight="1">
      <c r="A262" s="12"/>
      <c r="B262" s="12"/>
    </row>
    <row r="263" ht="15.75" customHeight="1">
      <c r="A263" s="12"/>
      <c r="B263" s="12"/>
    </row>
    <row r="264" ht="15.75" customHeight="1">
      <c r="A264" s="12"/>
      <c r="B264" s="12"/>
    </row>
    <row r="265" ht="15.75" customHeight="1">
      <c r="A265" s="12"/>
      <c r="B265" s="12"/>
    </row>
    <row r="266" ht="15.75" customHeight="1">
      <c r="A266" s="12"/>
      <c r="B266" s="12"/>
    </row>
    <row r="267" ht="15.75" customHeight="1">
      <c r="A267" s="12"/>
      <c r="B267" s="12"/>
    </row>
    <row r="268" ht="15.75" customHeight="1">
      <c r="A268" s="12"/>
      <c r="B268" s="12"/>
    </row>
    <row r="269" ht="15.75" customHeight="1">
      <c r="A269" s="12"/>
      <c r="B269" s="12"/>
    </row>
    <row r="270" ht="15.75" customHeight="1">
      <c r="A270" s="12"/>
      <c r="B270" s="12"/>
    </row>
    <row r="271" ht="15.75" customHeight="1">
      <c r="A271" s="12"/>
      <c r="B271" s="12"/>
    </row>
    <row r="272" ht="15.75" customHeight="1">
      <c r="A272" s="12"/>
      <c r="B272" s="12"/>
    </row>
    <row r="273" ht="15.75" customHeight="1">
      <c r="A273" s="12"/>
      <c r="B273" s="12"/>
    </row>
    <row r="274" ht="15.75" customHeight="1">
      <c r="A274" s="12"/>
      <c r="B274" s="12"/>
    </row>
    <row r="275" ht="15.75" customHeight="1">
      <c r="A275" s="12"/>
      <c r="B275" s="12"/>
    </row>
    <row r="276" ht="15.75" customHeight="1">
      <c r="A276" s="12"/>
      <c r="B276" s="12"/>
    </row>
    <row r="277" ht="15.75" customHeight="1">
      <c r="A277" s="12"/>
      <c r="B277" s="12"/>
    </row>
    <row r="278" ht="15.75" customHeight="1">
      <c r="A278" s="12"/>
      <c r="B278" s="12"/>
    </row>
    <row r="279" ht="15.75" customHeight="1">
      <c r="A279" s="12"/>
      <c r="B279" s="12"/>
    </row>
    <row r="280" ht="15.75" customHeight="1">
      <c r="A280" s="12"/>
      <c r="B280" s="12"/>
    </row>
    <row r="281" ht="15.75" customHeight="1">
      <c r="A281" s="12"/>
      <c r="B281" s="12"/>
    </row>
    <row r="282" ht="15.75" customHeight="1">
      <c r="A282" s="12"/>
      <c r="B282" s="12"/>
    </row>
    <row r="283" ht="15.75" customHeight="1">
      <c r="A283" s="12"/>
      <c r="B283" s="12"/>
    </row>
    <row r="284" ht="15.75" customHeight="1">
      <c r="A284" s="12"/>
      <c r="B284" s="12"/>
    </row>
    <row r="285" ht="15.75" customHeight="1">
      <c r="A285" s="12"/>
      <c r="B285" s="12"/>
    </row>
    <row r="286" ht="15.75" customHeight="1">
      <c r="A286" s="12"/>
      <c r="B286" s="12"/>
    </row>
    <row r="287" ht="15.75" customHeight="1">
      <c r="A287" s="12"/>
      <c r="B287" s="12"/>
    </row>
    <row r="288" ht="15.75" customHeight="1">
      <c r="A288" s="12"/>
      <c r="B288" s="12"/>
    </row>
    <row r="289" ht="15.75" customHeight="1">
      <c r="A289" s="12"/>
      <c r="B289" s="12"/>
    </row>
    <row r="290" ht="15.75" customHeight="1">
      <c r="A290" s="12"/>
      <c r="B290" s="12"/>
    </row>
    <row r="291" ht="15.75" customHeight="1">
      <c r="A291" s="12"/>
      <c r="B291" s="12"/>
    </row>
    <row r="292" ht="15.75" customHeight="1">
      <c r="A292" s="12"/>
      <c r="B292" s="12"/>
    </row>
    <row r="293" ht="15.75" customHeight="1">
      <c r="A293" s="12"/>
      <c r="B293" s="12"/>
    </row>
    <row r="294" ht="15.75" customHeight="1">
      <c r="A294" s="12"/>
      <c r="B294" s="12"/>
    </row>
    <row r="295" ht="15.75" customHeight="1">
      <c r="A295" s="12"/>
      <c r="B295" s="12"/>
    </row>
    <row r="296" ht="15.75" customHeight="1">
      <c r="A296" s="12"/>
      <c r="B296" s="12"/>
    </row>
    <row r="297" ht="15.75" customHeight="1">
      <c r="A297" s="12"/>
      <c r="B297" s="12"/>
    </row>
    <row r="298" ht="15.75" customHeight="1">
      <c r="A298" s="12"/>
      <c r="B298" s="12"/>
    </row>
    <row r="299" ht="15.75" customHeight="1">
      <c r="A299" s="12"/>
      <c r="B299" s="12"/>
    </row>
    <row r="300" ht="15.75" customHeight="1">
      <c r="A300" s="12"/>
      <c r="B300" s="12"/>
    </row>
    <row r="301" ht="15.75" customHeight="1">
      <c r="A301" s="12"/>
      <c r="B301" s="12"/>
    </row>
    <row r="302" ht="15.75" customHeight="1">
      <c r="A302" s="12"/>
      <c r="B302" s="12"/>
    </row>
    <row r="303" ht="15.75" customHeight="1">
      <c r="A303" s="12"/>
      <c r="B303" s="12"/>
    </row>
    <row r="304" ht="15.75" customHeight="1">
      <c r="A304" s="12"/>
      <c r="B304" s="12"/>
    </row>
    <row r="305" ht="15.75" customHeight="1">
      <c r="A305" s="12"/>
      <c r="B305" s="12"/>
    </row>
    <row r="306" ht="15.75" customHeight="1">
      <c r="A306" s="12"/>
      <c r="B306" s="12"/>
    </row>
    <row r="307" ht="15.75" customHeight="1">
      <c r="A307" s="12"/>
      <c r="B307" s="12"/>
    </row>
    <row r="308" ht="15.75" customHeight="1">
      <c r="A308" s="12"/>
      <c r="B308" s="12"/>
    </row>
    <row r="309" ht="15.75" customHeight="1">
      <c r="A309" s="12"/>
      <c r="B309" s="12"/>
    </row>
    <row r="310" ht="15.75" customHeight="1">
      <c r="A310" s="12"/>
      <c r="B310" s="12"/>
    </row>
    <row r="311" ht="15.75" customHeight="1">
      <c r="A311" s="12"/>
      <c r="B311" s="12"/>
    </row>
    <row r="312" ht="15.75" customHeight="1">
      <c r="A312" s="12"/>
      <c r="B312" s="12"/>
    </row>
    <row r="313" ht="15.75" customHeight="1">
      <c r="A313" s="12"/>
      <c r="B313" s="12"/>
    </row>
    <row r="314" ht="15.75" customHeight="1">
      <c r="A314" s="12"/>
      <c r="B314" s="12"/>
    </row>
    <row r="315" ht="15.75" customHeight="1">
      <c r="A315" s="12"/>
      <c r="B315" s="12"/>
    </row>
    <row r="316" ht="15.75" customHeight="1">
      <c r="A316" s="12"/>
      <c r="B316" s="12"/>
    </row>
    <row r="317" ht="15.75" customHeight="1">
      <c r="A317" s="12"/>
      <c r="B317" s="12"/>
    </row>
    <row r="318" ht="15.75" customHeight="1">
      <c r="A318" s="12"/>
      <c r="B318" s="12"/>
    </row>
    <row r="319" ht="15.75" customHeight="1">
      <c r="A319" s="12"/>
      <c r="B319" s="12"/>
    </row>
    <row r="320" ht="15.75" customHeight="1">
      <c r="A320" s="12"/>
      <c r="B320" s="12"/>
    </row>
    <row r="321" ht="15.75" customHeight="1">
      <c r="A321" s="12"/>
      <c r="B321" s="12"/>
    </row>
    <row r="322" ht="15.75" customHeight="1">
      <c r="A322" s="12"/>
      <c r="B322" s="12"/>
    </row>
    <row r="323" ht="15.75" customHeight="1">
      <c r="A323" s="12"/>
      <c r="B323" s="12"/>
    </row>
    <row r="324" ht="15.75" customHeight="1">
      <c r="A324" s="12"/>
      <c r="B324" s="12"/>
    </row>
    <row r="325" ht="15.75" customHeight="1">
      <c r="A325" s="12"/>
      <c r="B325" s="12"/>
    </row>
    <row r="326" ht="15.75" customHeight="1">
      <c r="A326" s="12"/>
      <c r="B326" s="12"/>
    </row>
    <row r="327" ht="15.75" customHeight="1">
      <c r="A327" s="12"/>
      <c r="B327" s="12"/>
    </row>
    <row r="328" ht="15.75" customHeight="1">
      <c r="A328" s="12"/>
      <c r="B328" s="12"/>
    </row>
    <row r="329" ht="15.75" customHeight="1">
      <c r="A329" s="12"/>
      <c r="B329" s="12"/>
    </row>
    <row r="330" ht="15.75" customHeight="1">
      <c r="A330" s="12"/>
      <c r="B330" s="12"/>
    </row>
    <row r="331" ht="15.75" customHeight="1">
      <c r="A331" s="12"/>
      <c r="B331" s="12"/>
    </row>
    <row r="332" ht="15.75" customHeight="1">
      <c r="A332" s="12"/>
      <c r="B332" s="12"/>
    </row>
    <row r="333" ht="15.75" customHeight="1">
      <c r="A333" s="12"/>
      <c r="B333" s="12"/>
    </row>
    <row r="334" ht="15.75" customHeight="1">
      <c r="A334" s="12"/>
      <c r="B334" s="12"/>
    </row>
    <row r="335" ht="15.75" customHeight="1">
      <c r="A335" s="12"/>
      <c r="B335" s="12"/>
    </row>
    <row r="336" ht="15.75" customHeight="1">
      <c r="A336" s="12"/>
      <c r="B336" s="12"/>
    </row>
    <row r="337" ht="15.75" customHeight="1">
      <c r="A337" s="12"/>
      <c r="B337" s="12"/>
    </row>
    <row r="338" ht="15.75" customHeight="1">
      <c r="A338" s="12"/>
      <c r="B338" s="12"/>
    </row>
    <row r="339" ht="15.75" customHeight="1">
      <c r="A339" s="12"/>
      <c r="B339" s="12"/>
    </row>
    <row r="340" ht="15.75" customHeight="1">
      <c r="A340" s="12"/>
      <c r="B340" s="12"/>
    </row>
    <row r="341" ht="15.75" customHeight="1">
      <c r="A341" s="12"/>
      <c r="B341" s="12"/>
    </row>
    <row r="342" ht="15.75" customHeight="1">
      <c r="A342" s="12"/>
      <c r="B342" s="12"/>
    </row>
    <row r="343" ht="15.75" customHeight="1">
      <c r="A343" s="12"/>
      <c r="B343" s="12"/>
    </row>
    <row r="344" ht="15.75" customHeight="1">
      <c r="A344" s="12"/>
      <c r="B344" s="12"/>
    </row>
    <row r="345" ht="15.75" customHeight="1">
      <c r="A345" s="12"/>
      <c r="B345" s="12"/>
    </row>
    <row r="346" ht="15.75" customHeight="1">
      <c r="A346" s="12"/>
      <c r="B346" s="12"/>
    </row>
    <row r="347" ht="15.75" customHeight="1">
      <c r="A347" s="12"/>
      <c r="B347" s="12"/>
    </row>
    <row r="348" ht="15.75" customHeight="1">
      <c r="A348" s="12"/>
      <c r="B348" s="12"/>
    </row>
    <row r="349" ht="15.75" customHeight="1">
      <c r="A349" s="12"/>
      <c r="B349" s="12"/>
    </row>
    <row r="350" ht="15.75" customHeight="1">
      <c r="A350" s="12"/>
      <c r="B350" s="12"/>
    </row>
    <row r="351" ht="15.75" customHeight="1">
      <c r="A351" s="12"/>
      <c r="B351" s="12"/>
    </row>
    <row r="352" ht="15.75" customHeight="1">
      <c r="A352" s="12"/>
      <c r="B352" s="12"/>
    </row>
    <row r="353" ht="15.75" customHeight="1">
      <c r="A353" s="12"/>
      <c r="B353" s="12"/>
    </row>
    <row r="354" ht="15.75" customHeight="1">
      <c r="A354" s="12"/>
      <c r="B354" s="12"/>
    </row>
    <row r="355" ht="15.75" customHeight="1">
      <c r="A355" s="12"/>
      <c r="B355" s="12"/>
    </row>
    <row r="356" ht="15.75" customHeight="1">
      <c r="A356" s="12"/>
      <c r="B356" s="12"/>
    </row>
    <row r="357" ht="15.75" customHeight="1">
      <c r="A357" s="12"/>
      <c r="B357" s="12"/>
    </row>
    <row r="358" ht="15.75" customHeight="1">
      <c r="A358" s="12"/>
      <c r="B358" s="12"/>
    </row>
    <row r="359" ht="15.75" customHeight="1">
      <c r="A359" s="12"/>
      <c r="B359" s="12"/>
    </row>
    <row r="360" ht="15.75" customHeight="1">
      <c r="A360" s="12"/>
      <c r="B360" s="12"/>
    </row>
    <row r="361" ht="15.75" customHeight="1">
      <c r="A361" s="12"/>
      <c r="B361" s="12"/>
    </row>
    <row r="362" ht="15.75" customHeight="1">
      <c r="A362" s="12"/>
      <c r="B362" s="12"/>
    </row>
    <row r="363" ht="15.75" customHeight="1">
      <c r="A363" s="12"/>
      <c r="B363" s="12"/>
    </row>
    <row r="364" ht="15.75" customHeight="1">
      <c r="A364" s="12"/>
      <c r="B364" s="12"/>
    </row>
    <row r="365" ht="15.75" customHeight="1">
      <c r="A365" s="12"/>
      <c r="B365" s="12"/>
    </row>
    <row r="366" ht="15.75" customHeight="1">
      <c r="A366" s="12"/>
      <c r="B366" s="12"/>
    </row>
    <row r="367" ht="15.75" customHeight="1">
      <c r="A367" s="12"/>
      <c r="B367" s="12"/>
    </row>
    <row r="368" ht="15.75" customHeight="1">
      <c r="A368" s="12"/>
      <c r="B368" s="12"/>
    </row>
    <row r="369" ht="15.75" customHeight="1">
      <c r="A369" s="12"/>
      <c r="B369" s="12"/>
    </row>
    <row r="370" ht="15.75" customHeight="1">
      <c r="A370" s="12"/>
      <c r="B370" s="12"/>
    </row>
    <row r="371" ht="15.75" customHeight="1">
      <c r="A371" s="12"/>
      <c r="B371" s="12"/>
    </row>
    <row r="372" ht="15.75" customHeight="1">
      <c r="A372" s="12"/>
      <c r="B372" s="12"/>
    </row>
    <row r="373" ht="15.75" customHeight="1">
      <c r="A373" s="12"/>
      <c r="B373" s="12"/>
    </row>
    <row r="374" ht="15.75" customHeight="1">
      <c r="A374" s="12"/>
      <c r="B374" s="12"/>
    </row>
    <row r="375" ht="15.75" customHeight="1">
      <c r="A375" s="12"/>
      <c r="B375" s="12"/>
    </row>
    <row r="376" ht="15.75" customHeight="1">
      <c r="A376" s="12"/>
      <c r="B376" s="12"/>
    </row>
    <row r="377" ht="15.75" customHeight="1">
      <c r="A377" s="12"/>
      <c r="B377" s="12"/>
    </row>
    <row r="378" ht="15.75" customHeight="1">
      <c r="A378" s="12"/>
      <c r="B378" s="12"/>
    </row>
    <row r="379" ht="15.75" customHeight="1">
      <c r="A379" s="12"/>
      <c r="B379" s="12"/>
    </row>
    <row r="380" ht="15.75" customHeight="1">
      <c r="A380" s="12"/>
      <c r="B380" s="12"/>
    </row>
    <row r="381" ht="15.75" customHeight="1">
      <c r="A381" s="12"/>
      <c r="B381" s="12"/>
    </row>
    <row r="382" ht="15.75" customHeight="1">
      <c r="A382" s="12"/>
      <c r="B382" s="12"/>
    </row>
    <row r="383" ht="15.75" customHeight="1">
      <c r="A383" s="12"/>
      <c r="B383" s="12"/>
    </row>
    <row r="384" ht="15.75" customHeight="1">
      <c r="A384" s="12"/>
      <c r="B384" s="12"/>
    </row>
    <row r="385" ht="15.75" customHeight="1">
      <c r="A385" s="12"/>
      <c r="B385" s="12"/>
    </row>
    <row r="386" ht="15.75" customHeight="1">
      <c r="A386" s="12"/>
      <c r="B386" s="12"/>
    </row>
    <row r="387" ht="15.75" customHeight="1">
      <c r="A387" s="12"/>
      <c r="B387" s="12"/>
    </row>
    <row r="388" ht="15.75" customHeight="1">
      <c r="A388" s="12"/>
      <c r="B388" s="12"/>
    </row>
    <row r="389" ht="15.75" customHeight="1">
      <c r="A389" s="12"/>
      <c r="B389" s="12"/>
    </row>
    <row r="390" ht="15.75" customHeight="1">
      <c r="A390" s="12"/>
      <c r="B390" s="12"/>
    </row>
    <row r="391" ht="15.75" customHeight="1">
      <c r="A391" s="12"/>
      <c r="B391" s="12"/>
    </row>
    <row r="392" ht="15.75" customHeight="1">
      <c r="A392" s="12"/>
      <c r="B392" s="12"/>
    </row>
    <row r="393" ht="15.75" customHeight="1">
      <c r="A393" s="12"/>
      <c r="B393" s="12"/>
    </row>
    <row r="394" ht="15.75" customHeight="1">
      <c r="A394" s="12"/>
      <c r="B394" s="12"/>
    </row>
    <row r="395" ht="15.75" customHeight="1">
      <c r="A395" s="12"/>
      <c r="B395" s="12"/>
    </row>
    <row r="396" ht="15.75" customHeight="1">
      <c r="A396" s="12"/>
      <c r="B396" s="12"/>
    </row>
    <row r="397" ht="15.75" customHeight="1">
      <c r="A397" s="12"/>
      <c r="B397" s="12"/>
    </row>
    <row r="398" ht="15.75" customHeight="1">
      <c r="A398" s="12"/>
      <c r="B398" s="12"/>
    </row>
    <row r="399" ht="15.75" customHeight="1">
      <c r="A399" s="12"/>
      <c r="B399" s="12"/>
    </row>
    <row r="400" ht="15.75" customHeight="1">
      <c r="A400" s="12"/>
      <c r="B400" s="12"/>
    </row>
    <row r="401" ht="15.75" customHeight="1">
      <c r="A401" s="12"/>
      <c r="B401" s="12"/>
    </row>
    <row r="402" ht="15.75" customHeight="1">
      <c r="A402" s="12"/>
      <c r="B402" s="12"/>
    </row>
    <row r="403" ht="15.75" customHeight="1">
      <c r="A403" s="12"/>
      <c r="B403" s="12"/>
    </row>
    <row r="404" ht="15.75" customHeight="1">
      <c r="A404" s="12"/>
      <c r="B404" s="12"/>
    </row>
    <row r="405" ht="15.75" customHeight="1">
      <c r="A405" s="12"/>
      <c r="B405" s="12"/>
    </row>
    <row r="406" ht="15.75" customHeight="1">
      <c r="A406" s="12"/>
      <c r="B406" s="12"/>
    </row>
    <row r="407" ht="15.75" customHeight="1">
      <c r="A407" s="12"/>
      <c r="B407" s="12"/>
    </row>
    <row r="408" ht="15.75" customHeight="1">
      <c r="A408" s="12"/>
      <c r="B408" s="12"/>
    </row>
    <row r="409" ht="15.75" customHeight="1">
      <c r="A409" s="12"/>
      <c r="B409" s="12"/>
    </row>
    <row r="410" ht="15.75" customHeight="1">
      <c r="A410" s="12"/>
      <c r="B410" s="12"/>
    </row>
    <row r="411" ht="15.75" customHeight="1">
      <c r="A411" s="12"/>
      <c r="B411" s="12"/>
    </row>
    <row r="412" ht="15.75" customHeight="1">
      <c r="A412" s="12"/>
      <c r="B412" s="12"/>
    </row>
    <row r="413" ht="15.75" customHeight="1">
      <c r="A413" s="12"/>
      <c r="B413" s="12"/>
    </row>
    <row r="414" ht="15.75" customHeight="1">
      <c r="A414" s="12"/>
      <c r="B414" s="12"/>
    </row>
    <row r="415" ht="15.75" customHeight="1">
      <c r="A415" s="12"/>
      <c r="B415" s="12"/>
    </row>
    <row r="416" ht="15.75" customHeight="1">
      <c r="A416" s="12"/>
      <c r="B416" s="12"/>
    </row>
    <row r="417" ht="15.75" customHeight="1">
      <c r="A417" s="12"/>
      <c r="B417" s="12"/>
    </row>
    <row r="418" ht="15.75" customHeight="1">
      <c r="A418" s="12"/>
      <c r="B418" s="12"/>
    </row>
    <row r="419" ht="15.75" customHeight="1">
      <c r="A419" s="12"/>
      <c r="B419" s="12"/>
    </row>
    <row r="420" ht="15.75" customHeight="1">
      <c r="A420" s="12"/>
      <c r="B420" s="12"/>
    </row>
    <row r="421" ht="15.75" customHeight="1">
      <c r="A421" s="12"/>
      <c r="B421" s="12"/>
    </row>
    <row r="422" ht="15.75" customHeight="1">
      <c r="A422" s="12"/>
      <c r="B422" s="12"/>
    </row>
    <row r="423" ht="15.75" customHeight="1">
      <c r="A423" s="12"/>
      <c r="B423" s="12"/>
    </row>
    <row r="424" ht="15.75" customHeight="1">
      <c r="A424" s="12"/>
      <c r="B424" s="12"/>
    </row>
    <row r="425" ht="15.75" customHeight="1">
      <c r="A425" s="12"/>
      <c r="B425" s="12"/>
    </row>
    <row r="426" ht="15.75" customHeight="1">
      <c r="A426" s="12"/>
      <c r="B426" s="12"/>
    </row>
    <row r="427" ht="15.75" customHeight="1">
      <c r="A427" s="12"/>
      <c r="B427" s="12"/>
    </row>
    <row r="428" ht="15.75" customHeight="1">
      <c r="A428" s="12"/>
      <c r="B428" s="12"/>
    </row>
    <row r="429" ht="15.75" customHeight="1">
      <c r="A429" s="12"/>
      <c r="B429" s="12"/>
    </row>
    <row r="430" ht="15.75" customHeight="1">
      <c r="A430" s="12"/>
      <c r="B430" s="12"/>
    </row>
    <row r="431" ht="15.75" customHeight="1">
      <c r="A431" s="12"/>
      <c r="B431" s="12"/>
    </row>
    <row r="432" ht="15.75" customHeight="1">
      <c r="A432" s="12"/>
      <c r="B432" s="12"/>
    </row>
    <row r="433" ht="15.75" customHeight="1">
      <c r="A433" s="12"/>
      <c r="B433" s="12"/>
    </row>
    <row r="434" ht="15.75" customHeight="1">
      <c r="A434" s="12"/>
      <c r="B434" s="12"/>
    </row>
    <row r="435" ht="15.75" customHeight="1">
      <c r="A435" s="12"/>
      <c r="B435" s="12"/>
    </row>
    <row r="436" ht="15.75" customHeight="1">
      <c r="A436" s="12"/>
      <c r="B436" s="12"/>
    </row>
    <row r="437" ht="15.75" customHeight="1">
      <c r="A437" s="12"/>
      <c r="B437" s="12"/>
    </row>
    <row r="438" ht="15.75" customHeight="1">
      <c r="A438" s="12"/>
      <c r="B438" s="12"/>
    </row>
    <row r="439" ht="15.75" customHeight="1">
      <c r="A439" s="12"/>
      <c r="B439" s="12"/>
    </row>
    <row r="440" ht="15.75" customHeight="1">
      <c r="A440" s="12"/>
      <c r="B440" s="12"/>
    </row>
    <row r="441" ht="15.75" customHeight="1">
      <c r="A441" s="12"/>
      <c r="B441" s="12"/>
    </row>
    <row r="442" ht="15.75" customHeight="1">
      <c r="A442" s="12"/>
      <c r="B442" s="12"/>
    </row>
    <row r="443" ht="15.75" customHeight="1">
      <c r="A443" s="12"/>
      <c r="B443" s="12"/>
    </row>
    <row r="444" ht="15.75" customHeight="1">
      <c r="A444" s="12"/>
      <c r="B444" s="12"/>
    </row>
    <row r="445" ht="15.75" customHeight="1">
      <c r="A445" s="12"/>
      <c r="B445" s="12"/>
    </row>
    <row r="446" ht="15.75" customHeight="1">
      <c r="A446" s="12"/>
      <c r="B446" s="12"/>
    </row>
    <row r="447" ht="15.75" customHeight="1">
      <c r="A447" s="12"/>
      <c r="B447" s="12"/>
    </row>
    <row r="448" ht="15.75" customHeight="1">
      <c r="A448" s="12"/>
      <c r="B448" s="12"/>
    </row>
    <row r="449" ht="15.75" customHeight="1">
      <c r="A449" s="12"/>
      <c r="B449" s="12"/>
    </row>
    <row r="450" ht="15.75" customHeight="1">
      <c r="A450" s="12"/>
      <c r="B450" s="12"/>
    </row>
    <row r="451" ht="15.75" customHeight="1">
      <c r="A451" s="12"/>
      <c r="B451" s="12"/>
    </row>
    <row r="452" ht="15.75" customHeight="1">
      <c r="A452" s="12"/>
      <c r="B452" s="12"/>
    </row>
    <row r="453" ht="15.75" customHeight="1">
      <c r="A453" s="12"/>
      <c r="B453" s="12"/>
    </row>
    <row r="454" ht="15.75" customHeight="1">
      <c r="A454" s="12"/>
      <c r="B454" s="12"/>
    </row>
    <row r="455" ht="15.75" customHeight="1">
      <c r="A455" s="12"/>
      <c r="B455" s="12"/>
    </row>
    <row r="456" ht="15.75" customHeight="1">
      <c r="A456" s="12"/>
      <c r="B456" s="12"/>
    </row>
    <row r="457" ht="15.75" customHeight="1">
      <c r="A457" s="12"/>
      <c r="B457" s="12"/>
    </row>
    <row r="458" ht="15.75" customHeight="1">
      <c r="A458" s="12"/>
      <c r="B458" s="12"/>
    </row>
    <row r="459" ht="15.75" customHeight="1">
      <c r="A459" s="12"/>
      <c r="B459" s="12"/>
    </row>
    <row r="460" ht="15.75" customHeight="1">
      <c r="A460" s="12"/>
      <c r="B460" s="12"/>
    </row>
    <row r="461" ht="15.75" customHeight="1">
      <c r="A461" s="12"/>
      <c r="B461" s="12"/>
    </row>
    <row r="462" ht="15.75" customHeight="1">
      <c r="A462" s="12"/>
      <c r="B462" s="12"/>
    </row>
    <row r="463" ht="15.75" customHeight="1">
      <c r="A463" s="12"/>
      <c r="B463" s="12"/>
    </row>
    <row r="464" ht="15.75" customHeight="1">
      <c r="A464" s="12"/>
      <c r="B464" s="12"/>
    </row>
    <row r="465" ht="15.75" customHeight="1">
      <c r="A465" s="12"/>
      <c r="B465" s="12"/>
    </row>
    <row r="466" ht="15.75" customHeight="1">
      <c r="A466" s="12"/>
      <c r="B466" s="12"/>
    </row>
    <row r="467" ht="15.75" customHeight="1">
      <c r="A467" s="12"/>
      <c r="B467" s="12"/>
    </row>
    <row r="468" ht="15.75" customHeight="1">
      <c r="A468" s="12"/>
      <c r="B468" s="12"/>
    </row>
    <row r="469" ht="15.75" customHeight="1">
      <c r="A469" s="12"/>
      <c r="B469" s="12"/>
    </row>
    <row r="470" ht="15.75" customHeight="1">
      <c r="A470" s="12"/>
      <c r="B470" s="12"/>
    </row>
    <row r="471" ht="15.75" customHeight="1">
      <c r="A471" s="12"/>
      <c r="B471" s="12"/>
    </row>
    <row r="472" ht="15.75" customHeight="1">
      <c r="A472" s="12"/>
      <c r="B472" s="12"/>
    </row>
    <row r="473" ht="15.75" customHeight="1">
      <c r="A473" s="12"/>
      <c r="B473" s="12"/>
    </row>
    <row r="474" ht="15.75" customHeight="1">
      <c r="A474" s="12"/>
      <c r="B474" s="12"/>
    </row>
    <row r="475" ht="15.75" customHeight="1">
      <c r="A475" s="12"/>
      <c r="B475" s="12"/>
    </row>
    <row r="476" ht="15.75" customHeight="1">
      <c r="A476" s="12"/>
      <c r="B476" s="12"/>
    </row>
    <row r="477" ht="15.75" customHeight="1">
      <c r="A477" s="12"/>
      <c r="B477" s="12"/>
    </row>
    <row r="478" ht="15.75" customHeight="1">
      <c r="A478" s="12"/>
      <c r="B478" s="12"/>
    </row>
    <row r="479" ht="15.75" customHeight="1">
      <c r="A479" s="12"/>
      <c r="B479" s="12"/>
    </row>
    <row r="480" ht="15.75" customHeight="1">
      <c r="A480" s="12"/>
      <c r="B480" s="12"/>
    </row>
    <row r="481" ht="15.75" customHeight="1">
      <c r="A481" s="12"/>
      <c r="B481" s="12"/>
    </row>
    <row r="482" ht="15.75" customHeight="1">
      <c r="A482" s="12"/>
      <c r="B482" s="12"/>
    </row>
    <row r="483" ht="15.75" customHeight="1">
      <c r="A483" s="12"/>
      <c r="B483" s="12"/>
    </row>
    <row r="484" ht="15.75" customHeight="1">
      <c r="A484" s="12"/>
      <c r="B484" s="12"/>
    </row>
    <row r="485" ht="15.75" customHeight="1">
      <c r="A485" s="12"/>
      <c r="B485" s="12"/>
    </row>
    <row r="486" ht="15.75" customHeight="1">
      <c r="A486" s="12"/>
      <c r="B486" s="12"/>
    </row>
    <row r="487" ht="15.75" customHeight="1">
      <c r="A487" s="12"/>
      <c r="B487" s="12"/>
    </row>
    <row r="488" ht="15.75" customHeight="1">
      <c r="A488" s="12"/>
      <c r="B488" s="12"/>
    </row>
    <row r="489" ht="15.75" customHeight="1">
      <c r="A489" s="12"/>
      <c r="B489" s="12"/>
    </row>
    <row r="490" ht="15.75" customHeight="1">
      <c r="A490" s="12"/>
      <c r="B490" s="12"/>
    </row>
    <row r="491" ht="15.75" customHeight="1">
      <c r="A491" s="12"/>
      <c r="B491" s="12"/>
    </row>
    <row r="492" ht="15.75" customHeight="1">
      <c r="A492" s="12"/>
      <c r="B492" s="12"/>
    </row>
    <row r="493" ht="15.75" customHeight="1">
      <c r="A493" s="12"/>
      <c r="B493" s="12"/>
    </row>
    <row r="494" ht="15.75" customHeight="1">
      <c r="A494" s="12"/>
      <c r="B494" s="12"/>
    </row>
    <row r="495" ht="15.75" customHeight="1">
      <c r="A495" s="12"/>
      <c r="B495" s="12"/>
    </row>
    <row r="496" ht="15.75" customHeight="1">
      <c r="A496" s="12"/>
      <c r="B496" s="12"/>
    </row>
    <row r="497" ht="15.75" customHeight="1">
      <c r="A497" s="12"/>
      <c r="B497" s="12"/>
    </row>
    <row r="498" ht="15.75" customHeight="1">
      <c r="A498" s="12"/>
      <c r="B498" s="12"/>
    </row>
    <row r="499" ht="15.75" customHeight="1">
      <c r="A499" s="12"/>
      <c r="B499" s="12"/>
    </row>
    <row r="500" ht="15.75" customHeight="1">
      <c r="A500" s="12"/>
      <c r="B500" s="12"/>
    </row>
    <row r="501" ht="15.75" customHeight="1">
      <c r="A501" s="12"/>
      <c r="B501" s="12"/>
    </row>
    <row r="502" ht="15.75" customHeight="1">
      <c r="A502" s="12"/>
      <c r="B502" s="12"/>
    </row>
    <row r="503" ht="15.75" customHeight="1">
      <c r="A503" s="12"/>
      <c r="B503" s="12"/>
    </row>
    <row r="504" ht="15.75" customHeight="1">
      <c r="A504" s="12"/>
      <c r="B504" s="12"/>
    </row>
    <row r="505" ht="15.75" customHeight="1">
      <c r="A505" s="12"/>
      <c r="B505" s="12"/>
    </row>
    <row r="506" ht="15.75" customHeight="1">
      <c r="A506" s="12"/>
      <c r="B506" s="12"/>
    </row>
    <row r="507" ht="15.75" customHeight="1">
      <c r="A507" s="12"/>
      <c r="B507" s="12"/>
    </row>
    <row r="508" ht="15.75" customHeight="1">
      <c r="A508" s="12"/>
      <c r="B508" s="12"/>
    </row>
    <row r="509" ht="15.75" customHeight="1">
      <c r="A509" s="12"/>
      <c r="B509" s="12"/>
    </row>
    <row r="510" ht="15.75" customHeight="1">
      <c r="A510" s="12"/>
      <c r="B510" s="12"/>
    </row>
    <row r="511" ht="15.75" customHeight="1">
      <c r="A511" s="12"/>
      <c r="B511" s="12"/>
    </row>
    <row r="512" ht="15.75" customHeight="1">
      <c r="A512" s="12"/>
      <c r="B512" s="12"/>
    </row>
    <row r="513" ht="15.75" customHeight="1">
      <c r="A513" s="12"/>
      <c r="B513" s="12"/>
    </row>
    <row r="514" ht="15.75" customHeight="1">
      <c r="A514" s="12"/>
      <c r="B514" s="12"/>
    </row>
    <row r="515" ht="15.75" customHeight="1">
      <c r="A515" s="12"/>
      <c r="B515" s="12"/>
    </row>
    <row r="516" ht="15.75" customHeight="1">
      <c r="A516" s="12"/>
      <c r="B516" s="12"/>
    </row>
    <row r="517" ht="15.75" customHeight="1">
      <c r="A517" s="12"/>
      <c r="B517" s="12"/>
    </row>
    <row r="518" ht="15.75" customHeight="1">
      <c r="A518" s="12"/>
      <c r="B518" s="12"/>
    </row>
    <row r="519" ht="15.75" customHeight="1">
      <c r="A519" s="12"/>
      <c r="B519" s="12"/>
    </row>
    <row r="520" ht="15.75" customHeight="1">
      <c r="A520" s="12"/>
      <c r="B520" s="12"/>
    </row>
    <row r="521" ht="15.75" customHeight="1">
      <c r="A521" s="12"/>
      <c r="B521" s="12"/>
    </row>
    <row r="522" ht="15.75" customHeight="1">
      <c r="A522" s="12"/>
      <c r="B522" s="12"/>
    </row>
    <row r="523" ht="15.75" customHeight="1">
      <c r="A523" s="12"/>
      <c r="B523" s="12"/>
    </row>
    <row r="524" ht="15.75" customHeight="1">
      <c r="A524" s="12"/>
      <c r="B524" s="12"/>
    </row>
    <row r="525" ht="15.75" customHeight="1">
      <c r="A525" s="12"/>
      <c r="B525" s="12"/>
    </row>
    <row r="526" ht="15.75" customHeight="1">
      <c r="A526" s="12"/>
      <c r="B526" s="12"/>
    </row>
    <row r="527" ht="15.75" customHeight="1">
      <c r="A527" s="12"/>
      <c r="B527" s="12"/>
    </row>
    <row r="528" ht="15.75" customHeight="1">
      <c r="A528" s="12"/>
      <c r="B528" s="12"/>
    </row>
    <row r="529" ht="15.75" customHeight="1">
      <c r="A529" s="12"/>
      <c r="B529" s="12"/>
    </row>
    <row r="530" ht="15.75" customHeight="1">
      <c r="A530" s="12"/>
      <c r="B530" s="12"/>
    </row>
    <row r="531" ht="15.75" customHeight="1">
      <c r="A531" s="12"/>
      <c r="B531" s="12"/>
    </row>
    <row r="532" ht="15.75" customHeight="1">
      <c r="A532" s="12"/>
      <c r="B532" s="12"/>
    </row>
    <row r="533" ht="15.75" customHeight="1">
      <c r="A533" s="12"/>
      <c r="B533" s="12"/>
    </row>
    <row r="534" ht="15.75" customHeight="1">
      <c r="A534" s="12"/>
      <c r="B534" s="12"/>
    </row>
    <row r="535" ht="15.75" customHeight="1">
      <c r="A535" s="12"/>
      <c r="B535" s="12"/>
    </row>
    <row r="536" ht="15.75" customHeight="1">
      <c r="A536" s="12"/>
      <c r="B536" s="12"/>
    </row>
    <row r="537" ht="15.75" customHeight="1">
      <c r="A537" s="12"/>
      <c r="B537" s="12"/>
    </row>
    <row r="538" ht="15.75" customHeight="1">
      <c r="A538" s="12"/>
      <c r="B538" s="12"/>
    </row>
    <row r="539" ht="15.75" customHeight="1">
      <c r="A539" s="12"/>
      <c r="B539" s="12"/>
    </row>
    <row r="540" ht="15.75" customHeight="1">
      <c r="A540" s="12"/>
      <c r="B540" s="12"/>
    </row>
    <row r="541" ht="15.75" customHeight="1">
      <c r="A541" s="12"/>
      <c r="B541" s="12"/>
    </row>
    <row r="542" ht="15.75" customHeight="1">
      <c r="A542" s="12"/>
      <c r="B542" s="12"/>
    </row>
    <row r="543" ht="15.75" customHeight="1">
      <c r="A543" s="12"/>
      <c r="B543" s="12"/>
    </row>
    <row r="544" ht="15.75" customHeight="1">
      <c r="A544" s="12"/>
      <c r="B544" s="12"/>
    </row>
    <row r="545" ht="15.75" customHeight="1">
      <c r="A545" s="12"/>
      <c r="B545" s="12"/>
    </row>
    <row r="546" ht="15.75" customHeight="1">
      <c r="A546" s="12"/>
      <c r="B546" s="12"/>
    </row>
    <row r="547" ht="15.75" customHeight="1">
      <c r="A547" s="12"/>
      <c r="B547" s="12"/>
    </row>
    <row r="548" ht="15.75" customHeight="1">
      <c r="A548" s="12"/>
      <c r="B548" s="12"/>
    </row>
    <row r="549" ht="15.75" customHeight="1">
      <c r="A549" s="12"/>
      <c r="B549" s="12"/>
    </row>
    <row r="550" ht="15.75" customHeight="1">
      <c r="A550" s="12"/>
      <c r="B550" s="12"/>
    </row>
    <row r="551" ht="15.75" customHeight="1">
      <c r="A551" s="12"/>
      <c r="B551" s="12"/>
    </row>
    <row r="552" ht="15.75" customHeight="1">
      <c r="A552" s="12"/>
      <c r="B552" s="12"/>
    </row>
    <row r="553" ht="15.75" customHeight="1">
      <c r="A553" s="12"/>
      <c r="B553" s="12"/>
    </row>
    <row r="554" ht="15.75" customHeight="1">
      <c r="A554" s="12"/>
      <c r="B554" s="12"/>
    </row>
    <row r="555" ht="15.75" customHeight="1">
      <c r="A555" s="12"/>
      <c r="B555" s="12"/>
    </row>
    <row r="556" ht="15.75" customHeight="1">
      <c r="A556" s="12"/>
      <c r="B556" s="12"/>
    </row>
    <row r="557" ht="15.75" customHeight="1">
      <c r="A557" s="12"/>
      <c r="B557" s="12"/>
    </row>
    <row r="558" ht="15.75" customHeight="1">
      <c r="A558" s="12"/>
      <c r="B558" s="12"/>
    </row>
    <row r="559" ht="15.75" customHeight="1">
      <c r="A559" s="12"/>
      <c r="B559" s="12"/>
    </row>
    <row r="560" ht="15.75" customHeight="1">
      <c r="A560" s="12"/>
      <c r="B560" s="12"/>
    </row>
    <row r="561" ht="15.75" customHeight="1">
      <c r="A561" s="12"/>
      <c r="B561" s="12"/>
    </row>
    <row r="562" ht="15.75" customHeight="1">
      <c r="A562" s="12"/>
      <c r="B562" s="12"/>
    </row>
    <row r="563" ht="15.75" customHeight="1">
      <c r="A563" s="12"/>
      <c r="B563" s="12"/>
    </row>
    <row r="564" ht="15.75" customHeight="1">
      <c r="A564" s="12"/>
      <c r="B564" s="12"/>
    </row>
    <row r="565" ht="15.75" customHeight="1">
      <c r="A565" s="12"/>
      <c r="B565" s="12"/>
    </row>
    <row r="566" ht="15.75" customHeight="1">
      <c r="A566" s="12"/>
      <c r="B566" s="12"/>
    </row>
    <row r="567" ht="15.75" customHeight="1">
      <c r="A567" s="12"/>
      <c r="B567" s="12"/>
    </row>
    <row r="568" ht="15.75" customHeight="1">
      <c r="A568" s="12"/>
      <c r="B568" s="12"/>
    </row>
    <row r="569" ht="15.75" customHeight="1">
      <c r="A569" s="12"/>
      <c r="B569" s="12"/>
    </row>
    <row r="570" ht="15.75" customHeight="1">
      <c r="A570" s="12"/>
      <c r="B570" s="12"/>
    </row>
    <row r="571" ht="15.75" customHeight="1">
      <c r="A571" s="12"/>
      <c r="B571" s="12"/>
    </row>
    <row r="572" ht="15.75" customHeight="1">
      <c r="A572" s="12"/>
      <c r="B572" s="12"/>
    </row>
    <row r="573" ht="15.75" customHeight="1">
      <c r="A573" s="12"/>
      <c r="B573" s="12"/>
    </row>
    <row r="574" ht="15.75" customHeight="1">
      <c r="A574" s="12"/>
      <c r="B574" s="12"/>
    </row>
    <row r="575" ht="15.75" customHeight="1">
      <c r="A575" s="12"/>
      <c r="B575" s="12"/>
    </row>
    <row r="576" ht="15.75" customHeight="1">
      <c r="A576" s="12"/>
      <c r="B576" s="12"/>
    </row>
    <row r="577" ht="15.75" customHeight="1">
      <c r="A577" s="12"/>
      <c r="B577" s="12"/>
    </row>
    <row r="578" ht="15.75" customHeight="1">
      <c r="A578" s="12"/>
      <c r="B578" s="12"/>
    </row>
    <row r="579" ht="15.75" customHeight="1">
      <c r="A579" s="12"/>
      <c r="B579" s="12"/>
    </row>
    <row r="580" ht="15.75" customHeight="1">
      <c r="A580" s="12"/>
      <c r="B580" s="12"/>
    </row>
    <row r="581" ht="15.75" customHeight="1">
      <c r="A581" s="12"/>
      <c r="B581" s="12"/>
    </row>
    <row r="582" ht="15.75" customHeight="1">
      <c r="A582" s="12"/>
      <c r="B582" s="12"/>
    </row>
    <row r="583" ht="15.75" customHeight="1">
      <c r="A583" s="12"/>
      <c r="B583" s="12"/>
    </row>
    <row r="584" ht="15.75" customHeight="1">
      <c r="A584" s="12"/>
      <c r="B584" s="12"/>
    </row>
    <row r="585" ht="15.75" customHeight="1">
      <c r="A585" s="12"/>
      <c r="B585" s="12"/>
    </row>
    <row r="586" ht="15.75" customHeight="1">
      <c r="A586" s="12"/>
      <c r="B586" s="12"/>
    </row>
    <row r="587" ht="15.75" customHeight="1">
      <c r="A587" s="12"/>
      <c r="B587" s="12"/>
    </row>
    <row r="588" ht="15.75" customHeight="1">
      <c r="A588" s="12"/>
      <c r="B588" s="12"/>
    </row>
    <row r="589" ht="15.75" customHeight="1">
      <c r="A589" s="12"/>
      <c r="B589" s="12"/>
    </row>
    <row r="590" ht="15.75" customHeight="1">
      <c r="A590" s="12"/>
      <c r="B590" s="12"/>
    </row>
    <row r="591" ht="15.75" customHeight="1">
      <c r="A591" s="12"/>
      <c r="B591" s="12"/>
    </row>
    <row r="592" ht="15.75" customHeight="1">
      <c r="A592" s="12"/>
      <c r="B592" s="12"/>
    </row>
    <row r="593" ht="15.75" customHeight="1">
      <c r="A593" s="12"/>
      <c r="B593" s="12"/>
    </row>
    <row r="594" ht="15.75" customHeight="1">
      <c r="A594" s="12"/>
      <c r="B594" s="12"/>
    </row>
    <row r="595" ht="15.75" customHeight="1">
      <c r="A595" s="12"/>
      <c r="B595" s="12"/>
    </row>
    <row r="596" ht="15.75" customHeight="1">
      <c r="A596" s="12"/>
      <c r="B596" s="12"/>
    </row>
    <row r="597" ht="15.75" customHeight="1">
      <c r="A597" s="12"/>
      <c r="B597" s="12"/>
    </row>
    <row r="598" ht="15.75" customHeight="1">
      <c r="A598" s="12"/>
      <c r="B598" s="12"/>
    </row>
    <row r="599" ht="15.75" customHeight="1">
      <c r="A599" s="12"/>
      <c r="B599" s="12"/>
    </row>
    <row r="600" ht="15.75" customHeight="1">
      <c r="A600" s="12"/>
      <c r="B600" s="12"/>
    </row>
    <row r="601" ht="15.75" customHeight="1">
      <c r="A601" s="12"/>
      <c r="B601" s="12"/>
    </row>
    <row r="602" ht="15.75" customHeight="1">
      <c r="A602" s="12"/>
      <c r="B602" s="12"/>
    </row>
    <row r="603" ht="15.75" customHeight="1">
      <c r="A603" s="12"/>
      <c r="B603" s="12"/>
    </row>
    <row r="604" ht="15.75" customHeight="1">
      <c r="A604" s="12"/>
      <c r="B604" s="12"/>
    </row>
    <row r="605" ht="15.75" customHeight="1">
      <c r="A605" s="12"/>
      <c r="B605" s="12"/>
    </row>
    <row r="606" ht="15.75" customHeight="1">
      <c r="A606" s="12"/>
      <c r="B606" s="12"/>
    </row>
    <row r="607" ht="15.75" customHeight="1">
      <c r="A607" s="12"/>
      <c r="B607" s="12"/>
    </row>
    <row r="608" ht="15.75" customHeight="1">
      <c r="A608" s="12"/>
      <c r="B608" s="12"/>
    </row>
    <row r="609" ht="15.75" customHeight="1">
      <c r="A609" s="12"/>
      <c r="B609" s="12"/>
    </row>
    <row r="610" ht="15.75" customHeight="1">
      <c r="A610" s="12"/>
      <c r="B610" s="12"/>
    </row>
    <row r="611" ht="15.75" customHeight="1">
      <c r="A611" s="12"/>
      <c r="B611" s="12"/>
    </row>
    <row r="612" ht="15.75" customHeight="1">
      <c r="A612" s="12"/>
      <c r="B612" s="12"/>
    </row>
    <row r="613" ht="15.75" customHeight="1">
      <c r="A613" s="12"/>
      <c r="B613" s="12"/>
    </row>
    <row r="614" ht="15.75" customHeight="1">
      <c r="A614" s="12"/>
      <c r="B614" s="12"/>
    </row>
    <row r="615" ht="15.75" customHeight="1">
      <c r="A615" s="12"/>
      <c r="B615" s="12"/>
    </row>
    <row r="616" ht="15.75" customHeight="1">
      <c r="A616" s="12"/>
      <c r="B616" s="12"/>
    </row>
    <row r="617" ht="15.75" customHeight="1">
      <c r="A617" s="12"/>
      <c r="B617" s="12"/>
    </row>
    <row r="618" ht="15.75" customHeight="1">
      <c r="A618" s="12"/>
      <c r="B618" s="12"/>
    </row>
    <row r="619" ht="15.75" customHeight="1">
      <c r="A619" s="12"/>
      <c r="B619" s="12"/>
    </row>
    <row r="620" ht="15.75" customHeight="1">
      <c r="A620" s="12"/>
      <c r="B620" s="12"/>
    </row>
    <row r="621" ht="15.75" customHeight="1">
      <c r="A621" s="12"/>
      <c r="B621" s="12"/>
    </row>
    <row r="622" ht="15.75" customHeight="1">
      <c r="A622" s="12"/>
      <c r="B622" s="12"/>
    </row>
    <row r="623" ht="15.75" customHeight="1">
      <c r="A623" s="12"/>
      <c r="B623" s="12"/>
    </row>
    <row r="624" ht="15.75" customHeight="1">
      <c r="A624" s="12"/>
      <c r="B624" s="12"/>
    </row>
    <row r="625" ht="15.75" customHeight="1">
      <c r="A625" s="12"/>
      <c r="B625" s="12"/>
    </row>
    <row r="626" ht="15.75" customHeight="1">
      <c r="A626" s="12"/>
      <c r="B626" s="12"/>
    </row>
    <row r="627" ht="15.75" customHeight="1">
      <c r="A627" s="12"/>
      <c r="B627" s="12"/>
    </row>
    <row r="628" ht="15.75" customHeight="1">
      <c r="A628" s="12"/>
      <c r="B628" s="12"/>
    </row>
    <row r="629" ht="15.75" customHeight="1">
      <c r="A629" s="12"/>
      <c r="B629" s="12"/>
    </row>
    <row r="630" ht="15.75" customHeight="1">
      <c r="A630" s="12"/>
      <c r="B630" s="12"/>
    </row>
    <row r="631" ht="15.75" customHeight="1">
      <c r="A631" s="12"/>
      <c r="B631" s="12"/>
    </row>
    <row r="632" ht="15.75" customHeight="1">
      <c r="A632" s="12"/>
      <c r="B632" s="12"/>
    </row>
    <row r="633" ht="15.75" customHeight="1">
      <c r="A633" s="12"/>
      <c r="B633" s="12"/>
    </row>
    <row r="634" ht="15.75" customHeight="1">
      <c r="A634" s="12"/>
      <c r="B634" s="12"/>
    </row>
    <row r="635" ht="15.75" customHeight="1">
      <c r="A635" s="12"/>
      <c r="B635" s="12"/>
    </row>
    <row r="636" ht="15.75" customHeight="1">
      <c r="A636" s="12"/>
      <c r="B636" s="12"/>
    </row>
    <row r="637" ht="15.75" customHeight="1">
      <c r="A637" s="12"/>
      <c r="B637" s="12"/>
    </row>
    <row r="638" ht="15.75" customHeight="1">
      <c r="A638" s="12"/>
      <c r="B638" s="12"/>
    </row>
    <row r="639" ht="15.75" customHeight="1">
      <c r="A639" s="12"/>
      <c r="B639" s="12"/>
    </row>
    <row r="640" ht="15.75" customHeight="1">
      <c r="A640" s="12"/>
      <c r="B640" s="12"/>
    </row>
    <row r="641" ht="15.75" customHeight="1">
      <c r="A641" s="12"/>
      <c r="B641" s="12"/>
    </row>
    <row r="642" ht="15.75" customHeight="1">
      <c r="A642" s="12"/>
      <c r="B642" s="12"/>
    </row>
    <row r="643" ht="15.75" customHeight="1">
      <c r="A643" s="12"/>
      <c r="B643" s="12"/>
    </row>
    <row r="644" ht="15.75" customHeight="1">
      <c r="A644" s="12"/>
      <c r="B644" s="12"/>
    </row>
    <row r="645" ht="15.75" customHeight="1">
      <c r="A645" s="12"/>
      <c r="B645" s="12"/>
    </row>
    <row r="646" ht="15.75" customHeight="1">
      <c r="A646" s="12"/>
      <c r="B646" s="12"/>
    </row>
    <row r="647" ht="15.75" customHeight="1">
      <c r="A647" s="12"/>
      <c r="B647" s="12"/>
    </row>
    <row r="648" ht="15.75" customHeight="1">
      <c r="A648" s="12"/>
      <c r="B648" s="12"/>
    </row>
    <row r="649" ht="15.75" customHeight="1">
      <c r="A649" s="12"/>
      <c r="B649" s="12"/>
    </row>
    <row r="650" ht="15.75" customHeight="1">
      <c r="A650" s="12"/>
      <c r="B650" s="12"/>
    </row>
    <row r="651" ht="15.75" customHeight="1">
      <c r="A651" s="12"/>
      <c r="B651" s="12"/>
    </row>
    <row r="652" ht="15.75" customHeight="1">
      <c r="A652" s="12"/>
      <c r="B652" s="12"/>
    </row>
    <row r="653" ht="15.75" customHeight="1">
      <c r="A653" s="12"/>
      <c r="B653" s="12"/>
    </row>
    <row r="654" ht="15.75" customHeight="1">
      <c r="A654" s="12"/>
      <c r="B654" s="12"/>
    </row>
    <row r="655" ht="15.75" customHeight="1">
      <c r="A655" s="12"/>
      <c r="B655" s="12"/>
    </row>
    <row r="656" ht="15.75" customHeight="1">
      <c r="A656" s="12"/>
      <c r="B656" s="12"/>
    </row>
    <row r="657" ht="15.75" customHeight="1">
      <c r="A657" s="12"/>
      <c r="B657" s="12"/>
    </row>
    <row r="658" ht="15.75" customHeight="1">
      <c r="A658" s="12"/>
      <c r="B658" s="12"/>
    </row>
    <row r="659" ht="15.75" customHeight="1">
      <c r="A659" s="12"/>
      <c r="B659" s="12"/>
    </row>
    <row r="660" ht="15.75" customHeight="1">
      <c r="A660" s="12"/>
      <c r="B660" s="12"/>
    </row>
    <row r="661" ht="15.75" customHeight="1">
      <c r="A661" s="12"/>
      <c r="B661" s="12"/>
    </row>
    <row r="662" ht="15.75" customHeight="1">
      <c r="A662" s="12"/>
      <c r="B662" s="12"/>
    </row>
    <row r="663" ht="15.75" customHeight="1">
      <c r="A663" s="12"/>
      <c r="B663" s="12"/>
    </row>
    <row r="664" ht="15.75" customHeight="1">
      <c r="A664" s="12"/>
      <c r="B664" s="12"/>
    </row>
    <row r="665" ht="15.75" customHeight="1">
      <c r="A665" s="12"/>
      <c r="B665" s="12"/>
    </row>
    <row r="666" ht="15.75" customHeight="1">
      <c r="A666" s="12"/>
      <c r="B666" s="12"/>
    </row>
    <row r="667" ht="15.75" customHeight="1">
      <c r="A667" s="12"/>
      <c r="B667" s="12"/>
    </row>
    <row r="668" ht="15.75" customHeight="1">
      <c r="A668" s="12"/>
      <c r="B668" s="12"/>
    </row>
    <row r="669" ht="15.75" customHeight="1">
      <c r="A669" s="12"/>
      <c r="B669" s="12"/>
    </row>
    <row r="670" ht="15.75" customHeight="1">
      <c r="A670" s="12"/>
      <c r="B670" s="12"/>
    </row>
    <row r="671" ht="15.75" customHeight="1">
      <c r="A671" s="12"/>
      <c r="B671" s="12"/>
    </row>
    <row r="672" ht="15.75" customHeight="1">
      <c r="A672" s="12"/>
      <c r="B672" s="12"/>
    </row>
    <row r="673" ht="15.75" customHeight="1">
      <c r="A673" s="12"/>
      <c r="B673" s="12"/>
    </row>
    <row r="674" ht="15.75" customHeight="1">
      <c r="A674" s="12"/>
      <c r="B674" s="12"/>
    </row>
    <row r="675" ht="15.75" customHeight="1">
      <c r="A675" s="12"/>
      <c r="B675" s="12"/>
    </row>
    <row r="676" ht="15.75" customHeight="1">
      <c r="A676" s="12"/>
      <c r="B676" s="12"/>
    </row>
    <row r="677" ht="15.75" customHeight="1">
      <c r="A677" s="12"/>
      <c r="B677" s="12"/>
    </row>
    <row r="678" ht="15.75" customHeight="1">
      <c r="A678" s="12"/>
      <c r="B678" s="12"/>
    </row>
    <row r="679" ht="15.75" customHeight="1">
      <c r="A679" s="12"/>
      <c r="B679" s="12"/>
    </row>
    <row r="680" ht="15.75" customHeight="1">
      <c r="A680" s="12"/>
      <c r="B680" s="12"/>
    </row>
    <row r="681" ht="15.75" customHeight="1">
      <c r="A681" s="12"/>
      <c r="B681" s="12"/>
    </row>
    <row r="682" ht="15.75" customHeight="1">
      <c r="A682" s="12"/>
      <c r="B682" s="12"/>
    </row>
    <row r="683" ht="15.75" customHeight="1">
      <c r="A683" s="12"/>
      <c r="B683" s="12"/>
    </row>
    <row r="684" ht="15.75" customHeight="1">
      <c r="A684" s="12"/>
      <c r="B684" s="12"/>
    </row>
    <row r="685" ht="15.75" customHeight="1">
      <c r="A685" s="12"/>
      <c r="B685" s="12"/>
    </row>
    <row r="686" ht="15.75" customHeight="1">
      <c r="A686" s="12"/>
      <c r="B686" s="12"/>
    </row>
    <row r="687" ht="15.75" customHeight="1">
      <c r="A687" s="12"/>
      <c r="B687" s="12"/>
    </row>
    <row r="688" ht="15.75" customHeight="1">
      <c r="A688" s="12"/>
      <c r="B688" s="12"/>
    </row>
    <row r="689" ht="15.75" customHeight="1">
      <c r="A689" s="12"/>
      <c r="B689" s="12"/>
    </row>
    <row r="690" ht="15.75" customHeight="1">
      <c r="A690" s="12"/>
      <c r="B690" s="12"/>
    </row>
    <row r="691" ht="15.75" customHeight="1">
      <c r="A691" s="12"/>
      <c r="B691" s="12"/>
    </row>
    <row r="692" ht="15.75" customHeight="1">
      <c r="A692" s="12"/>
      <c r="B692" s="12"/>
    </row>
    <row r="693" ht="15.75" customHeight="1">
      <c r="A693" s="12"/>
      <c r="B693" s="12"/>
    </row>
    <row r="694" ht="15.75" customHeight="1">
      <c r="A694" s="12"/>
      <c r="B694" s="12"/>
    </row>
    <row r="695" ht="15.75" customHeight="1">
      <c r="A695" s="12"/>
      <c r="B695" s="12"/>
    </row>
    <row r="696" ht="15.75" customHeight="1">
      <c r="A696" s="12"/>
      <c r="B696" s="12"/>
    </row>
    <row r="697" ht="15.75" customHeight="1">
      <c r="A697" s="12"/>
      <c r="B697" s="12"/>
    </row>
    <row r="698" ht="15.75" customHeight="1">
      <c r="A698" s="12"/>
      <c r="B698" s="12"/>
    </row>
    <row r="699" ht="15.75" customHeight="1">
      <c r="A699" s="12"/>
      <c r="B699" s="12"/>
    </row>
    <row r="700" ht="15.75" customHeight="1">
      <c r="A700" s="12"/>
      <c r="B700" s="12"/>
    </row>
    <row r="701" ht="15.75" customHeight="1">
      <c r="A701" s="12"/>
      <c r="B701" s="12"/>
    </row>
    <row r="702" ht="15.75" customHeight="1">
      <c r="A702" s="12"/>
      <c r="B702" s="12"/>
    </row>
    <row r="703" ht="15.75" customHeight="1">
      <c r="A703" s="12"/>
      <c r="B703" s="12"/>
    </row>
    <row r="704" ht="15.75" customHeight="1">
      <c r="A704" s="12"/>
      <c r="B704" s="12"/>
    </row>
    <row r="705" ht="15.75" customHeight="1">
      <c r="A705" s="12"/>
      <c r="B705" s="12"/>
    </row>
    <row r="706" ht="15.75" customHeight="1">
      <c r="A706" s="12"/>
      <c r="B706" s="12"/>
    </row>
    <row r="707" ht="15.75" customHeight="1">
      <c r="A707" s="12"/>
      <c r="B707" s="12"/>
    </row>
    <row r="708" ht="15.75" customHeight="1">
      <c r="A708" s="12"/>
      <c r="B708" s="12"/>
    </row>
    <row r="709" ht="15.75" customHeight="1">
      <c r="A709" s="12"/>
      <c r="B709" s="12"/>
    </row>
    <row r="710" ht="15.75" customHeight="1">
      <c r="A710" s="12"/>
      <c r="B710" s="12"/>
    </row>
    <row r="711" ht="15.75" customHeight="1">
      <c r="A711" s="12"/>
      <c r="B711" s="12"/>
    </row>
    <row r="712" ht="15.75" customHeight="1">
      <c r="A712" s="12"/>
      <c r="B712" s="12"/>
    </row>
    <row r="713" ht="15.75" customHeight="1">
      <c r="A713" s="12"/>
      <c r="B713" s="12"/>
    </row>
    <row r="714" ht="15.75" customHeight="1">
      <c r="A714" s="12"/>
      <c r="B714" s="12"/>
    </row>
    <row r="715" ht="15.75" customHeight="1">
      <c r="A715" s="12"/>
      <c r="B715" s="12"/>
    </row>
    <row r="716" ht="15.75" customHeight="1">
      <c r="A716" s="12"/>
      <c r="B716" s="12"/>
    </row>
    <row r="717" ht="15.75" customHeight="1">
      <c r="A717" s="12"/>
      <c r="B717" s="12"/>
    </row>
    <row r="718" ht="15.75" customHeight="1">
      <c r="A718" s="12"/>
      <c r="B718" s="12"/>
    </row>
    <row r="719" ht="15.75" customHeight="1">
      <c r="A719" s="12"/>
      <c r="B719" s="12"/>
    </row>
    <row r="720" ht="15.75" customHeight="1">
      <c r="A720" s="12"/>
      <c r="B720" s="12"/>
    </row>
    <row r="721" ht="15.75" customHeight="1">
      <c r="A721" s="12"/>
      <c r="B721" s="12"/>
    </row>
    <row r="722" ht="15.75" customHeight="1">
      <c r="A722" s="12"/>
      <c r="B722" s="12"/>
    </row>
    <row r="723" ht="15.75" customHeight="1">
      <c r="A723" s="12"/>
      <c r="B723" s="12"/>
    </row>
    <row r="724" ht="15.75" customHeight="1">
      <c r="A724" s="12"/>
      <c r="B724" s="12"/>
    </row>
    <row r="725" ht="15.75" customHeight="1">
      <c r="A725" s="12"/>
      <c r="B725" s="12"/>
    </row>
    <row r="726" ht="15.75" customHeight="1">
      <c r="A726" s="12"/>
      <c r="B726" s="12"/>
    </row>
    <row r="727" ht="15.75" customHeight="1">
      <c r="A727" s="12"/>
      <c r="B727" s="12"/>
    </row>
    <row r="728" ht="15.75" customHeight="1">
      <c r="A728" s="12"/>
      <c r="B728" s="12"/>
    </row>
    <row r="729" ht="15.75" customHeight="1">
      <c r="A729" s="12"/>
      <c r="B729" s="12"/>
    </row>
    <row r="730" ht="15.75" customHeight="1">
      <c r="A730" s="12"/>
      <c r="B730" s="12"/>
    </row>
    <row r="731" ht="15.75" customHeight="1">
      <c r="A731" s="12"/>
      <c r="B731" s="12"/>
    </row>
    <row r="732" ht="15.75" customHeight="1">
      <c r="A732" s="12"/>
      <c r="B732" s="12"/>
    </row>
    <row r="733" ht="15.75" customHeight="1">
      <c r="A733" s="12"/>
      <c r="B733" s="12"/>
    </row>
    <row r="734" ht="15.75" customHeight="1">
      <c r="A734" s="12"/>
      <c r="B734" s="12"/>
    </row>
    <row r="735" ht="15.75" customHeight="1">
      <c r="A735" s="12"/>
      <c r="B735" s="12"/>
    </row>
    <row r="736" ht="15.75" customHeight="1">
      <c r="A736" s="12"/>
      <c r="B736" s="12"/>
    </row>
    <row r="737" ht="15.75" customHeight="1">
      <c r="A737" s="12"/>
      <c r="B737" s="12"/>
    </row>
    <row r="738" ht="15.75" customHeight="1">
      <c r="A738" s="12"/>
      <c r="B738" s="12"/>
    </row>
    <row r="739" ht="15.75" customHeight="1">
      <c r="A739" s="12"/>
      <c r="B739" s="12"/>
    </row>
    <row r="740" ht="15.75" customHeight="1">
      <c r="A740" s="12"/>
      <c r="B740" s="12"/>
    </row>
    <row r="741" ht="15.75" customHeight="1">
      <c r="A741" s="12"/>
      <c r="B741" s="12"/>
    </row>
    <row r="742" ht="15.75" customHeight="1">
      <c r="A742" s="12"/>
      <c r="B742" s="12"/>
    </row>
    <row r="743" ht="15.75" customHeight="1">
      <c r="A743" s="12"/>
      <c r="B743" s="12"/>
    </row>
    <row r="744" ht="15.75" customHeight="1">
      <c r="A744" s="12"/>
      <c r="B744" s="12"/>
    </row>
    <row r="745" ht="15.75" customHeight="1">
      <c r="A745" s="12"/>
      <c r="B745" s="12"/>
    </row>
    <row r="746" ht="15.75" customHeight="1">
      <c r="A746" s="12"/>
      <c r="B746" s="12"/>
    </row>
    <row r="747" ht="15.75" customHeight="1">
      <c r="A747" s="12"/>
      <c r="B747" s="12"/>
    </row>
    <row r="748" ht="15.75" customHeight="1">
      <c r="A748" s="12"/>
      <c r="B748" s="12"/>
    </row>
    <row r="749" ht="15.75" customHeight="1">
      <c r="A749" s="12"/>
      <c r="B749" s="12"/>
    </row>
    <row r="750" ht="15.75" customHeight="1">
      <c r="A750" s="12"/>
      <c r="B750" s="12"/>
    </row>
    <row r="751" ht="15.75" customHeight="1">
      <c r="A751" s="12"/>
      <c r="B751" s="12"/>
    </row>
    <row r="752" ht="15.75" customHeight="1">
      <c r="A752" s="12"/>
      <c r="B752" s="12"/>
    </row>
    <row r="753" ht="15.75" customHeight="1">
      <c r="A753" s="12"/>
      <c r="B753" s="12"/>
    </row>
    <row r="754" ht="15.75" customHeight="1">
      <c r="A754" s="12"/>
      <c r="B754" s="12"/>
    </row>
    <row r="755" ht="15.75" customHeight="1">
      <c r="A755" s="12"/>
      <c r="B755" s="12"/>
    </row>
    <row r="756" ht="15.75" customHeight="1">
      <c r="A756" s="12"/>
      <c r="B756" s="12"/>
    </row>
    <row r="757" ht="15.75" customHeight="1">
      <c r="A757" s="12"/>
      <c r="B757" s="12"/>
    </row>
    <row r="758" ht="15.75" customHeight="1">
      <c r="A758" s="12"/>
      <c r="B758" s="12"/>
    </row>
    <row r="759" ht="15.75" customHeight="1">
      <c r="A759" s="12"/>
      <c r="B759" s="12"/>
    </row>
    <row r="760" ht="15.75" customHeight="1">
      <c r="A760" s="12"/>
      <c r="B760" s="12"/>
    </row>
    <row r="761" ht="15.75" customHeight="1">
      <c r="A761" s="12"/>
      <c r="B761" s="12"/>
    </row>
    <row r="762" ht="15.75" customHeight="1">
      <c r="A762" s="12"/>
      <c r="B762" s="12"/>
    </row>
    <row r="763" ht="15.75" customHeight="1">
      <c r="A763" s="12"/>
      <c r="B763" s="12"/>
    </row>
    <row r="764" ht="15.75" customHeight="1">
      <c r="A764" s="12"/>
      <c r="B764" s="12"/>
    </row>
    <row r="765" ht="15.75" customHeight="1">
      <c r="A765" s="12"/>
      <c r="B765" s="12"/>
    </row>
    <row r="766" ht="15.75" customHeight="1">
      <c r="A766" s="12"/>
      <c r="B766" s="12"/>
    </row>
    <row r="767" ht="15.75" customHeight="1">
      <c r="A767" s="12"/>
      <c r="B767" s="12"/>
    </row>
    <row r="768" ht="15.75" customHeight="1">
      <c r="A768" s="12"/>
      <c r="B768" s="12"/>
    </row>
    <row r="769" ht="15.75" customHeight="1">
      <c r="A769" s="12"/>
      <c r="B769" s="12"/>
    </row>
    <row r="770" ht="15.75" customHeight="1">
      <c r="A770" s="12"/>
      <c r="B770" s="12"/>
    </row>
    <row r="771" ht="15.75" customHeight="1">
      <c r="A771" s="12"/>
      <c r="B771" s="12"/>
    </row>
    <row r="772" ht="15.75" customHeight="1">
      <c r="A772" s="12"/>
      <c r="B772" s="12"/>
    </row>
    <row r="773" ht="15.75" customHeight="1">
      <c r="A773" s="12"/>
      <c r="B773" s="12"/>
    </row>
    <row r="774" ht="15.75" customHeight="1">
      <c r="A774" s="12"/>
      <c r="B774" s="12"/>
    </row>
    <row r="775" ht="15.75" customHeight="1">
      <c r="A775" s="12"/>
      <c r="B775" s="12"/>
    </row>
    <row r="776" ht="15.75" customHeight="1">
      <c r="A776" s="12"/>
      <c r="B776" s="12"/>
    </row>
    <row r="777" ht="15.75" customHeight="1">
      <c r="A777" s="12"/>
      <c r="B777" s="12"/>
    </row>
    <row r="778" ht="15.75" customHeight="1">
      <c r="A778" s="12"/>
      <c r="B778" s="12"/>
    </row>
    <row r="779" ht="15.75" customHeight="1">
      <c r="A779" s="12"/>
      <c r="B779" s="12"/>
    </row>
    <row r="780" ht="15.75" customHeight="1">
      <c r="A780" s="12"/>
      <c r="B780" s="12"/>
    </row>
    <row r="781" ht="15.75" customHeight="1">
      <c r="A781" s="12"/>
      <c r="B781" s="12"/>
    </row>
    <row r="782" ht="15.75" customHeight="1">
      <c r="A782" s="12"/>
      <c r="B782" s="12"/>
    </row>
    <row r="783" ht="15.75" customHeight="1">
      <c r="A783" s="12"/>
      <c r="B783" s="12"/>
    </row>
    <row r="784" ht="15.75" customHeight="1">
      <c r="A784" s="12"/>
      <c r="B784" s="12"/>
    </row>
    <row r="785" ht="15.75" customHeight="1">
      <c r="A785" s="12"/>
      <c r="B785" s="12"/>
    </row>
    <row r="786" ht="15.75" customHeight="1">
      <c r="A786" s="12"/>
      <c r="B786" s="12"/>
    </row>
    <row r="787" ht="15.75" customHeight="1">
      <c r="A787" s="12"/>
      <c r="B787" s="12"/>
    </row>
    <row r="788" ht="15.75" customHeight="1">
      <c r="A788" s="12"/>
      <c r="B788" s="12"/>
    </row>
    <row r="789" ht="15.75" customHeight="1">
      <c r="A789" s="12"/>
      <c r="B789" s="12"/>
    </row>
    <row r="790" ht="15.75" customHeight="1">
      <c r="A790" s="12"/>
      <c r="B790" s="12"/>
    </row>
    <row r="791" ht="15.75" customHeight="1">
      <c r="A791" s="12"/>
      <c r="B791" s="12"/>
    </row>
    <row r="792" ht="15.75" customHeight="1">
      <c r="A792" s="12"/>
      <c r="B792" s="12"/>
    </row>
    <row r="793" ht="15.75" customHeight="1">
      <c r="A793" s="12"/>
      <c r="B793" s="12"/>
    </row>
    <row r="794" ht="15.75" customHeight="1">
      <c r="A794" s="12"/>
      <c r="B794" s="12"/>
    </row>
    <row r="795" ht="15.75" customHeight="1">
      <c r="A795" s="12"/>
      <c r="B795" s="12"/>
    </row>
    <row r="796" ht="15.75" customHeight="1">
      <c r="A796" s="12"/>
      <c r="B796" s="12"/>
    </row>
    <row r="797" ht="15.75" customHeight="1">
      <c r="A797" s="12"/>
      <c r="B797" s="12"/>
    </row>
    <row r="798" ht="15.75" customHeight="1">
      <c r="A798" s="12"/>
      <c r="B798" s="12"/>
    </row>
    <row r="799" ht="15.75" customHeight="1">
      <c r="A799" s="12"/>
      <c r="B799" s="12"/>
    </row>
    <row r="800" ht="15.75" customHeight="1">
      <c r="A800" s="12"/>
      <c r="B800" s="12"/>
    </row>
    <row r="801" ht="15.75" customHeight="1">
      <c r="A801" s="12"/>
      <c r="B801" s="12"/>
    </row>
    <row r="802" ht="15.75" customHeight="1">
      <c r="A802" s="12"/>
      <c r="B802" s="12"/>
    </row>
    <row r="803" ht="15.75" customHeight="1">
      <c r="A803" s="12"/>
      <c r="B803" s="12"/>
    </row>
    <row r="804" ht="15.75" customHeight="1">
      <c r="A804" s="12"/>
      <c r="B804" s="12"/>
    </row>
    <row r="805" ht="15.75" customHeight="1">
      <c r="A805" s="12"/>
      <c r="B805" s="12"/>
    </row>
    <row r="806" ht="15.75" customHeight="1">
      <c r="A806" s="12"/>
      <c r="B806" s="12"/>
    </row>
    <row r="807" ht="15.75" customHeight="1">
      <c r="A807" s="12"/>
      <c r="B807" s="12"/>
    </row>
    <row r="808" ht="15.75" customHeight="1">
      <c r="A808" s="12"/>
      <c r="B808" s="12"/>
    </row>
    <row r="809" ht="15.75" customHeight="1">
      <c r="A809" s="12"/>
      <c r="B809" s="12"/>
    </row>
    <row r="810" ht="15.75" customHeight="1">
      <c r="A810" s="12"/>
      <c r="B810" s="12"/>
    </row>
    <row r="811" ht="15.75" customHeight="1">
      <c r="A811" s="12"/>
      <c r="B811" s="12"/>
    </row>
    <row r="812" ht="15.75" customHeight="1">
      <c r="A812" s="12"/>
      <c r="B812" s="12"/>
    </row>
    <row r="813" ht="15.75" customHeight="1">
      <c r="A813" s="12"/>
      <c r="B813" s="12"/>
    </row>
    <row r="814" ht="15.75" customHeight="1">
      <c r="A814" s="12"/>
      <c r="B814" s="12"/>
    </row>
    <row r="815" ht="15.75" customHeight="1">
      <c r="A815" s="12"/>
      <c r="B815" s="12"/>
    </row>
    <row r="816" ht="15.75" customHeight="1">
      <c r="A816" s="12"/>
      <c r="B816" s="12"/>
    </row>
    <row r="817" ht="15.75" customHeight="1">
      <c r="A817" s="12"/>
      <c r="B817" s="12"/>
    </row>
    <row r="818" ht="15.75" customHeight="1">
      <c r="A818" s="12"/>
      <c r="B818" s="12"/>
    </row>
    <row r="819" ht="15.75" customHeight="1">
      <c r="A819" s="12"/>
      <c r="B819" s="12"/>
    </row>
    <row r="820" ht="15.75" customHeight="1">
      <c r="A820" s="12"/>
      <c r="B820" s="12"/>
    </row>
    <row r="821" ht="15.75" customHeight="1">
      <c r="A821" s="12"/>
      <c r="B821" s="12"/>
    </row>
    <row r="822" ht="15.75" customHeight="1">
      <c r="A822" s="12"/>
      <c r="B822" s="12"/>
    </row>
    <row r="823" ht="15.75" customHeight="1">
      <c r="A823" s="12"/>
      <c r="B823" s="12"/>
    </row>
    <row r="824" ht="15.75" customHeight="1">
      <c r="A824" s="12"/>
      <c r="B824" s="12"/>
    </row>
    <row r="825" ht="15.75" customHeight="1">
      <c r="A825" s="12"/>
      <c r="B825" s="12"/>
    </row>
    <row r="826" ht="15.75" customHeight="1">
      <c r="A826" s="12"/>
      <c r="B826" s="12"/>
    </row>
    <row r="827" ht="15.75" customHeight="1">
      <c r="A827" s="12"/>
      <c r="B827" s="12"/>
    </row>
    <row r="828" ht="15.75" customHeight="1">
      <c r="A828" s="12"/>
      <c r="B828" s="12"/>
    </row>
    <row r="829" ht="15.75" customHeight="1">
      <c r="A829" s="12"/>
      <c r="B829" s="12"/>
    </row>
    <row r="830" ht="15.75" customHeight="1">
      <c r="A830" s="12"/>
      <c r="B830" s="12"/>
    </row>
    <row r="831" ht="15.75" customHeight="1">
      <c r="A831" s="12"/>
      <c r="B831" s="12"/>
    </row>
    <row r="832" ht="15.75" customHeight="1">
      <c r="A832" s="12"/>
      <c r="B832" s="12"/>
    </row>
    <row r="833" ht="15.75" customHeight="1">
      <c r="A833" s="12"/>
      <c r="B833" s="12"/>
    </row>
    <row r="834" ht="15.75" customHeight="1">
      <c r="A834" s="12"/>
      <c r="B834" s="12"/>
    </row>
    <row r="835" ht="15.75" customHeight="1">
      <c r="A835" s="12"/>
      <c r="B835" s="12"/>
    </row>
    <row r="836" ht="15.75" customHeight="1">
      <c r="A836" s="12"/>
      <c r="B836" s="12"/>
    </row>
    <row r="837" ht="15.75" customHeight="1">
      <c r="A837" s="12"/>
      <c r="B837" s="12"/>
    </row>
    <row r="838" ht="15.75" customHeight="1">
      <c r="A838" s="12"/>
      <c r="B838" s="12"/>
    </row>
    <row r="839" ht="15.75" customHeight="1">
      <c r="A839" s="12"/>
      <c r="B839" s="12"/>
    </row>
    <row r="840" ht="15.75" customHeight="1">
      <c r="A840" s="12"/>
      <c r="B840" s="12"/>
    </row>
    <row r="841" ht="15.75" customHeight="1">
      <c r="A841" s="12"/>
      <c r="B841" s="12"/>
    </row>
    <row r="842" ht="15.75" customHeight="1">
      <c r="A842" s="12"/>
      <c r="B842" s="12"/>
    </row>
    <row r="843" ht="15.75" customHeight="1">
      <c r="A843" s="12"/>
      <c r="B843" s="12"/>
    </row>
    <row r="844" ht="15.75" customHeight="1">
      <c r="A844" s="12"/>
      <c r="B844" s="12"/>
    </row>
    <row r="845" ht="15.75" customHeight="1">
      <c r="A845" s="12"/>
      <c r="B845" s="12"/>
    </row>
    <row r="846" ht="15.75" customHeight="1">
      <c r="A846" s="12"/>
      <c r="B846" s="12"/>
    </row>
    <row r="847" ht="15.75" customHeight="1">
      <c r="A847" s="12"/>
      <c r="B847" s="12"/>
    </row>
    <row r="848" ht="15.75" customHeight="1">
      <c r="A848" s="12"/>
      <c r="B848" s="12"/>
    </row>
    <row r="849" ht="15.75" customHeight="1">
      <c r="A849" s="12"/>
      <c r="B849" s="12"/>
    </row>
    <row r="850" ht="15.75" customHeight="1">
      <c r="A850" s="12"/>
      <c r="B850" s="12"/>
    </row>
    <row r="851" ht="15.75" customHeight="1">
      <c r="A851" s="12"/>
      <c r="B851" s="12"/>
    </row>
    <row r="852" ht="15.75" customHeight="1">
      <c r="A852" s="12"/>
      <c r="B852" s="12"/>
    </row>
    <row r="853" ht="15.75" customHeight="1">
      <c r="A853" s="12"/>
      <c r="B853" s="12"/>
    </row>
    <row r="854" ht="15.75" customHeight="1">
      <c r="A854" s="12"/>
      <c r="B854" s="12"/>
    </row>
    <row r="855" ht="15.75" customHeight="1">
      <c r="A855" s="12"/>
      <c r="B855" s="12"/>
    </row>
    <row r="856" ht="15.75" customHeight="1">
      <c r="A856" s="12"/>
      <c r="B856" s="12"/>
    </row>
    <row r="857" ht="15.75" customHeight="1">
      <c r="A857" s="12"/>
      <c r="B857" s="12"/>
    </row>
    <row r="858" ht="15.75" customHeight="1">
      <c r="A858" s="12"/>
      <c r="B858" s="12"/>
    </row>
    <row r="859" ht="15.75" customHeight="1">
      <c r="A859" s="12"/>
      <c r="B859" s="12"/>
    </row>
    <row r="860" ht="15.75" customHeight="1">
      <c r="A860" s="12"/>
      <c r="B860" s="12"/>
    </row>
    <row r="861" ht="15.75" customHeight="1">
      <c r="A861" s="12"/>
      <c r="B861" s="12"/>
    </row>
    <row r="862" ht="15.75" customHeight="1">
      <c r="A862" s="12"/>
      <c r="B862" s="12"/>
    </row>
    <row r="863" ht="15.75" customHeight="1">
      <c r="A863" s="12"/>
      <c r="B863" s="12"/>
    </row>
    <row r="864" ht="15.75" customHeight="1">
      <c r="A864" s="12"/>
      <c r="B864" s="12"/>
    </row>
    <row r="865" ht="15.75" customHeight="1">
      <c r="A865" s="12"/>
      <c r="B865" s="12"/>
    </row>
    <row r="866" ht="15.75" customHeight="1">
      <c r="A866" s="12"/>
      <c r="B866" s="12"/>
    </row>
    <row r="867" ht="15.75" customHeight="1">
      <c r="A867" s="12"/>
      <c r="B867" s="12"/>
    </row>
    <row r="868" ht="15.75" customHeight="1">
      <c r="A868" s="12"/>
      <c r="B868" s="12"/>
    </row>
    <row r="869" ht="15.75" customHeight="1">
      <c r="A869" s="12"/>
      <c r="B869" s="12"/>
    </row>
    <row r="870" ht="15.75" customHeight="1">
      <c r="A870" s="12"/>
      <c r="B870" s="12"/>
    </row>
    <row r="871" ht="15.75" customHeight="1">
      <c r="A871" s="12"/>
      <c r="B871" s="12"/>
    </row>
    <row r="872" ht="15.75" customHeight="1">
      <c r="A872" s="12"/>
      <c r="B872" s="12"/>
    </row>
    <row r="873" ht="15.75" customHeight="1">
      <c r="A873" s="12"/>
      <c r="B873" s="12"/>
    </row>
    <row r="874" ht="15.75" customHeight="1">
      <c r="A874" s="12"/>
      <c r="B874" s="12"/>
    </row>
    <row r="875" ht="15.75" customHeight="1">
      <c r="A875" s="12"/>
      <c r="B875" s="12"/>
    </row>
    <row r="876" ht="15.75" customHeight="1">
      <c r="A876" s="12"/>
      <c r="B876" s="12"/>
    </row>
    <row r="877" ht="15.75" customHeight="1">
      <c r="A877" s="12"/>
      <c r="B877" s="12"/>
    </row>
    <row r="878" ht="15.75" customHeight="1">
      <c r="A878" s="12"/>
      <c r="B878" s="12"/>
    </row>
    <row r="879" ht="15.75" customHeight="1">
      <c r="A879" s="12"/>
      <c r="B879" s="12"/>
    </row>
    <row r="880" ht="15.75" customHeight="1">
      <c r="A880" s="12"/>
      <c r="B880" s="12"/>
    </row>
    <row r="881" ht="15.75" customHeight="1">
      <c r="A881" s="12"/>
      <c r="B881" s="12"/>
    </row>
    <row r="882" ht="15.75" customHeight="1">
      <c r="A882" s="12"/>
      <c r="B882" s="12"/>
    </row>
    <row r="883" ht="15.75" customHeight="1">
      <c r="A883" s="12"/>
      <c r="B883" s="12"/>
    </row>
    <row r="884" ht="15.75" customHeight="1">
      <c r="A884" s="12"/>
      <c r="B884" s="12"/>
    </row>
    <row r="885" ht="15.75" customHeight="1">
      <c r="A885" s="12"/>
      <c r="B885" s="12"/>
    </row>
    <row r="886" ht="15.75" customHeight="1">
      <c r="A886" s="12"/>
      <c r="B886" s="12"/>
    </row>
    <row r="887" ht="15.75" customHeight="1">
      <c r="A887" s="12"/>
      <c r="B887" s="12"/>
    </row>
    <row r="888" ht="15.75" customHeight="1">
      <c r="A888" s="12"/>
      <c r="B888" s="12"/>
    </row>
    <row r="889" ht="15.75" customHeight="1">
      <c r="A889" s="12"/>
      <c r="B889" s="12"/>
    </row>
    <row r="890" ht="15.75" customHeight="1">
      <c r="A890" s="12"/>
      <c r="B890" s="12"/>
    </row>
    <row r="891" ht="15.75" customHeight="1">
      <c r="A891" s="12"/>
      <c r="B891" s="12"/>
    </row>
    <row r="892" ht="15.75" customHeight="1">
      <c r="A892" s="12"/>
      <c r="B892" s="12"/>
    </row>
    <row r="893" ht="15.75" customHeight="1">
      <c r="A893" s="12"/>
      <c r="B893" s="12"/>
    </row>
    <row r="894" ht="15.75" customHeight="1">
      <c r="A894" s="12"/>
      <c r="B894" s="12"/>
    </row>
    <row r="895" ht="15.75" customHeight="1">
      <c r="A895" s="12"/>
      <c r="B895" s="12"/>
    </row>
    <row r="896" ht="15.75" customHeight="1">
      <c r="A896" s="12"/>
      <c r="B896" s="12"/>
    </row>
    <row r="897" ht="15.75" customHeight="1">
      <c r="A897" s="12"/>
      <c r="B897" s="12"/>
    </row>
    <row r="898" ht="15.75" customHeight="1">
      <c r="A898" s="12"/>
      <c r="B898" s="12"/>
    </row>
    <row r="899" ht="15.75" customHeight="1">
      <c r="A899" s="12"/>
      <c r="B899" s="12"/>
    </row>
    <row r="900" ht="15.75" customHeight="1">
      <c r="A900" s="12"/>
      <c r="B900" s="12"/>
    </row>
    <row r="901" ht="15.75" customHeight="1">
      <c r="A901" s="12"/>
      <c r="B901" s="12"/>
    </row>
    <row r="902" ht="15.75" customHeight="1">
      <c r="A902" s="12"/>
      <c r="B902" s="12"/>
    </row>
    <row r="903" ht="15.75" customHeight="1">
      <c r="A903" s="12"/>
      <c r="B903" s="12"/>
    </row>
    <row r="904" ht="15.75" customHeight="1">
      <c r="A904" s="12"/>
      <c r="B904" s="12"/>
    </row>
    <row r="905" ht="15.75" customHeight="1">
      <c r="A905" s="12"/>
      <c r="B905" s="12"/>
    </row>
    <row r="906" ht="15.75" customHeight="1">
      <c r="A906" s="12"/>
      <c r="B906" s="12"/>
    </row>
    <row r="907" ht="15.75" customHeight="1">
      <c r="A907" s="12"/>
      <c r="B907" s="12"/>
    </row>
    <row r="908" ht="15.75" customHeight="1">
      <c r="A908" s="12"/>
      <c r="B908" s="12"/>
    </row>
    <row r="909" ht="15.75" customHeight="1">
      <c r="A909" s="12"/>
      <c r="B909" s="12"/>
    </row>
    <row r="910" ht="15.75" customHeight="1">
      <c r="A910" s="12"/>
      <c r="B910" s="12"/>
    </row>
    <row r="911" ht="15.75" customHeight="1">
      <c r="A911" s="12"/>
      <c r="B911" s="12"/>
    </row>
    <row r="912" ht="15.75" customHeight="1">
      <c r="A912" s="12"/>
      <c r="B912" s="12"/>
    </row>
    <row r="913" ht="15.75" customHeight="1">
      <c r="A913" s="12"/>
      <c r="B913" s="12"/>
    </row>
    <row r="914" ht="15.75" customHeight="1">
      <c r="A914" s="12"/>
      <c r="B914" s="12"/>
    </row>
    <row r="915" ht="15.75" customHeight="1">
      <c r="A915" s="12"/>
      <c r="B915" s="12"/>
    </row>
    <row r="916" ht="15.75" customHeight="1">
      <c r="A916" s="12"/>
      <c r="B916" s="12"/>
    </row>
    <row r="917" ht="15.75" customHeight="1">
      <c r="A917" s="12"/>
      <c r="B917" s="12"/>
    </row>
    <row r="918" ht="15.75" customHeight="1">
      <c r="A918" s="12"/>
      <c r="B918" s="12"/>
    </row>
    <row r="919" ht="15.75" customHeight="1">
      <c r="A919" s="12"/>
      <c r="B919" s="12"/>
    </row>
    <row r="920" ht="15.75" customHeight="1">
      <c r="A920" s="12"/>
      <c r="B920" s="12"/>
    </row>
    <row r="921" ht="15.75" customHeight="1">
      <c r="A921" s="12"/>
      <c r="B921" s="12"/>
    </row>
    <row r="922" ht="15.75" customHeight="1">
      <c r="A922" s="12"/>
      <c r="B922" s="12"/>
    </row>
    <row r="923" ht="15.75" customHeight="1">
      <c r="A923" s="12"/>
      <c r="B923" s="12"/>
    </row>
    <row r="924" ht="15.75" customHeight="1">
      <c r="A924" s="12"/>
      <c r="B924" s="12"/>
    </row>
    <row r="925" ht="15.75" customHeight="1">
      <c r="A925" s="12"/>
      <c r="B925" s="12"/>
    </row>
    <row r="926" ht="15.75" customHeight="1">
      <c r="A926" s="12"/>
      <c r="B926" s="12"/>
    </row>
    <row r="927" ht="15.75" customHeight="1">
      <c r="A927" s="12"/>
      <c r="B927" s="12"/>
    </row>
    <row r="928" ht="15.75" customHeight="1">
      <c r="A928" s="12"/>
      <c r="B928" s="12"/>
    </row>
    <row r="929" ht="15.75" customHeight="1">
      <c r="A929" s="12"/>
      <c r="B929" s="12"/>
    </row>
    <row r="930" ht="15.75" customHeight="1">
      <c r="A930" s="12"/>
      <c r="B930" s="12"/>
    </row>
    <row r="931" ht="15.75" customHeight="1">
      <c r="A931" s="12"/>
      <c r="B931" s="12"/>
    </row>
    <row r="932" ht="15.75" customHeight="1">
      <c r="A932" s="12"/>
      <c r="B932" s="12"/>
    </row>
    <row r="933" ht="15.75" customHeight="1">
      <c r="A933" s="12"/>
      <c r="B933" s="12"/>
    </row>
    <row r="934" ht="15.75" customHeight="1">
      <c r="A934" s="12"/>
      <c r="B934" s="12"/>
    </row>
    <row r="935" ht="15.75" customHeight="1">
      <c r="A935" s="12"/>
      <c r="B935" s="12"/>
    </row>
    <row r="936" ht="15.75" customHeight="1">
      <c r="A936" s="12"/>
      <c r="B936" s="12"/>
    </row>
    <row r="937" ht="15.75" customHeight="1">
      <c r="A937" s="12"/>
      <c r="B937" s="12"/>
    </row>
    <row r="938" ht="15.75" customHeight="1">
      <c r="A938" s="12"/>
      <c r="B938" s="12"/>
    </row>
    <row r="939" ht="15.75" customHeight="1">
      <c r="A939" s="12"/>
      <c r="B939" s="12"/>
    </row>
    <row r="940" ht="15.75" customHeight="1">
      <c r="A940" s="12"/>
      <c r="B940" s="12"/>
    </row>
    <row r="941" ht="15.75" customHeight="1">
      <c r="A941" s="12"/>
      <c r="B941" s="12"/>
    </row>
    <row r="942" ht="15.75" customHeight="1">
      <c r="A942" s="12"/>
      <c r="B942" s="12"/>
    </row>
    <row r="943" ht="15.75" customHeight="1">
      <c r="A943" s="12"/>
      <c r="B943" s="12"/>
    </row>
    <row r="944" ht="15.75" customHeight="1">
      <c r="A944" s="12"/>
      <c r="B944" s="12"/>
    </row>
    <row r="945" ht="15.75" customHeight="1">
      <c r="A945" s="12"/>
      <c r="B945" s="12"/>
    </row>
    <row r="946" ht="15.75" customHeight="1">
      <c r="A946" s="12"/>
      <c r="B946" s="12"/>
    </row>
    <row r="947" ht="15.75" customHeight="1">
      <c r="A947" s="12"/>
      <c r="B947" s="12"/>
    </row>
    <row r="948" ht="15.75" customHeight="1">
      <c r="A948" s="12"/>
      <c r="B948" s="12"/>
    </row>
    <row r="949" ht="15.75" customHeight="1">
      <c r="A949" s="12"/>
      <c r="B949" s="12"/>
    </row>
    <row r="950" ht="15.75" customHeight="1">
      <c r="A950" s="12"/>
      <c r="B950" s="12"/>
    </row>
    <row r="951" ht="15.75" customHeight="1">
      <c r="A951" s="12"/>
      <c r="B951" s="12"/>
    </row>
    <row r="952" ht="15.75" customHeight="1">
      <c r="A952" s="12"/>
      <c r="B952" s="12"/>
    </row>
    <row r="953" ht="15.75" customHeight="1">
      <c r="A953" s="12"/>
      <c r="B953" s="12"/>
    </row>
    <row r="954" ht="15.75" customHeight="1">
      <c r="A954" s="12"/>
      <c r="B954" s="12"/>
    </row>
    <row r="955" ht="15.75" customHeight="1">
      <c r="A955" s="12"/>
      <c r="B955" s="12"/>
    </row>
    <row r="956" ht="15.75" customHeight="1">
      <c r="A956" s="12"/>
      <c r="B956" s="12"/>
    </row>
    <row r="957" ht="15.75" customHeight="1">
      <c r="A957" s="12"/>
      <c r="B957" s="12"/>
    </row>
    <row r="958" ht="15.75" customHeight="1">
      <c r="A958" s="12"/>
      <c r="B958" s="12"/>
    </row>
    <row r="959" ht="15.75" customHeight="1">
      <c r="A959" s="12"/>
      <c r="B959" s="12"/>
    </row>
    <row r="960" ht="15.75" customHeight="1">
      <c r="A960" s="12"/>
      <c r="B960" s="12"/>
    </row>
    <row r="961" ht="15.75" customHeight="1">
      <c r="A961" s="12"/>
      <c r="B961" s="12"/>
    </row>
    <row r="962" ht="15.75" customHeight="1">
      <c r="A962" s="12"/>
      <c r="B962" s="12"/>
    </row>
    <row r="963" ht="15.75" customHeight="1">
      <c r="A963" s="12"/>
      <c r="B963" s="12"/>
    </row>
    <row r="964" ht="15.75" customHeight="1">
      <c r="A964" s="12"/>
      <c r="B964" s="12"/>
    </row>
    <row r="965" ht="15.75" customHeight="1">
      <c r="A965" s="12"/>
      <c r="B965" s="12"/>
    </row>
    <row r="966" ht="15.75" customHeight="1">
      <c r="A966" s="12"/>
      <c r="B966" s="12"/>
    </row>
    <row r="967" ht="15.75" customHeight="1">
      <c r="A967" s="12"/>
      <c r="B967" s="12"/>
    </row>
    <row r="968" ht="15.75" customHeight="1">
      <c r="A968" s="12"/>
      <c r="B968" s="12"/>
    </row>
    <row r="969" ht="15.75" customHeight="1">
      <c r="A969" s="12"/>
      <c r="B969" s="12"/>
    </row>
    <row r="970" ht="15.75" customHeight="1">
      <c r="A970" s="12"/>
      <c r="B970" s="12"/>
    </row>
    <row r="971" ht="15.75" customHeight="1">
      <c r="A971" s="12"/>
      <c r="B971" s="12"/>
    </row>
    <row r="972" ht="15.75" customHeight="1">
      <c r="A972" s="12"/>
      <c r="B972" s="12"/>
    </row>
    <row r="973" ht="15.75" customHeight="1">
      <c r="A973" s="12"/>
      <c r="B973" s="12"/>
    </row>
    <row r="974" ht="15.75" customHeight="1">
      <c r="A974" s="12"/>
      <c r="B974" s="12"/>
    </row>
    <row r="975" ht="15.75" customHeight="1">
      <c r="A975" s="12"/>
      <c r="B975" s="12"/>
    </row>
    <row r="976" ht="15.75" customHeight="1">
      <c r="A976" s="12"/>
      <c r="B976" s="12"/>
    </row>
    <row r="977" ht="15.75" customHeight="1">
      <c r="A977" s="12"/>
      <c r="B977" s="12"/>
    </row>
    <row r="978" ht="15.75" customHeight="1">
      <c r="A978" s="12"/>
      <c r="B978" s="12"/>
    </row>
    <row r="979" ht="15.75" customHeight="1">
      <c r="A979" s="12"/>
      <c r="B979" s="12"/>
    </row>
    <row r="980" ht="15.75" customHeight="1">
      <c r="A980" s="12"/>
      <c r="B980" s="12"/>
    </row>
    <row r="981" ht="15.75" customHeight="1">
      <c r="A981" s="12"/>
      <c r="B981" s="12"/>
    </row>
    <row r="982" ht="15.75" customHeight="1">
      <c r="A982" s="12"/>
      <c r="B982" s="12"/>
    </row>
    <row r="983" ht="15.75" customHeight="1">
      <c r="A983" s="12"/>
      <c r="B983" s="12"/>
    </row>
    <row r="984" ht="15.75" customHeight="1">
      <c r="A984" s="12"/>
      <c r="B984" s="12"/>
    </row>
    <row r="985" ht="15.75" customHeight="1">
      <c r="A985" s="12"/>
      <c r="B985" s="12"/>
    </row>
    <row r="986" ht="15.75" customHeight="1">
      <c r="A986" s="12"/>
      <c r="B986" s="12"/>
    </row>
    <row r="987" ht="15.75" customHeight="1">
      <c r="A987" s="12"/>
      <c r="B987" s="12"/>
    </row>
    <row r="988" ht="15.75" customHeight="1">
      <c r="A988" s="12"/>
      <c r="B988" s="12"/>
    </row>
    <row r="989" ht="15.75" customHeight="1">
      <c r="A989" s="12"/>
      <c r="B989" s="12"/>
    </row>
    <row r="990" ht="15.75" customHeight="1">
      <c r="A990" s="12"/>
      <c r="B990" s="12"/>
    </row>
    <row r="991" ht="15.75" customHeight="1">
      <c r="A991" s="12"/>
      <c r="B991" s="12"/>
    </row>
    <row r="992" ht="15.75" customHeight="1">
      <c r="A992" s="12"/>
      <c r="B992" s="12"/>
    </row>
    <row r="993" ht="15.75" customHeight="1">
      <c r="A993" s="12"/>
      <c r="B993" s="12"/>
    </row>
    <row r="994" ht="15.75" customHeight="1">
      <c r="A994" s="12"/>
      <c r="B994" s="12"/>
    </row>
    <row r="995" ht="15.75" customHeight="1">
      <c r="A995" s="12"/>
      <c r="B995" s="12"/>
    </row>
    <row r="996" ht="15.75" customHeight="1">
      <c r="A996" s="12"/>
      <c r="B996" s="12"/>
    </row>
    <row r="997" ht="15.75" customHeight="1">
      <c r="A997" s="12"/>
      <c r="B997" s="12"/>
    </row>
    <row r="998" ht="15.75" customHeight="1">
      <c r="A998" s="12"/>
      <c r="B998" s="12"/>
    </row>
    <row r="999" ht="15.75" customHeight="1">
      <c r="A999" s="12"/>
      <c r="B999" s="12"/>
    </row>
    <row r="1000" ht="15.75" customHeight="1">
      <c r="A1000" s="12"/>
      <c r="B1000" s="12"/>
    </row>
  </sheetData>
  <printOptions/>
  <pageMargins bottom="1.0" footer="0.0" header="0.0" left="0.75" right="0.75" top="1.0"/>
  <pageSetup paperSize="9" orientation="portrait"/>
  <drawing r:id="rId1"/>
</worksheet>
</file>