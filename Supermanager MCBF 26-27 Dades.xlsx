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legenda" sheetId="1" state="visible" r:id="rId3"/>
    <sheet name="Jugadores" sheetId="2" state="visible" r:id="rId4"/>
    <sheet name="Doblatges" sheetId="3" state="visible" r:id="rId5"/>
    <sheet name="Jornades" sheetId="4" state="visible" r:id="rId6"/>
    <sheet name="Partits" sheetId="5" state="visible" r:id="rId7"/>
    <sheet name="Resultats_jugadores" sheetId="6" state="visible" r:id="rId8"/>
    <sheet name="Equips_usuari" sheetId="7" state="visible" r:id="rId9"/>
    <sheet name="Respostes_usuari" sheetId="8" state="visible" r:id="rId10"/>
    <sheet name="Calcul_puntuacio" sheetId="9" state="visible" r:id="rId11"/>
    <sheet name="Classificacio" sheetId="10" state="visible" r:id="rId12"/>
    <sheet name="Classificacio_global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<sst xmlns="http://schemas.openxmlformats.org/spreadsheetml/2006/main" count="606" uniqueCount="149">
  <si>
    <t xml:space="preserve">SUPERMANAGER MCBF 26/27 — Full de dades</t>
  </si>
  <si>
    <t xml:space="preserve">Pestanyes on cal escriure/editar manualment:</t>
  </si>
  <si>
    <t xml:space="preserve">Doblatges</t>
  </si>
  <si>
    <t xml:space="preserve">Actualitzar cada setmana amb la llista de jugadores que dobles i a quin equip.</t>
  </si>
  <si>
    <t xml:space="preserve">Jornades</t>
  </si>
  <si>
    <t xml:space="preserve">Marcar quins equips juguen aquesta jornada (Actiu_...) i les preguntes/respostes correctes.</t>
  </si>
  <si>
    <t xml:space="preserve">Partits</t>
  </si>
  <si>
    <t xml:space="preserve">Escriure V o D per cada equip un cop acabada la jornada (per calcular el bonus del 20%).</t>
  </si>
  <si>
    <t xml:space="preserve">Resultats_jugadores</t>
  </si>
  <si>
    <t xml:space="preserve">Introduir punts i faltes de cada jugadora un cop jugada la jornada.</t>
  </si>
  <si>
    <t xml:space="preserve">Respostes_usuari</t>
  </si>
  <si>
    <t xml:space="preserve">Puntuar manualment la columna Punts_preguntes (5 o 20 punts segons la normativa).</t>
  </si>
  <si>
    <t xml:space="preserve">Pestanyes que escriurà l'app automàticament:</t>
  </si>
  <si>
    <t xml:space="preserve">Equips_usuari</t>
  </si>
  <si>
    <t xml:space="preserve">Cada equip que un usuari envia (l'app hi escriu directament).</t>
  </si>
  <si>
    <t xml:space="preserve">Jugadores</t>
  </si>
  <si>
    <t xml:space="preserve">(no la toca l'app; és el mestre de dades)</t>
  </si>
  <si>
    <t xml:space="preserve">Pestanyes calculades — NO editar a mà:</t>
  </si>
  <si>
    <t xml:space="preserve">Calcul_puntuacio</t>
  </si>
  <si>
    <t xml:space="preserve">Classificacio</t>
  </si>
  <si>
    <t xml:space="preserve">Classificacio_global</t>
  </si>
  <si>
    <t xml:space="preserve">Nom</t>
  </si>
  <si>
    <t xml:space="preserve">Equip</t>
  </si>
  <si>
    <t xml:space="preserve">Posicio</t>
  </si>
  <si>
    <t xml:space="preserve">Estrella</t>
  </si>
  <si>
    <t xml:space="preserve">Anna Fornells</t>
  </si>
  <si>
    <t xml:space="preserve">LF2</t>
  </si>
  <si>
    <t xml:space="preserve">A</t>
  </si>
  <si>
    <t xml:space="preserve">NO</t>
  </si>
  <si>
    <t xml:space="preserve">Queralt Ribera</t>
  </si>
  <si>
    <t xml:space="preserve">Clàudia Morros</t>
  </si>
  <si>
    <t xml:space="preserve">Mar Ribera</t>
  </si>
  <si>
    <t xml:space="preserve">Andreea Cojocariu</t>
  </si>
  <si>
    <t xml:space="preserve">SI</t>
  </si>
  <si>
    <t xml:space="preserve">Mar Martí</t>
  </si>
  <si>
    <t xml:space="preserve">Sira Gaspà</t>
  </si>
  <si>
    <t xml:space="preserve">B</t>
  </si>
  <si>
    <t xml:space="preserve">Marina Melero</t>
  </si>
  <si>
    <t xml:space="preserve">Ayisse Magassa</t>
  </si>
  <si>
    <t xml:space="preserve">P</t>
  </si>
  <si>
    <t xml:space="preserve">Emma Pey</t>
  </si>
  <si>
    <t xml:space="preserve">Eva Almasqué</t>
  </si>
  <si>
    <t xml:space="preserve">Jana Calvet</t>
  </si>
  <si>
    <t xml:space="preserve">U13</t>
  </si>
  <si>
    <t xml:space="preserve">Clàudia Barcons</t>
  </si>
  <si>
    <t xml:space="preserve">Alba Sánchez</t>
  </si>
  <si>
    <t xml:space="preserve">Gal·la Hernando</t>
  </si>
  <si>
    <t xml:space="preserve">Martina Agramunt</t>
  </si>
  <si>
    <t xml:space="preserve">Lea Estopà</t>
  </si>
  <si>
    <t xml:space="preserve">Arlet Canyelles</t>
  </si>
  <si>
    <t xml:space="preserve">Alina Serrano</t>
  </si>
  <si>
    <t xml:space="preserve">Aina Torras</t>
  </si>
  <si>
    <t xml:space="preserve">Arya Miquel</t>
  </si>
  <si>
    <t xml:space="preserve">Greta Codina</t>
  </si>
  <si>
    <t xml:space="preserve">U14</t>
  </si>
  <si>
    <t xml:space="preserve">Emma Escudé</t>
  </si>
  <si>
    <t xml:space="preserve">Ndeye Diop</t>
  </si>
  <si>
    <t xml:space="preserve">Anouk Mas</t>
  </si>
  <si>
    <t xml:space="preserve">Abril Pérez</t>
  </si>
  <si>
    <t xml:space="preserve">Ariadna Cartes</t>
  </si>
  <si>
    <t xml:space="preserve">Edurne Marco</t>
  </si>
  <si>
    <t xml:space="preserve">Violant Vinyes</t>
  </si>
  <si>
    <t xml:space="preserve">Leyre Castelló</t>
  </si>
  <si>
    <t xml:space="preserve">Abril Parés</t>
  </si>
  <si>
    <t xml:space="preserve">U15</t>
  </si>
  <si>
    <t xml:space="preserve">Laia Castells</t>
  </si>
  <si>
    <t xml:space="preserve">Erica Farizo</t>
  </si>
  <si>
    <t xml:space="preserve">Ania Molina</t>
  </si>
  <si>
    <t xml:space="preserve">Laia Casas</t>
  </si>
  <si>
    <t xml:space="preserve">Alba Llamas</t>
  </si>
  <si>
    <t xml:space="preserve">Fatoumata Dembele</t>
  </si>
  <si>
    <t xml:space="preserve">Wealth Atsedagho</t>
  </si>
  <si>
    <t xml:space="preserve">Eulàlia Mayor</t>
  </si>
  <si>
    <t xml:space="preserve">U16</t>
  </si>
  <si>
    <t xml:space="preserve">Noa Viladrich</t>
  </si>
  <si>
    <t xml:space="preserve">Helena Jiménez</t>
  </si>
  <si>
    <t xml:space="preserve">Iara Suárez</t>
  </si>
  <si>
    <t xml:space="preserve">Txell Copete</t>
  </si>
  <si>
    <t xml:space="preserve">Júlia Alayo</t>
  </si>
  <si>
    <t xml:space="preserve">Nina Clotet</t>
  </si>
  <si>
    <t xml:space="preserve">Iria Sastre</t>
  </si>
  <si>
    <t xml:space="preserve">Sónia Tsyvinska</t>
  </si>
  <si>
    <t xml:space="preserve">Laia Muncunill</t>
  </si>
  <si>
    <t xml:space="preserve">Sara Primo</t>
  </si>
  <si>
    <t xml:space="preserve">Enia Garcia</t>
  </si>
  <si>
    <t xml:space="preserve">U17+SFB</t>
  </si>
  <si>
    <t xml:space="preserve">Carla Tabares</t>
  </si>
  <si>
    <t xml:space="preserve">Clàudia Fernández</t>
  </si>
  <si>
    <t xml:space="preserve">Ada Ledesma</t>
  </si>
  <si>
    <t xml:space="preserve">Carla Canyelles</t>
  </si>
  <si>
    <t xml:space="preserve">Aina Magaña</t>
  </si>
  <si>
    <t xml:space="preserve">Abril Andrades</t>
  </si>
  <si>
    <t xml:space="preserve">Anna Guix</t>
  </si>
  <si>
    <t xml:space="preserve">Laia Llamas</t>
  </si>
  <si>
    <t xml:space="preserve">U18+DE</t>
  </si>
  <si>
    <t xml:space="preserve">Aina Muñoz</t>
  </si>
  <si>
    <t xml:space="preserve">Carla Forcada</t>
  </si>
  <si>
    <t xml:space="preserve">Júlia Arcos</t>
  </si>
  <si>
    <t xml:space="preserve">Mariona Rosell</t>
  </si>
  <si>
    <t xml:space="preserve">Xènia Fígols</t>
  </si>
  <si>
    <t xml:space="preserve">Kourafy Dembele</t>
  </si>
  <si>
    <t xml:space="preserve">Berta Gol</t>
  </si>
  <si>
    <t xml:space="preserve">Mbakourou Dembele</t>
  </si>
  <si>
    <t xml:space="preserve">Carla Dalmau</t>
  </si>
  <si>
    <t xml:space="preserve">Laia Serra</t>
  </si>
  <si>
    <t xml:space="preserve">Jornada</t>
  </si>
  <si>
    <t xml:space="preserve">Equip_origen</t>
  </si>
  <si>
    <t xml:space="preserve">Equip_dobla</t>
  </si>
  <si>
    <t xml:space="preserve">Ainara Cedres</t>
  </si>
  <si>
    <t xml:space="preserve">(fora del roster / altra categoria)</t>
  </si>
  <si>
    <t xml:space="preserve">Esrae El Harraq</t>
  </si>
  <si>
    <t xml:space="preserve">Elna Leon</t>
  </si>
  <si>
    <t xml:space="preserve">Actiu_U13</t>
  </si>
  <si>
    <t xml:space="preserve">Actiu_U14</t>
  </si>
  <si>
    <t xml:space="preserve">Actiu_U15</t>
  </si>
  <si>
    <t xml:space="preserve">Actiu_U16</t>
  </si>
  <si>
    <t xml:space="preserve">Actiu_U17+SFB</t>
  </si>
  <si>
    <t xml:space="preserve">Actiu_U18+DE</t>
  </si>
  <si>
    <t xml:space="preserve">Actiu_LF2</t>
  </si>
  <si>
    <t xml:space="preserve">Pregunta_average</t>
  </si>
  <si>
    <t xml:space="preserve">Resposta_correcta_average</t>
  </si>
  <si>
    <t xml:space="preserve">Pregunta_2</t>
  </si>
  <si>
    <t xml:space="preserve">Resposta_correcta_2</t>
  </si>
  <si>
    <t xml:space="preserve">Pregunta_3</t>
  </si>
  <si>
    <t xml:space="preserve">Resposta_correcta_3</t>
  </si>
  <si>
    <t xml:space="preserve">Resultat</t>
  </si>
  <si>
    <t xml:space="preserve">Clau</t>
  </si>
  <si>
    <t xml:space="preserve">Resultat: escriure V (victoria) o D (derrota)</t>
  </si>
  <si>
    <t xml:space="preserve">V</t>
  </si>
  <si>
    <t xml:space="preserve">Punts</t>
  </si>
  <si>
    <t xml:space="preserve">Faltes</t>
  </si>
  <si>
    <t xml:space="preserve">Usuari</t>
  </si>
  <si>
    <t xml:space="preserve">Jugadora</t>
  </si>
  <si>
    <t xml:space="preserve">Equip_jugadora</t>
  </si>
  <si>
    <t xml:space="preserve">Capitana</t>
  </si>
  <si>
    <t xml:space="preserve">Timestamp</t>
  </si>
  <si>
    <t xml:space="preserve">Resposta_average</t>
  </si>
  <si>
    <t xml:space="preserve">Resposta_2</t>
  </si>
  <si>
    <t xml:space="preserve">Resposta_3</t>
  </si>
  <si>
    <t xml:space="preserve">Punts_preguntes</t>
  </si>
  <si>
    <t xml:space="preserve">Punts_base</t>
  </si>
  <si>
    <t xml:space="preserve">Resultat_equip</t>
  </si>
  <si>
    <t xml:space="preserve">Bonus_multiplicador</t>
  </si>
  <si>
    <t xml:space="preserve">Punts_amb_bonus</t>
  </si>
  <si>
    <t xml:space="preserve">Multiplicador_capitana</t>
  </si>
  <si>
    <t xml:space="preserve">Punts_final</t>
  </si>
  <si>
    <t xml:space="preserve">Punts_equip</t>
  </si>
  <si>
    <t xml:space="preserve">Punts_totals</t>
  </si>
  <si>
    <t xml:space="preserve">Punts_totals_acumulats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</si>
</sst>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E91E63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CC000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1565C0"/>
      <name val="Arial"/>
      <family val="0"/>
      <charset val="1"/>
    </font>
    <font>
      <b val="true"/>
      <sz val="10"/>
      <color rgb="FF2E7D32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80808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91E63"/>
        <bgColor rgb="FFCC00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E91E63"/>
      <rgbColor rgb="FFFFFFCC"/>
      <rgbColor rgb="FFCCFFFF"/>
      <rgbColor rgb="FF660066"/>
      <rgbColor rgb="FFFF8080"/>
      <rgbColor rgb="FF1565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2E7D32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7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3" t="s">
        <v>4</v>
      </c>
      <c r="B5" s="4" t="s">
        <v>5</v>
      </c>
    </row>
    <row r="6" customFormat="false" ht="15" hidden="false" customHeight="false" outlineLevel="0" collapsed="false">
      <c r="A6" s="3" t="s">
        <v>6</v>
      </c>
      <c r="B6" s="4" t="s">
        <v>7</v>
      </c>
    </row>
    <row r="7" customFormat="false" ht="15" hidden="false" customHeight="false" outlineLevel="0" collapsed="false">
      <c r="A7" s="3" t="s">
        <v>8</v>
      </c>
      <c r="B7" s="4" t="s">
        <v>9</v>
      </c>
    </row>
    <row r="8" customFormat="false" ht="15" hidden="false" customHeight="false" outlineLevel="0" collapsed="false">
      <c r="A8" s="3" t="s">
        <v>10</v>
      </c>
      <c r="B8" s="4" t="s">
        <v>11</v>
      </c>
    </row>
    <row r="10" customFormat="false" ht="15" hidden="false" customHeight="false" outlineLevel="0" collapsed="false">
      <c r="A10" s="2" t="s">
        <v>12</v>
      </c>
    </row>
    <row r="11" customFormat="false" ht="15" hidden="false" customHeight="false" outlineLevel="0" collapsed="false">
      <c r="A11" s="5" t="s">
        <v>13</v>
      </c>
      <c r="B11" s="4" t="s">
        <v>14</v>
      </c>
    </row>
    <row r="12" customFormat="false" ht="15" hidden="false" customHeight="false" outlineLevel="0" collapsed="false">
      <c r="A12" s="5" t="s">
        <v>15</v>
      </c>
      <c r="B12" s="4" t="s">
        <v>16</v>
      </c>
    </row>
    <row r="14" customFormat="false" ht="15" hidden="false" customHeight="false" outlineLevel="0" collapsed="false">
      <c r="A14" s="2" t="s">
        <v>17</v>
      </c>
    </row>
    <row r="15" customFormat="false" ht="15" hidden="false" customHeight="false" outlineLevel="0" collapsed="false">
      <c r="A15" s="6" t="s">
        <v>18</v>
      </c>
    </row>
    <row r="16" customFormat="false" ht="15" hidden="false" customHeight="false" outlineLevel="0" collapsed="false">
      <c r="A16" s="6" t="s">
        <v>19</v>
      </c>
    </row>
    <row r="17" customFormat="false" ht="15" hidden="false" customHeight="false" outlineLevel="0" collapsed="false">
      <c r="A17" s="6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7" width="24"/>
    <col collapsed="false" customWidth="true" hidden="false" outlineLevel="0" max="4" min="2" style="7" width="10"/>
  </cols>
  <sheetData>
    <row r="1" customFormat="false" ht="15" hidden="false" customHeight="true" outlineLevel="0" collapsed="false">
      <c r="A1" s="8" t="s">
        <v>21</v>
      </c>
      <c r="B1" s="8" t="s">
        <v>22</v>
      </c>
      <c r="C1" s="8" t="s">
        <v>23</v>
      </c>
      <c r="D1" s="8" t="s">
        <v>24</v>
      </c>
    </row>
    <row r="2" customFormat="false" ht="15" hidden="false" customHeight="true" outlineLevel="0" collapsed="false">
      <c r="A2" s="9" t="s">
        <v>25</v>
      </c>
      <c r="B2" s="9" t="s">
        <v>26</v>
      </c>
      <c r="C2" s="9" t="s">
        <v>27</v>
      </c>
      <c r="D2" s="9" t="s">
        <v>28</v>
      </c>
    </row>
    <row r="3" customFormat="false" ht="15" hidden="false" customHeight="true" outlineLevel="0" collapsed="false">
      <c r="A3" s="9" t="s">
        <v>29</v>
      </c>
      <c r="B3" s="9" t="s">
        <v>26</v>
      </c>
      <c r="C3" s="9" t="s">
        <v>27</v>
      </c>
      <c r="D3" s="9" t="s">
        <v>28</v>
      </c>
    </row>
    <row r="4" customFormat="false" ht="15" hidden="false" customHeight="true" outlineLevel="0" collapsed="false">
      <c r="A4" s="9" t="s">
        <v>30</v>
      </c>
      <c r="B4" s="9" t="s">
        <v>26</v>
      </c>
      <c r="C4" s="9" t="s">
        <v>27</v>
      </c>
      <c r="D4" s="9" t="s">
        <v>28</v>
      </c>
    </row>
    <row r="5" customFormat="false" ht="15" hidden="false" customHeight="true" outlineLevel="0" collapsed="false">
      <c r="A5" s="9" t="s">
        <v>31</v>
      </c>
      <c r="B5" s="9" t="s">
        <v>26</v>
      </c>
      <c r="C5" s="9" t="s">
        <v>27</v>
      </c>
      <c r="D5" s="9" t="s">
        <v>28</v>
      </c>
    </row>
    <row r="6" customFormat="false" ht="15" hidden="false" customHeight="true" outlineLevel="0" collapsed="false">
      <c r="A6" s="10" t="s">
        <v>32</v>
      </c>
      <c r="B6" s="10" t="s">
        <v>26</v>
      </c>
      <c r="C6" s="10" t="s">
        <v>27</v>
      </c>
      <c r="D6" s="10" t="s">
        <v>33</v>
      </c>
    </row>
    <row r="7" customFormat="false" ht="15" hidden="false" customHeight="true" outlineLevel="0" collapsed="false">
      <c r="A7" s="9" t="s">
        <v>34</v>
      </c>
      <c r="B7" s="9" t="s">
        <v>26</v>
      </c>
      <c r="C7" s="9" t="s">
        <v>27</v>
      </c>
      <c r="D7" s="9" t="s">
        <v>28</v>
      </c>
    </row>
    <row r="8" customFormat="false" ht="15" hidden="false" customHeight="true" outlineLevel="0" collapsed="false">
      <c r="A8" s="9" t="s">
        <v>35</v>
      </c>
      <c r="B8" s="9" t="s">
        <v>26</v>
      </c>
      <c r="C8" s="9" t="s">
        <v>36</v>
      </c>
      <c r="D8" s="9" t="s">
        <v>28</v>
      </c>
    </row>
    <row r="9" customFormat="false" ht="15" hidden="false" customHeight="true" outlineLevel="0" collapsed="false">
      <c r="A9" s="10" t="s">
        <v>37</v>
      </c>
      <c r="B9" s="10" t="s">
        <v>26</v>
      </c>
      <c r="C9" s="10" t="s">
        <v>36</v>
      </c>
      <c r="D9" s="10" t="s">
        <v>33</v>
      </c>
    </row>
    <row r="10" customFormat="false" ht="15" hidden="false" customHeight="true" outlineLevel="0" collapsed="false">
      <c r="A10" s="9" t="s">
        <v>38</v>
      </c>
      <c r="B10" s="9" t="s">
        <v>26</v>
      </c>
      <c r="C10" s="9" t="s">
        <v>39</v>
      </c>
      <c r="D10" s="9" t="s">
        <v>28</v>
      </c>
    </row>
    <row r="11" customFormat="false" ht="15" hidden="false" customHeight="true" outlineLevel="0" collapsed="false">
      <c r="A11" s="9" t="s">
        <v>40</v>
      </c>
      <c r="B11" s="9" t="s">
        <v>26</v>
      </c>
      <c r="C11" s="9" t="s">
        <v>39</v>
      </c>
      <c r="D11" s="9" t="s">
        <v>28</v>
      </c>
    </row>
    <row r="12" customFormat="false" ht="15" hidden="false" customHeight="true" outlineLevel="0" collapsed="false">
      <c r="A12" s="9" t="s">
        <v>41</v>
      </c>
      <c r="B12" s="9" t="s">
        <v>26</v>
      </c>
      <c r="C12" s="9" t="s">
        <v>39</v>
      </c>
      <c r="D12" s="9" t="s">
        <v>28</v>
      </c>
    </row>
    <row r="13" customFormat="false" ht="15" hidden="false" customHeight="true" outlineLevel="0" collapsed="false">
      <c r="A13" s="9" t="s">
        <v>42</v>
      </c>
      <c r="B13" s="9" t="s">
        <v>43</v>
      </c>
      <c r="C13" s="9" t="s">
        <v>27</v>
      </c>
      <c r="D13" s="9" t="s">
        <v>28</v>
      </c>
    </row>
    <row r="14" customFormat="false" ht="15" hidden="false" customHeight="true" outlineLevel="0" collapsed="false">
      <c r="A14" s="9" t="s">
        <v>44</v>
      </c>
      <c r="B14" s="9" t="s">
        <v>43</v>
      </c>
      <c r="C14" s="9" t="s">
        <v>27</v>
      </c>
      <c r="D14" s="9" t="s">
        <v>28</v>
      </c>
    </row>
    <row r="15" customFormat="false" ht="15" hidden="false" customHeight="true" outlineLevel="0" collapsed="false">
      <c r="A15" s="9" t="s">
        <v>45</v>
      </c>
      <c r="B15" s="9" t="s">
        <v>43</v>
      </c>
      <c r="C15" s="9" t="s">
        <v>27</v>
      </c>
      <c r="D15" s="9" t="s">
        <v>28</v>
      </c>
    </row>
    <row r="16" customFormat="false" ht="15" hidden="false" customHeight="true" outlineLevel="0" collapsed="false">
      <c r="A16" s="9" t="s">
        <v>46</v>
      </c>
      <c r="B16" s="9" t="s">
        <v>43</v>
      </c>
      <c r="C16" s="9" t="s">
        <v>27</v>
      </c>
      <c r="D16" s="9" t="s">
        <v>28</v>
      </c>
    </row>
    <row r="17" customFormat="false" ht="15" hidden="false" customHeight="true" outlineLevel="0" collapsed="false">
      <c r="A17" s="9" t="s">
        <v>47</v>
      </c>
      <c r="B17" s="9" t="s">
        <v>43</v>
      </c>
      <c r="C17" s="9" t="s">
        <v>36</v>
      </c>
      <c r="D17" s="9" t="s">
        <v>28</v>
      </c>
    </row>
    <row r="18" customFormat="false" ht="15" hidden="false" customHeight="true" outlineLevel="0" collapsed="false">
      <c r="A18" s="9" t="s">
        <v>48</v>
      </c>
      <c r="B18" s="9" t="s">
        <v>43</v>
      </c>
      <c r="C18" s="9" t="s">
        <v>36</v>
      </c>
      <c r="D18" s="9" t="s">
        <v>28</v>
      </c>
    </row>
    <row r="19" customFormat="false" ht="15" hidden="false" customHeight="true" outlineLevel="0" collapsed="false">
      <c r="A19" s="9" t="s">
        <v>49</v>
      </c>
      <c r="B19" s="9" t="s">
        <v>43</v>
      </c>
      <c r="C19" s="9" t="s">
        <v>39</v>
      </c>
      <c r="D19" s="9" t="s">
        <v>28</v>
      </c>
    </row>
    <row r="20" customFormat="false" ht="15" hidden="false" customHeight="true" outlineLevel="0" collapsed="false">
      <c r="A20" s="9" t="s">
        <v>50</v>
      </c>
      <c r="B20" s="9" t="s">
        <v>43</v>
      </c>
      <c r="C20" s="9" t="s">
        <v>39</v>
      </c>
      <c r="D20" s="9" t="s">
        <v>28</v>
      </c>
    </row>
    <row r="21" customFormat="false" ht="15" hidden="false" customHeight="true" outlineLevel="0" collapsed="false">
      <c r="A21" s="10" t="s">
        <v>51</v>
      </c>
      <c r="B21" s="10" t="s">
        <v>43</v>
      </c>
      <c r="C21" s="10" t="s">
        <v>39</v>
      </c>
      <c r="D21" s="10" t="s">
        <v>33</v>
      </c>
    </row>
    <row r="22" customFormat="false" ht="15" hidden="false" customHeight="true" outlineLevel="0" collapsed="false">
      <c r="A22" s="9" t="s">
        <v>52</v>
      </c>
      <c r="B22" s="9" t="s">
        <v>43</v>
      </c>
      <c r="C22" s="9" t="s">
        <v>39</v>
      </c>
      <c r="D22" s="9" t="s">
        <v>28</v>
      </c>
    </row>
    <row r="23" customFormat="false" ht="15" hidden="false" customHeight="true" outlineLevel="0" collapsed="false">
      <c r="A23" s="9" t="s">
        <v>53</v>
      </c>
      <c r="B23" s="9" t="s">
        <v>54</v>
      </c>
      <c r="C23" s="9" t="s">
        <v>27</v>
      </c>
      <c r="D23" s="9" t="s">
        <v>28</v>
      </c>
    </row>
    <row r="24" customFormat="false" ht="15" hidden="false" customHeight="true" outlineLevel="0" collapsed="false">
      <c r="A24" s="9" t="s">
        <v>55</v>
      </c>
      <c r="B24" s="9" t="s">
        <v>54</v>
      </c>
      <c r="C24" s="9" t="s">
        <v>27</v>
      </c>
      <c r="D24" s="9" t="s">
        <v>28</v>
      </c>
    </row>
    <row r="25" customFormat="false" ht="15" hidden="false" customHeight="true" outlineLevel="0" collapsed="false">
      <c r="A25" s="9" t="s">
        <v>56</v>
      </c>
      <c r="B25" s="9" t="s">
        <v>54</v>
      </c>
      <c r="C25" s="9" t="s">
        <v>27</v>
      </c>
      <c r="D25" s="9" t="s">
        <v>28</v>
      </c>
    </row>
    <row r="26" customFormat="false" ht="15" hidden="false" customHeight="true" outlineLevel="0" collapsed="false">
      <c r="A26" s="9" t="s">
        <v>57</v>
      </c>
      <c r="B26" s="9" t="s">
        <v>54</v>
      </c>
      <c r="C26" s="9" t="s">
        <v>27</v>
      </c>
      <c r="D26" s="9" t="s">
        <v>28</v>
      </c>
    </row>
    <row r="27" customFormat="false" ht="15" hidden="false" customHeight="true" outlineLevel="0" collapsed="false">
      <c r="A27" s="9" t="s">
        <v>58</v>
      </c>
      <c r="B27" s="9" t="s">
        <v>54</v>
      </c>
      <c r="C27" s="9" t="s">
        <v>27</v>
      </c>
      <c r="D27" s="9" t="s">
        <v>28</v>
      </c>
    </row>
    <row r="28" customFormat="false" ht="15" hidden="false" customHeight="true" outlineLevel="0" collapsed="false">
      <c r="A28" s="9" t="s">
        <v>59</v>
      </c>
      <c r="B28" s="9" t="s">
        <v>54</v>
      </c>
      <c r="C28" s="9" t="s">
        <v>36</v>
      </c>
      <c r="D28" s="9" t="s">
        <v>28</v>
      </c>
    </row>
    <row r="29" customFormat="false" ht="15" hidden="false" customHeight="true" outlineLevel="0" collapsed="false">
      <c r="A29" s="9" t="s">
        <v>60</v>
      </c>
      <c r="B29" s="9" t="s">
        <v>54</v>
      </c>
      <c r="C29" s="9" t="s">
        <v>36</v>
      </c>
      <c r="D29" s="9" t="s">
        <v>28</v>
      </c>
    </row>
    <row r="30" customFormat="false" ht="15" hidden="false" customHeight="true" outlineLevel="0" collapsed="false">
      <c r="A30" s="9" t="s">
        <v>61</v>
      </c>
      <c r="B30" s="9" t="s">
        <v>54</v>
      </c>
      <c r="C30" s="9" t="s">
        <v>36</v>
      </c>
      <c r="D30" s="9" t="s">
        <v>28</v>
      </c>
    </row>
    <row r="31" customFormat="false" ht="15" hidden="false" customHeight="true" outlineLevel="0" collapsed="false">
      <c r="A31" s="10" t="s">
        <v>62</v>
      </c>
      <c r="B31" s="10" t="s">
        <v>54</v>
      </c>
      <c r="C31" s="10" t="s">
        <v>39</v>
      </c>
      <c r="D31" s="10" t="s">
        <v>33</v>
      </c>
    </row>
    <row r="32" customFormat="false" ht="15" hidden="false" customHeight="true" outlineLevel="0" collapsed="false">
      <c r="A32" s="9" t="s">
        <v>63</v>
      </c>
      <c r="B32" s="9" t="s">
        <v>64</v>
      </c>
      <c r="C32" s="9" t="s">
        <v>27</v>
      </c>
      <c r="D32" s="9" t="s">
        <v>28</v>
      </c>
    </row>
    <row r="33" customFormat="false" ht="15" hidden="false" customHeight="true" outlineLevel="0" collapsed="false">
      <c r="A33" s="9" t="s">
        <v>65</v>
      </c>
      <c r="B33" s="9" t="s">
        <v>64</v>
      </c>
      <c r="C33" s="9" t="s">
        <v>27</v>
      </c>
      <c r="D33" s="9" t="s">
        <v>28</v>
      </c>
    </row>
    <row r="34" customFormat="false" ht="15" hidden="false" customHeight="true" outlineLevel="0" collapsed="false">
      <c r="A34" s="9" t="s">
        <v>66</v>
      </c>
      <c r="B34" s="9" t="s">
        <v>64</v>
      </c>
      <c r="C34" s="9" t="s">
        <v>36</v>
      </c>
      <c r="D34" s="9" t="s">
        <v>28</v>
      </c>
    </row>
    <row r="35" customFormat="false" ht="15" hidden="false" customHeight="true" outlineLevel="0" collapsed="false">
      <c r="A35" s="10" t="s">
        <v>67</v>
      </c>
      <c r="B35" s="10" t="s">
        <v>64</v>
      </c>
      <c r="C35" s="10" t="s">
        <v>36</v>
      </c>
      <c r="D35" s="10" t="s">
        <v>33</v>
      </c>
    </row>
    <row r="36" customFormat="false" ht="15" hidden="false" customHeight="true" outlineLevel="0" collapsed="false">
      <c r="A36" s="9" t="s">
        <v>68</v>
      </c>
      <c r="B36" s="9" t="s">
        <v>64</v>
      </c>
      <c r="C36" s="9" t="s">
        <v>39</v>
      </c>
      <c r="D36" s="9" t="s">
        <v>28</v>
      </c>
    </row>
    <row r="37" customFormat="false" ht="15" hidden="false" customHeight="true" outlineLevel="0" collapsed="false">
      <c r="A37" s="9" t="s">
        <v>69</v>
      </c>
      <c r="B37" s="9" t="s">
        <v>64</v>
      </c>
      <c r="C37" s="9" t="s">
        <v>39</v>
      </c>
      <c r="D37" s="9" t="s">
        <v>28</v>
      </c>
    </row>
    <row r="38" customFormat="false" ht="15" hidden="false" customHeight="true" outlineLevel="0" collapsed="false">
      <c r="A38" s="9" t="s">
        <v>70</v>
      </c>
      <c r="B38" s="9" t="s">
        <v>64</v>
      </c>
      <c r="C38" s="9" t="s">
        <v>39</v>
      </c>
      <c r="D38" s="9" t="s">
        <v>28</v>
      </c>
    </row>
    <row r="39" customFormat="false" ht="15" hidden="false" customHeight="true" outlineLevel="0" collapsed="false">
      <c r="A39" s="9" t="s">
        <v>71</v>
      </c>
      <c r="B39" s="9" t="s">
        <v>64</v>
      </c>
      <c r="C39" s="9" t="s">
        <v>39</v>
      </c>
      <c r="D39" s="9" t="s">
        <v>28</v>
      </c>
    </row>
    <row r="40" customFormat="false" ht="15" hidden="false" customHeight="true" outlineLevel="0" collapsed="false">
      <c r="A40" s="9" t="s">
        <v>72</v>
      </c>
      <c r="B40" s="9" t="s">
        <v>73</v>
      </c>
      <c r="C40" s="9" t="s">
        <v>27</v>
      </c>
      <c r="D40" s="9" t="s">
        <v>28</v>
      </c>
    </row>
    <row r="41" customFormat="false" ht="15" hidden="false" customHeight="true" outlineLevel="0" collapsed="false">
      <c r="A41" s="9" t="s">
        <v>74</v>
      </c>
      <c r="B41" s="9" t="s">
        <v>73</v>
      </c>
      <c r="C41" s="9" t="s">
        <v>27</v>
      </c>
      <c r="D41" s="9" t="s">
        <v>28</v>
      </c>
    </row>
    <row r="42" customFormat="false" ht="15" hidden="false" customHeight="true" outlineLevel="0" collapsed="false">
      <c r="A42" s="9" t="s">
        <v>75</v>
      </c>
      <c r="B42" s="9" t="s">
        <v>73</v>
      </c>
      <c r="C42" s="9" t="s">
        <v>27</v>
      </c>
      <c r="D42" s="9" t="s">
        <v>28</v>
      </c>
    </row>
    <row r="43" customFormat="false" ht="15" hidden="false" customHeight="true" outlineLevel="0" collapsed="false">
      <c r="A43" s="9" t="s">
        <v>76</v>
      </c>
      <c r="B43" s="9" t="s">
        <v>73</v>
      </c>
      <c r="C43" s="9" t="s">
        <v>27</v>
      </c>
      <c r="D43" s="9" t="s">
        <v>28</v>
      </c>
    </row>
    <row r="44" customFormat="false" ht="15" hidden="false" customHeight="true" outlineLevel="0" collapsed="false">
      <c r="A44" s="9" t="s">
        <v>77</v>
      </c>
      <c r="B44" s="9" t="s">
        <v>73</v>
      </c>
      <c r="C44" s="9" t="s">
        <v>27</v>
      </c>
      <c r="D44" s="9" t="s">
        <v>28</v>
      </c>
    </row>
    <row r="45" customFormat="false" ht="15" hidden="false" customHeight="true" outlineLevel="0" collapsed="false">
      <c r="A45" s="9" t="s">
        <v>78</v>
      </c>
      <c r="B45" s="9" t="s">
        <v>73</v>
      </c>
      <c r="C45" s="9" t="s">
        <v>27</v>
      </c>
      <c r="D45" s="9" t="s">
        <v>28</v>
      </c>
    </row>
    <row r="46" customFormat="false" ht="15" hidden="false" customHeight="true" outlineLevel="0" collapsed="false">
      <c r="A46" s="10" t="s">
        <v>79</v>
      </c>
      <c r="B46" s="10" t="s">
        <v>73</v>
      </c>
      <c r="C46" s="10" t="s">
        <v>36</v>
      </c>
      <c r="D46" s="10" t="s">
        <v>33</v>
      </c>
    </row>
    <row r="47" customFormat="false" ht="15" hidden="false" customHeight="true" outlineLevel="0" collapsed="false">
      <c r="A47" s="9" t="s">
        <v>80</v>
      </c>
      <c r="B47" s="9" t="s">
        <v>73</v>
      </c>
      <c r="C47" s="9" t="s">
        <v>36</v>
      </c>
      <c r="D47" s="9" t="s">
        <v>28</v>
      </c>
    </row>
    <row r="48" customFormat="false" ht="15" hidden="false" customHeight="true" outlineLevel="0" collapsed="false">
      <c r="A48" s="9" t="s">
        <v>81</v>
      </c>
      <c r="B48" s="9" t="s">
        <v>73</v>
      </c>
      <c r="C48" s="9" t="s">
        <v>39</v>
      </c>
      <c r="D48" s="9" t="s">
        <v>28</v>
      </c>
    </row>
    <row r="49" customFormat="false" ht="15" hidden="false" customHeight="true" outlineLevel="0" collapsed="false">
      <c r="A49" s="9" t="s">
        <v>82</v>
      </c>
      <c r="B49" s="9" t="s">
        <v>73</v>
      </c>
      <c r="C49" s="9" t="s">
        <v>39</v>
      </c>
      <c r="D49" s="9" t="s">
        <v>28</v>
      </c>
    </row>
    <row r="50" customFormat="false" ht="15" hidden="false" customHeight="true" outlineLevel="0" collapsed="false">
      <c r="A50" s="9" t="s">
        <v>83</v>
      </c>
      <c r="B50" s="9" t="s">
        <v>73</v>
      </c>
      <c r="C50" s="9" t="s">
        <v>39</v>
      </c>
      <c r="D50" s="9" t="s">
        <v>28</v>
      </c>
    </row>
    <row r="51" customFormat="false" ht="15" hidden="false" customHeight="true" outlineLevel="0" collapsed="false">
      <c r="A51" s="9" t="s">
        <v>84</v>
      </c>
      <c r="B51" s="9" t="s">
        <v>85</v>
      </c>
      <c r="C51" s="9" t="s">
        <v>27</v>
      </c>
      <c r="D51" s="9" t="s">
        <v>28</v>
      </c>
    </row>
    <row r="52" customFormat="false" ht="15" hidden="false" customHeight="true" outlineLevel="0" collapsed="false">
      <c r="A52" s="9" t="s">
        <v>86</v>
      </c>
      <c r="B52" s="9" t="s">
        <v>85</v>
      </c>
      <c r="C52" s="9" t="s">
        <v>27</v>
      </c>
      <c r="D52" s="9" t="s">
        <v>28</v>
      </c>
    </row>
    <row r="53" customFormat="false" ht="15" hidden="false" customHeight="true" outlineLevel="0" collapsed="false">
      <c r="A53" s="9" t="s">
        <v>87</v>
      </c>
      <c r="B53" s="9" t="s">
        <v>85</v>
      </c>
      <c r="C53" s="9" t="s">
        <v>27</v>
      </c>
      <c r="D53" s="9" t="s">
        <v>28</v>
      </c>
    </row>
    <row r="54" customFormat="false" ht="15" hidden="false" customHeight="true" outlineLevel="0" collapsed="false">
      <c r="A54" s="9" t="s">
        <v>88</v>
      </c>
      <c r="B54" s="9" t="s">
        <v>85</v>
      </c>
      <c r="C54" s="9" t="s">
        <v>27</v>
      </c>
      <c r="D54" s="9" t="s">
        <v>28</v>
      </c>
    </row>
    <row r="55" customFormat="false" ht="15" hidden="false" customHeight="true" outlineLevel="0" collapsed="false">
      <c r="A55" s="10" t="s">
        <v>89</v>
      </c>
      <c r="B55" s="10" t="s">
        <v>85</v>
      </c>
      <c r="C55" s="10" t="s">
        <v>36</v>
      </c>
      <c r="D55" s="10" t="s">
        <v>33</v>
      </c>
    </row>
    <row r="56" customFormat="false" ht="15" hidden="false" customHeight="true" outlineLevel="0" collapsed="false">
      <c r="A56" s="9" t="s">
        <v>90</v>
      </c>
      <c r="B56" s="9" t="s">
        <v>85</v>
      </c>
      <c r="C56" s="9" t="s">
        <v>36</v>
      </c>
      <c r="D56" s="9" t="s">
        <v>28</v>
      </c>
    </row>
    <row r="57" customFormat="false" ht="15" hidden="false" customHeight="true" outlineLevel="0" collapsed="false">
      <c r="A57" s="9" t="s">
        <v>91</v>
      </c>
      <c r="B57" s="9" t="s">
        <v>85</v>
      </c>
      <c r="C57" s="9" t="s">
        <v>39</v>
      </c>
      <c r="D57" s="9" t="s">
        <v>28</v>
      </c>
    </row>
    <row r="58" customFormat="false" ht="15" hidden="false" customHeight="true" outlineLevel="0" collapsed="false">
      <c r="A58" s="9" t="s">
        <v>92</v>
      </c>
      <c r="B58" s="9" t="s">
        <v>85</v>
      </c>
      <c r="C58" s="9" t="s">
        <v>39</v>
      </c>
      <c r="D58" s="9" t="s">
        <v>28</v>
      </c>
    </row>
    <row r="59" customFormat="false" ht="15" hidden="false" customHeight="true" outlineLevel="0" collapsed="false">
      <c r="A59" s="9" t="s">
        <v>93</v>
      </c>
      <c r="B59" s="9" t="s">
        <v>94</v>
      </c>
      <c r="C59" s="9" t="s">
        <v>27</v>
      </c>
      <c r="D59" s="9" t="s">
        <v>28</v>
      </c>
    </row>
    <row r="60" customFormat="false" ht="15" hidden="false" customHeight="true" outlineLevel="0" collapsed="false">
      <c r="A60" s="9" t="s">
        <v>95</v>
      </c>
      <c r="B60" s="9" t="s">
        <v>94</v>
      </c>
      <c r="C60" s="9" t="s">
        <v>27</v>
      </c>
      <c r="D60" s="9" t="s">
        <v>28</v>
      </c>
    </row>
    <row r="61" customFormat="false" ht="15" hidden="false" customHeight="true" outlineLevel="0" collapsed="false">
      <c r="A61" s="9" t="s">
        <v>96</v>
      </c>
      <c r="B61" s="9" t="s">
        <v>94</v>
      </c>
      <c r="C61" s="9" t="s">
        <v>27</v>
      </c>
      <c r="D61" s="9" t="s">
        <v>28</v>
      </c>
    </row>
    <row r="62" customFormat="false" ht="15" hidden="false" customHeight="true" outlineLevel="0" collapsed="false">
      <c r="A62" s="9" t="s">
        <v>97</v>
      </c>
      <c r="B62" s="9" t="s">
        <v>94</v>
      </c>
      <c r="C62" s="9" t="s">
        <v>27</v>
      </c>
      <c r="D62" s="9" t="s">
        <v>28</v>
      </c>
    </row>
    <row r="63" customFormat="false" ht="15" hidden="false" customHeight="true" outlineLevel="0" collapsed="false">
      <c r="A63" s="9" t="s">
        <v>98</v>
      </c>
      <c r="B63" s="9" t="s">
        <v>94</v>
      </c>
      <c r="C63" s="9" t="s">
        <v>27</v>
      </c>
      <c r="D63" s="9" t="s">
        <v>28</v>
      </c>
    </row>
    <row r="64" customFormat="false" ht="15" hidden="false" customHeight="true" outlineLevel="0" collapsed="false">
      <c r="A64" s="10" t="s">
        <v>99</v>
      </c>
      <c r="B64" s="10" t="s">
        <v>94</v>
      </c>
      <c r="C64" s="10" t="s">
        <v>27</v>
      </c>
      <c r="D64" s="10" t="s">
        <v>33</v>
      </c>
    </row>
    <row r="65" customFormat="false" ht="15" hidden="false" customHeight="true" outlineLevel="0" collapsed="false">
      <c r="A65" s="9" t="s">
        <v>100</v>
      </c>
      <c r="B65" s="9" t="s">
        <v>94</v>
      </c>
      <c r="C65" s="9" t="s">
        <v>36</v>
      </c>
      <c r="D65" s="9" t="s">
        <v>28</v>
      </c>
    </row>
    <row r="66" customFormat="false" ht="15" hidden="false" customHeight="true" outlineLevel="0" collapsed="false">
      <c r="A66" s="9" t="s">
        <v>101</v>
      </c>
      <c r="B66" s="9" t="s">
        <v>94</v>
      </c>
      <c r="C66" s="9" t="s">
        <v>36</v>
      </c>
      <c r="D66" s="9" t="s">
        <v>28</v>
      </c>
    </row>
    <row r="67" customFormat="false" ht="15" hidden="false" customHeight="true" outlineLevel="0" collapsed="false">
      <c r="A67" s="9" t="s">
        <v>102</v>
      </c>
      <c r="B67" s="9" t="s">
        <v>94</v>
      </c>
      <c r="C67" s="9" t="s">
        <v>39</v>
      </c>
      <c r="D67" s="9" t="s">
        <v>28</v>
      </c>
    </row>
    <row r="68" customFormat="false" ht="15" hidden="false" customHeight="true" outlineLevel="0" collapsed="false">
      <c r="A68" s="9" t="s">
        <v>103</v>
      </c>
      <c r="B68" s="9" t="s">
        <v>94</v>
      </c>
      <c r="C68" s="9" t="s">
        <v>39</v>
      </c>
      <c r="D68" s="9" t="s">
        <v>28</v>
      </c>
    </row>
    <row r="69" customFormat="false" ht="15" hidden="false" customHeight="true" outlineLevel="0" collapsed="false">
      <c r="A69" s="10" t="s">
        <v>104</v>
      </c>
      <c r="B69" s="10" t="s">
        <v>94</v>
      </c>
      <c r="C69" s="10" t="s">
        <v>39</v>
      </c>
      <c r="D69" s="10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7" width="10"/>
    <col collapsed="false" customWidth="true" hidden="false" outlineLevel="0" max="2" min="2" style="7" width="24"/>
    <col collapsed="false" customWidth="true" hidden="false" outlineLevel="0" max="4" min="3" style="7" width="14"/>
    <col collapsed="false" customWidth="true" hidden="false" outlineLevel="0" max="5" min="5" style="7" width="10"/>
  </cols>
  <sheetData>
    <row r="1" customFormat="false" ht="15" hidden="false" customHeight="true" outlineLevel="0" collapsed="false">
      <c r="A1" s="8" t="s">
        <v>105</v>
      </c>
      <c r="B1" s="8" t="s">
        <v>21</v>
      </c>
      <c r="C1" s="8" t="s">
        <v>106</v>
      </c>
      <c r="D1" s="8" t="s">
        <v>107</v>
      </c>
      <c r="E1" s="8" t="s">
        <v>23</v>
      </c>
    </row>
    <row r="2" customFormat="false" ht="15" hidden="false" customHeight="true" outlineLevel="0" collapsed="false">
      <c r="A2" s="9" t="n">
        <v>1</v>
      </c>
      <c r="B2" s="9" t="s">
        <v>108</v>
      </c>
      <c r="C2" s="9" t="s">
        <v>109</v>
      </c>
      <c r="D2" s="9" t="s">
        <v>43</v>
      </c>
      <c r="E2" s="9" t="s">
        <v>36</v>
      </c>
    </row>
    <row r="3" customFormat="false" ht="15" hidden="false" customHeight="true" outlineLevel="0" collapsed="false">
      <c r="A3" s="9" t="n">
        <v>1</v>
      </c>
      <c r="B3" s="9" t="s">
        <v>110</v>
      </c>
      <c r="C3" s="9" t="s">
        <v>109</v>
      </c>
      <c r="D3" s="9" t="s">
        <v>43</v>
      </c>
      <c r="E3" s="9" t="s">
        <v>36</v>
      </c>
    </row>
    <row r="4" customFormat="false" ht="15" hidden="false" customHeight="true" outlineLevel="0" collapsed="false">
      <c r="A4" s="9" t="n">
        <v>1</v>
      </c>
      <c r="B4" s="9" t="s">
        <v>111</v>
      </c>
      <c r="C4" s="9" t="s">
        <v>109</v>
      </c>
      <c r="D4" s="9" t="s">
        <v>43</v>
      </c>
      <c r="E4" s="9" t="s">
        <v>27</v>
      </c>
    </row>
    <row r="5" customFormat="false" ht="15" hidden="false" customHeight="true" outlineLevel="0" collapsed="false">
      <c r="A5" s="9" t="n">
        <v>1</v>
      </c>
      <c r="B5" s="9" t="s">
        <v>47</v>
      </c>
      <c r="C5" s="9" t="s">
        <v>43</v>
      </c>
      <c r="D5" s="9" t="s">
        <v>54</v>
      </c>
      <c r="E5" s="9" t="s">
        <v>36</v>
      </c>
    </row>
    <row r="6" customFormat="false" ht="15" hidden="false" customHeight="true" outlineLevel="0" collapsed="false">
      <c r="A6" s="9" t="n">
        <v>1</v>
      </c>
      <c r="B6" s="9" t="s">
        <v>44</v>
      </c>
      <c r="C6" s="9" t="s">
        <v>43</v>
      </c>
      <c r="D6" s="9" t="s">
        <v>54</v>
      </c>
      <c r="E6" s="9" t="s">
        <v>27</v>
      </c>
    </row>
    <row r="7" customFormat="false" ht="15" hidden="false" customHeight="true" outlineLevel="0" collapsed="false">
      <c r="A7" s="9" t="n">
        <v>1</v>
      </c>
      <c r="B7" s="9" t="s">
        <v>51</v>
      </c>
      <c r="C7" s="9" t="s">
        <v>43</v>
      </c>
      <c r="D7" s="9" t="s">
        <v>54</v>
      </c>
      <c r="E7" s="9" t="s">
        <v>39</v>
      </c>
    </row>
    <row r="8" customFormat="false" ht="15" hidden="false" customHeight="true" outlineLevel="0" collapsed="false">
      <c r="A8" s="9" t="n">
        <v>1</v>
      </c>
      <c r="B8" s="9" t="s">
        <v>61</v>
      </c>
      <c r="C8" s="9" t="s">
        <v>54</v>
      </c>
      <c r="D8" s="9" t="s">
        <v>64</v>
      </c>
      <c r="E8" s="9" t="s">
        <v>36</v>
      </c>
    </row>
    <row r="9" customFormat="false" ht="15" hidden="false" customHeight="true" outlineLevel="0" collapsed="false">
      <c r="A9" s="9" t="n">
        <v>1</v>
      </c>
      <c r="B9" s="9" t="s">
        <v>56</v>
      </c>
      <c r="C9" s="9" t="s">
        <v>54</v>
      </c>
      <c r="D9" s="9" t="s">
        <v>64</v>
      </c>
      <c r="E9" s="9" t="s">
        <v>27</v>
      </c>
    </row>
    <row r="10" customFormat="false" ht="15" hidden="false" customHeight="true" outlineLevel="0" collapsed="false">
      <c r="A10" s="9" t="n">
        <v>1</v>
      </c>
      <c r="B10" s="9" t="s">
        <v>58</v>
      </c>
      <c r="C10" s="9" t="s">
        <v>54</v>
      </c>
      <c r="D10" s="9" t="s">
        <v>64</v>
      </c>
      <c r="E10" s="9" t="s">
        <v>27</v>
      </c>
    </row>
    <row r="11" customFormat="false" ht="15" hidden="false" customHeight="true" outlineLevel="0" collapsed="false">
      <c r="A11" s="9" t="n">
        <v>1</v>
      </c>
      <c r="B11" s="9" t="s">
        <v>62</v>
      </c>
      <c r="C11" s="9" t="s">
        <v>54</v>
      </c>
      <c r="D11" s="9" t="s">
        <v>64</v>
      </c>
      <c r="E11" s="9" t="s">
        <v>39</v>
      </c>
    </row>
    <row r="12" customFormat="false" ht="15" hidden="false" customHeight="true" outlineLevel="0" collapsed="false">
      <c r="A12" s="9" t="n">
        <v>1</v>
      </c>
      <c r="B12" s="9" t="s">
        <v>79</v>
      </c>
      <c r="C12" s="9" t="s">
        <v>73</v>
      </c>
      <c r="D12" s="9" t="s">
        <v>85</v>
      </c>
      <c r="E12" s="9" t="s">
        <v>36</v>
      </c>
    </row>
    <row r="13" customFormat="false" ht="15" hidden="false" customHeight="true" outlineLevel="0" collapsed="false">
      <c r="A13" s="9" t="n">
        <v>1</v>
      </c>
      <c r="B13" s="9" t="s">
        <v>80</v>
      </c>
      <c r="C13" s="9" t="s">
        <v>73</v>
      </c>
      <c r="D13" s="9" t="s">
        <v>85</v>
      </c>
      <c r="E13" s="9" t="s">
        <v>36</v>
      </c>
    </row>
    <row r="14" customFormat="false" ht="15" hidden="false" customHeight="true" outlineLevel="0" collapsed="false">
      <c r="A14" s="9" t="n">
        <v>1</v>
      </c>
      <c r="B14" s="9" t="s">
        <v>72</v>
      </c>
      <c r="C14" s="9" t="s">
        <v>73</v>
      </c>
      <c r="D14" s="9" t="s">
        <v>85</v>
      </c>
      <c r="E14" s="9" t="s">
        <v>27</v>
      </c>
    </row>
    <row r="15" customFormat="false" ht="15" hidden="false" customHeight="true" outlineLevel="0" collapsed="false">
      <c r="A15" s="9" t="n">
        <v>1</v>
      </c>
      <c r="B15" s="9" t="s">
        <v>75</v>
      </c>
      <c r="C15" s="9" t="s">
        <v>73</v>
      </c>
      <c r="D15" s="9" t="s">
        <v>85</v>
      </c>
      <c r="E15" s="9" t="s">
        <v>27</v>
      </c>
    </row>
    <row r="16" customFormat="false" ht="15" hidden="false" customHeight="true" outlineLevel="0" collapsed="false">
      <c r="A16" s="9" t="n">
        <v>1</v>
      </c>
      <c r="B16" s="9" t="s">
        <v>76</v>
      </c>
      <c r="C16" s="9" t="s">
        <v>73</v>
      </c>
      <c r="D16" s="9" t="s">
        <v>85</v>
      </c>
      <c r="E16" s="9" t="s">
        <v>27</v>
      </c>
    </row>
    <row r="17" customFormat="false" ht="15" hidden="false" customHeight="true" outlineLevel="0" collapsed="false">
      <c r="A17" s="9" t="n">
        <v>1</v>
      </c>
      <c r="B17" s="9" t="s">
        <v>77</v>
      </c>
      <c r="C17" s="9" t="s">
        <v>73</v>
      </c>
      <c r="D17" s="9" t="s">
        <v>85</v>
      </c>
      <c r="E17" s="9" t="s">
        <v>27</v>
      </c>
    </row>
    <row r="18" customFormat="false" ht="15" hidden="false" customHeight="true" outlineLevel="0" collapsed="false">
      <c r="A18" s="9" t="n">
        <v>1</v>
      </c>
      <c r="B18" s="9" t="s">
        <v>81</v>
      </c>
      <c r="C18" s="9" t="s">
        <v>73</v>
      </c>
      <c r="D18" s="9" t="s">
        <v>85</v>
      </c>
      <c r="E18" s="9" t="s">
        <v>39</v>
      </c>
    </row>
    <row r="19" customFormat="false" ht="15" hidden="false" customHeight="true" outlineLevel="0" collapsed="false">
      <c r="A19" s="9" t="n">
        <v>1</v>
      </c>
      <c r="B19" s="9" t="s">
        <v>82</v>
      </c>
      <c r="C19" s="9" t="s">
        <v>73</v>
      </c>
      <c r="D19" s="9" t="s">
        <v>85</v>
      </c>
      <c r="E19" s="9" t="s">
        <v>39</v>
      </c>
    </row>
    <row r="20" customFormat="false" ht="15" hidden="false" customHeight="true" outlineLevel="0" collapsed="false">
      <c r="A20" s="9" t="n">
        <v>1</v>
      </c>
      <c r="B20" s="9" t="s">
        <v>83</v>
      </c>
      <c r="C20" s="9" t="s">
        <v>73</v>
      </c>
      <c r="D20" s="9" t="s">
        <v>85</v>
      </c>
      <c r="E20" s="9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7" width="10"/>
    <col collapsed="false" customWidth="true" hidden="false" outlineLevel="0" max="8" min="2" style="7" width="12"/>
    <col collapsed="false" customWidth="true" hidden="false" outlineLevel="0" max="9" min="9" style="7" width="22"/>
    <col collapsed="false" customWidth="true" hidden="false" outlineLevel="0" max="10" min="10" style="7" width="20"/>
    <col collapsed="false" customWidth="true" hidden="false" outlineLevel="0" max="14" min="11" style="7" width="18"/>
  </cols>
  <sheetData>
    <row r="1" customFormat="false" ht="15" hidden="false" customHeight="true" outlineLevel="0" collapsed="false">
      <c r="A1" s="8" t="s">
        <v>105</v>
      </c>
      <c r="B1" s="8" t="s">
        <v>112</v>
      </c>
      <c r="C1" s="8" t="s">
        <v>113</v>
      </c>
      <c r="D1" s="8" t="s">
        <v>114</v>
      </c>
      <c r="E1" s="8" t="s">
        <v>115</v>
      </c>
      <c r="F1" s="8" t="s">
        <v>116</v>
      </c>
      <c r="G1" s="8" t="s">
        <v>117</v>
      </c>
      <c r="H1" s="8" t="s">
        <v>118</v>
      </c>
      <c r="I1" s="8" t="s">
        <v>119</v>
      </c>
      <c r="J1" s="8" t="s">
        <v>120</v>
      </c>
      <c r="K1" s="8" t="s">
        <v>121</v>
      </c>
      <c r="L1" s="8" t="s">
        <v>122</v>
      </c>
      <c r="M1" s="8" t="s">
        <v>123</v>
      </c>
      <c r="N1" s="8" t="s">
        <v>124</v>
      </c>
    </row>
    <row r="2" customFormat="false" ht="15" hidden="false" customHeight="true" outlineLevel="0" collapsed="false">
      <c r="A2" s="9" t="n">
        <v>1</v>
      </c>
      <c r="B2" s="9" t="s">
        <v>33</v>
      </c>
      <c r="C2" s="9" t="s">
        <v>33</v>
      </c>
      <c r="D2" s="9" t="s">
        <v>33</v>
      </c>
      <c r="E2" s="9" t="s">
        <v>33</v>
      </c>
      <c r="F2" s="9" t="s">
        <v>33</v>
      </c>
      <c r="G2" s="9" t="s">
        <v>33</v>
      </c>
      <c r="H2" s="9" t="s">
        <v>33</v>
      </c>
      <c r="I2" s="9"/>
      <c r="J2" s="9"/>
      <c r="K2" s="9"/>
      <c r="L2" s="9"/>
      <c r="M2" s="9"/>
      <c r="N2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7" width="10"/>
    <col collapsed="false" customWidth="true" hidden="false" outlineLevel="0" max="2" min="2" style="7" width="14"/>
    <col collapsed="false" customWidth="true" hidden="false" outlineLevel="0" max="3" min="3" style="7" width="12"/>
  </cols>
  <sheetData>
    <row r="1" customFormat="false" ht="15" hidden="false" customHeight="true" outlineLevel="0" collapsed="false">
      <c r="A1" s="8" t="s">
        <v>105</v>
      </c>
      <c r="B1" s="8" t="s">
        <v>22</v>
      </c>
      <c r="C1" s="8" t="s">
        <v>125</v>
      </c>
      <c r="D1" s="11" t="s">
        <v>126</v>
      </c>
      <c r="E1" s="12" t="s">
        <v>127</v>
      </c>
    </row>
    <row r="2" customFormat="false" ht="15" hidden="false" customHeight="true" outlineLevel="0" collapsed="false">
      <c r="A2" s="9" t="n">
        <v>1</v>
      </c>
      <c r="B2" s="9" t="s">
        <v>43</v>
      </c>
      <c r="C2" s="9" t="s">
        <v>128</v>
      </c>
      <c r="D2" s="13" t="str">
        <f aca="false">A2&amp;"_"&amp;B2</f>
        <v>1_U13</v>
      </c>
    </row>
    <row r="3" customFormat="false" ht="15" hidden="false" customHeight="true" outlineLevel="0" collapsed="false">
      <c r="A3" s="9" t="n">
        <v>1</v>
      </c>
      <c r="B3" s="9" t="s">
        <v>54</v>
      </c>
      <c r="C3" s="9" t="s">
        <v>128</v>
      </c>
      <c r="D3" s="13" t="str">
        <f aca="false">A3&amp;"_"&amp;B3</f>
        <v>1_U14</v>
      </c>
    </row>
    <row r="4" customFormat="false" ht="15" hidden="false" customHeight="true" outlineLevel="0" collapsed="false">
      <c r="A4" s="9" t="n">
        <v>1</v>
      </c>
      <c r="B4" s="9" t="s">
        <v>64</v>
      </c>
      <c r="C4" s="9" t="s">
        <v>128</v>
      </c>
      <c r="D4" s="13" t="str">
        <f aca="false">A4&amp;"_"&amp;B4</f>
        <v>1_U15</v>
      </c>
    </row>
    <row r="5" customFormat="false" ht="15" hidden="false" customHeight="true" outlineLevel="0" collapsed="false">
      <c r="A5" s="9" t="n">
        <v>1</v>
      </c>
      <c r="B5" s="9" t="s">
        <v>73</v>
      </c>
      <c r="C5" s="9" t="s">
        <v>128</v>
      </c>
      <c r="D5" s="13" t="str">
        <f aca="false">A5&amp;"_"&amp;B5</f>
        <v>1_U16</v>
      </c>
    </row>
    <row r="6" customFormat="false" ht="15" hidden="false" customHeight="true" outlineLevel="0" collapsed="false">
      <c r="A6" s="9" t="n">
        <v>1</v>
      </c>
      <c r="B6" s="9" t="s">
        <v>85</v>
      </c>
      <c r="C6" s="9" t="s">
        <v>128</v>
      </c>
      <c r="D6" s="13" t="str">
        <f aca="false">A6&amp;"_"&amp;B6</f>
        <v>1_U17+SFB</v>
      </c>
    </row>
    <row r="7" customFormat="false" ht="15" hidden="false" customHeight="true" outlineLevel="0" collapsed="false">
      <c r="A7" s="9" t="n">
        <v>1</v>
      </c>
      <c r="B7" s="9" t="s">
        <v>94</v>
      </c>
      <c r="C7" s="9" t="s">
        <v>128</v>
      </c>
      <c r="D7" s="13" t="str">
        <f aca="false">A7&amp;"_"&amp;B7</f>
        <v>1_U18+DE</v>
      </c>
    </row>
    <row r="8" customFormat="false" ht="15" hidden="false" customHeight="true" outlineLevel="0" collapsed="false">
      <c r="A8" s="9" t="n">
        <v>1</v>
      </c>
      <c r="B8" s="9" t="s">
        <v>26</v>
      </c>
      <c r="C8" s="9" t="s">
        <v>128</v>
      </c>
      <c r="D8" s="13" t="str">
        <f aca="false">A8&amp;"_"&amp;B8</f>
        <v>1_LF2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7" width="10"/>
    <col collapsed="false" customWidth="true" hidden="false" outlineLevel="0" max="2" min="2" style="7" width="24"/>
    <col collapsed="false" customWidth="true" hidden="false" outlineLevel="0" max="4" min="3" style="7" width="10"/>
  </cols>
  <sheetData>
    <row r="1" customFormat="false" ht="15" hidden="false" customHeight="true" outlineLevel="0" collapsed="false">
      <c r="A1" s="8" t="s">
        <v>105</v>
      </c>
      <c r="B1" s="8" t="s">
        <v>21</v>
      </c>
      <c r="C1" s="8" t="s">
        <v>129</v>
      </c>
      <c r="D1" s="8" t="s">
        <v>130</v>
      </c>
    </row>
    <row r="2" customFormat="false" ht="15" hidden="false" customHeight="true" outlineLevel="0" collapsed="false">
      <c r="A2" s="9" t="n">
        <v>1</v>
      </c>
      <c r="B2" s="9" t="s">
        <v>25</v>
      </c>
      <c r="C2" s="9" t="n">
        <v>10</v>
      </c>
      <c r="D2" s="9" t="n">
        <v>2</v>
      </c>
    </row>
    <row r="3" customFormat="false" ht="15" hidden="false" customHeight="true" outlineLevel="0" collapsed="false">
      <c r="A3" s="9" t="n">
        <v>1</v>
      </c>
      <c r="B3" s="9" t="s">
        <v>29</v>
      </c>
      <c r="C3" s="9"/>
      <c r="D3" s="9"/>
    </row>
    <row r="4" customFormat="false" ht="15" hidden="false" customHeight="true" outlineLevel="0" collapsed="false">
      <c r="A4" s="9" t="n">
        <v>1</v>
      </c>
      <c r="B4" s="9" t="s">
        <v>30</v>
      </c>
      <c r="C4" s="9"/>
      <c r="D4" s="9"/>
    </row>
    <row r="5" customFormat="false" ht="15" hidden="false" customHeight="true" outlineLevel="0" collapsed="false">
      <c r="A5" s="9" t="n">
        <v>1</v>
      </c>
      <c r="B5" s="9" t="s">
        <v>31</v>
      </c>
      <c r="C5" s="9"/>
      <c r="D5" s="9"/>
    </row>
    <row r="6" customFormat="false" ht="15" hidden="false" customHeight="true" outlineLevel="0" collapsed="false">
      <c r="A6" s="9" t="n">
        <v>1</v>
      </c>
      <c r="B6" s="9" t="s">
        <v>32</v>
      </c>
      <c r="C6" s="9"/>
      <c r="D6" s="9"/>
    </row>
    <row r="7" customFormat="false" ht="15" hidden="false" customHeight="true" outlineLevel="0" collapsed="false">
      <c r="A7" s="9" t="n">
        <v>1</v>
      </c>
      <c r="B7" s="9" t="s">
        <v>34</v>
      </c>
      <c r="C7" s="9"/>
      <c r="D7" s="9"/>
    </row>
    <row r="8" customFormat="false" ht="15" hidden="false" customHeight="true" outlineLevel="0" collapsed="false">
      <c r="A8" s="9" t="n">
        <v>1</v>
      </c>
      <c r="B8" s="9" t="s">
        <v>35</v>
      </c>
      <c r="C8" s="9"/>
      <c r="D8" s="9"/>
    </row>
    <row r="9" customFormat="false" ht="15" hidden="false" customHeight="true" outlineLevel="0" collapsed="false">
      <c r="A9" s="9" t="n">
        <v>1</v>
      </c>
      <c r="B9" s="9" t="s">
        <v>37</v>
      </c>
      <c r="C9" s="9"/>
      <c r="D9" s="9"/>
    </row>
    <row r="10" customFormat="false" ht="15" hidden="false" customHeight="true" outlineLevel="0" collapsed="false">
      <c r="A10" s="9" t="n">
        <v>1</v>
      </c>
      <c r="B10" s="9" t="s">
        <v>38</v>
      </c>
      <c r="C10" s="9"/>
      <c r="D10" s="9"/>
    </row>
    <row r="11" customFormat="false" ht="15" hidden="false" customHeight="true" outlineLevel="0" collapsed="false">
      <c r="A11" s="9" t="n">
        <v>1</v>
      </c>
      <c r="B11" s="9" t="s">
        <v>40</v>
      </c>
      <c r="C11" s="9"/>
      <c r="D11" s="9"/>
    </row>
    <row r="12" customFormat="false" ht="15" hidden="false" customHeight="true" outlineLevel="0" collapsed="false">
      <c r="A12" s="9" t="n">
        <v>1</v>
      </c>
      <c r="B12" s="9" t="s">
        <v>41</v>
      </c>
      <c r="C12" s="9"/>
      <c r="D12" s="9"/>
    </row>
    <row r="13" customFormat="false" ht="15" hidden="false" customHeight="true" outlineLevel="0" collapsed="false">
      <c r="A13" s="9" t="n">
        <v>1</v>
      </c>
      <c r="B13" s="9" t="s">
        <v>42</v>
      </c>
      <c r="C13" s="9"/>
      <c r="D13" s="9"/>
    </row>
    <row r="14" customFormat="false" ht="15" hidden="false" customHeight="true" outlineLevel="0" collapsed="false">
      <c r="A14" s="9" t="n">
        <v>1</v>
      </c>
      <c r="B14" s="9" t="s">
        <v>44</v>
      </c>
      <c r="C14" s="9"/>
      <c r="D14" s="9"/>
    </row>
    <row r="15" customFormat="false" ht="15" hidden="false" customHeight="true" outlineLevel="0" collapsed="false">
      <c r="A15" s="9" t="n">
        <v>1</v>
      </c>
      <c r="B15" s="9" t="s">
        <v>45</v>
      </c>
      <c r="C15" s="9"/>
      <c r="D15" s="9"/>
    </row>
    <row r="16" customFormat="false" ht="15" hidden="false" customHeight="true" outlineLevel="0" collapsed="false">
      <c r="A16" s="9" t="n">
        <v>1</v>
      </c>
      <c r="B16" s="9" t="s">
        <v>46</v>
      </c>
      <c r="C16" s="9"/>
      <c r="D16" s="9"/>
    </row>
    <row r="17" customFormat="false" ht="15" hidden="false" customHeight="true" outlineLevel="0" collapsed="false">
      <c r="A17" s="9" t="n">
        <v>1</v>
      </c>
      <c r="B17" s="9" t="s">
        <v>47</v>
      </c>
      <c r="C17" s="9" t="n">
        <v>10</v>
      </c>
      <c r="D17" s="9" t="n">
        <v>2</v>
      </c>
    </row>
    <row r="18" customFormat="false" ht="15" hidden="false" customHeight="true" outlineLevel="0" collapsed="false">
      <c r="A18" s="9" t="n">
        <v>1</v>
      </c>
      <c r="B18" s="9" t="s">
        <v>48</v>
      </c>
      <c r="C18" s="9"/>
      <c r="D18" s="9"/>
    </row>
    <row r="19" customFormat="false" ht="15" hidden="false" customHeight="true" outlineLevel="0" collapsed="false">
      <c r="A19" s="9" t="n">
        <v>1</v>
      </c>
      <c r="B19" s="9" t="s">
        <v>49</v>
      </c>
      <c r="C19" s="9"/>
      <c r="D19" s="9"/>
    </row>
    <row r="20" customFormat="false" ht="15" hidden="false" customHeight="true" outlineLevel="0" collapsed="false">
      <c r="A20" s="9" t="n">
        <v>1</v>
      </c>
      <c r="B20" s="9" t="s">
        <v>50</v>
      </c>
      <c r="C20" s="9"/>
      <c r="D20" s="9"/>
    </row>
    <row r="21" customFormat="false" ht="15" hidden="false" customHeight="true" outlineLevel="0" collapsed="false">
      <c r="A21" s="9" t="n">
        <v>1</v>
      </c>
      <c r="B21" s="9" t="s">
        <v>51</v>
      </c>
      <c r="C21" s="9"/>
      <c r="D21" s="9"/>
    </row>
    <row r="22" customFormat="false" ht="15" hidden="false" customHeight="true" outlineLevel="0" collapsed="false">
      <c r="A22" s="9" t="n">
        <v>1</v>
      </c>
      <c r="B22" s="9" t="s">
        <v>52</v>
      </c>
      <c r="C22" s="9"/>
      <c r="D22" s="9"/>
    </row>
    <row r="23" customFormat="false" ht="15" hidden="false" customHeight="true" outlineLevel="0" collapsed="false">
      <c r="A23" s="9" t="n">
        <v>1</v>
      </c>
      <c r="B23" s="9" t="s">
        <v>53</v>
      </c>
      <c r="C23" s="9"/>
      <c r="D23" s="9"/>
    </row>
    <row r="24" customFormat="false" ht="15" hidden="false" customHeight="true" outlineLevel="0" collapsed="false">
      <c r="A24" s="9" t="n">
        <v>1</v>
      </c>
      <c r="B24" s="9" t="s">
        <v>55</v>
      </c>
      <c r="C24" s="9"/>
      <c r="D24" s="9"/>
    </row>
    <row r="25" customFormat="false" ht="15" hidden="false" customHeight="true" outlineLevel="0" collapsed="false">
      <c r="A25" s="9" t="n">
        <v>1</v>
      </c>
      <c r="B25" s="9" t="s">
        <v>56</v>
      </c>
      <c r="C25" s="9"/>
      <c r="D25" s="9"/>
    </row>
    <row r="26" customFormat="false" ht="15" hidden="false" customHeight="true" outlineLevel="0" collapsed="false">
      <c r="A26" s="9" t="n">
        <v>1</v>
      </c>
      <c r="B26" s="9" t="s">
        <v>57</v>
      </c>
      <c r="C26" s="9"/>
      <c r="D26" s="9"/>
    </row>
    <row r="27" customFormat="false" ht="15" hidden="false" customHeight="true" outlineLevel="0" collapsed="false">
      <c r="A27" s="9" t="n">
        <v>1</v>
      </c>
      <c r="B27" s="9" t="s">
        <v>58</v>
      </c>
      <c r="C27" s="9"/>
      <c r="D27" s="9"/>
    </row>
    <row r="28" customFormat="false" ht="15" hidden="false" customHeight="true" outlineLevel="0" collapsed="false">
      <c r="A28" s="9" t="n">
        <v>1</v>
      </c>
      <c r="B28" s="9" t="s">
        <v>59</v>
      </c>
      <c r="C28" s="9"/>
      <c r="D28" s="9"/>
    </row>
    <row r="29" customFormat="false" ht="15" hidden="false" customHeight="true" outlineLevel="0" collapsed="false">
      <c r="A29" s="9" t="n">
        <v>1</v>
      </c>
      <c r="B29" s="9" t="s">
        <v>60</v>
      </c>
      <c r="C29" s="9"/>
      <c r="D29" s="9"/>
    </row>
    <row r="30" customFormat="false" ht="15" hidden="false" customHeight="true" outlineLevel="0" collapsed="false">
      <c r="A30" s="9" t="n">
        <v>1</v>
      </c>
      <c r="B30" s="9" t="s">
        <v>61</v>
      </c>
      <c r="C30" s="9"/>
      <c r="D30" s="9"/>
    </row>
    <row r="31" customFormat="false" ht="15" hidden="false" customHeight="true" outlineLevel="0" collapsed="false">
      <c r="A31" s="9" t="n">
        <v>1</v>
      </c>
      <c r="B31" s="9" t="s">
        <v>62</v>
      </c>
      <c r="C31" s="9"/>
      <c r="D31" s="9"/>
    </row>
    <row r="32" customFormat="false" ht="15" hidden="false" customHeight="true" outlineLevel="0" collapsed="false">
      <c r="A32" s="9" t="n">
        <v>1</v>
      </c>
      <c r="B32" s="9" t="s">
        <v>63</v>
      </c>
      <c r="C32" s="9"/>
      <c r="D32" s="9"/>
    </row>
    <row r="33" customFormat="false" ht="15" hidden="false" customHeight="true" outlineLevel="0" collapsed="false">
      <c r="A33" s="9" t="n">
        <v>1</v>
      </c>
      <c r="B33" s="9" t="s">
        <v>65</v>
      </c>
      <c r="C33" s="9"/>
      <c r="D33" s="9"/>
    </row>
    <row r="34" customFormat="false" ht="15" hidden="false" customHeight="true" outlineLevel="0" collapsed="false">
      <c r="A34" s="9" t="n">
        <v>1</v>
      </c>
      <c r="B34" s="9" t="s">
        <v>66</v>
      </c>
      <c r="C34" s="9"/>
      <c r="D34" s="9"/>
    </row>
    <row r="35" customFormat="false" ht="15" hidden="false" customHeight="true" outlineLevel="0" collapsed="false">
      <c r="A35" s="9" t="n">
        <v>1</v>
      </c>
      <c r="B35" s="9" t="s">
        <v>67</v>
      </c>
      <c r="C35" s="9"/>
      <c r="D35" s="9"/>
    </row>
    <row r="36" customFormat="false" ht="15" hidden="false" customHeight="true" outlineLevel="0" collapsed="false">
      <c r="A36" s="9" t="n">
        <v>1</v>
      </c>
      <c r="B36" s="9" t="s">
        <v>68</v>
      </c>
      <c r="C36" s="9"/>
      <c r="D36" s="9"/>
    </row>
    <row r="37" customFormat="false" ht="15" hidden="false" customHeight="true" outlineLevel="0" collapsed="false">
      <c r="A37" s="9" t="n">
        <v>1</v>
      </c>
      <c r="B37" s="9" t="s">
        <v>69</v>
      </c>
      <c r="C37" s="9"/>
      <c r="D37" s="9"/>
    </row>
    <row r="38" customFormat="false" ht="15" hidden="false" customHeight="true" outlineLevel="0" collapsed="false">
      <c r="A38" s="9" t="n">
        <v>1</v>
      </c>
      <c r="B38" s="9" t="s">
        <v>70</v>
      </c>
      <c r="C38" s="9"/>
      <c r="D38" s="9"/>
    </row>
    <row r="39" customFormat="false" ht="15" hidden="false" customHeight="true" outlineLevel="0" collapsed="false">
      <c r="A39" s="9" t="n">
        <v>1</v>
      </c>
      <c r="B39" s="9" t="s">
        <v>71</v>
      </c>
      <c r="C39" s="9"/>
      <c r="D39" s="9"/>
    </row>
    <row r="40" customFormat="false" ht="15" hidden="false" customHeight="true" outlineLevel="0" collapsed="false">
      <c r="A40" s="9" t="n">
        <v>1</v>
      </c>
      <c r="B40" s="9" t="s">
        <v>72</v>
      </c>
      <c r="C40" s="9"/>
      <c r="D40" s="9"/>
    </row>
    <row r="41" customFormat="false" ht="15" hidden="false" customHeight="true" outlineLevel="0" collapsed="false">
      <c r="A41" s="9" t="n">
        <v>1</v>
      </c>
      <c r="B41" s="9" t="s">
        <v>74</v>
      </c>
      <c r="C41" s="9"/>
      <c r="D41" s="9"/>
    </row>
    <row r="42" customFormat="false" ht="15" hidden="false" customHeight="true" outlineLevel="0" collapsed="false">
      <c r="A42" s="9" t="n">
        <v>1</v>
      </c>
      <c r="B42" s="9" t="s">
        <v>75</v>
      </c>
      <c r="C42" s="9"/>
      <c r="D42" s="9"/>
    </row>
    <row r="43" customFormat="false" ht="15" hidden="false" customHeight="true" outlineLevel="0" collapsed="false">
      <c r="A43" s="9" t="n">
        <v>1</v>
      </c>
      <c r="B43" s="9" t="s">
        <v>76</v>
      </c>
      <c r="C43" s="9"/>
      <c r="D43" s="9"/>
    </row>
    <row r="44" customFormat="false" ht="15" hidden="false" customHeight="true" outlineLevel="0" collapsed="false">
      <c r="A44" s="9" t="n">
        <v>1</v>
      </c>
      <c r="B44" s="9" t="s">
        <v>77</v>
      </c>
      <c r="C44" s="9"/>
      <c r="D44" s="9"/>
    </row>
    <row r="45" customFormat="false" ht="15" hidden="false" customHeight="true" outlineLevel="0" collapsed="false">
      <c r="A45" s="9" t="n">
        <v>1</v>
      </c>
      <c r="B45" s="9" t="s">
        <v>78</v>
      </c>
      <c r="C45" s="9"/>
      <c r="D45" s="9"/>
    </row>
    <row r="46" customFormat="false" ht="15" hidden="false" customHeight="true" outlineLevel="0" collapsed="false">
      <c r="A46" s="9" t="n">
        <v>1</v>
      </c>
      <c r="B46" s="9" t="s">
        <v>79</v>
      </c>
      <c r="C46" s="9"/>
      <c r="D46" s="9"/>
    </row>
    <row r="47" customFormat="false" ht="15" hidden="false" customHeight="true" outlineLevel="0" collapsed="false">
      <c r="A47" s="9" t="n">
        <v>1</v>
      </c>
      <c r="B47" s="9" t="s">
        <v>80</v>
      </c>
      <c r="C47" s="9"/>
      <c r="D47" s="9"/>
    </row>
    <row r="48" customFormat="false" ht="15" hidden="false" customHeight="true" outlineLevel="0" collapsed="false">
      <c r="A48" s="9" t="n">
        <v>1</v>
      </c>
      <c r="B48" s="9" t="s">
        <v>81</v>
      </c>
      <c r="C48" s="9"/>
      <c r="D48" s="9"/>
    </row>
    <row r="49" customFormat="false" ht="15" hidden="false" customHeight="true" outlineLevel="0" collapsed="false">
      <c r="A49" s="9" t="n">
        <v>1</v>
      </c>
      <c r="B49" s="9" t="s">
        <v>82</v>
      </c>
      <c r="C49" s="9"/>
      <c r="D49" s="9"/>
    </row>
    <row r="50" customFormat="false" ht="15" hidden="false" customHeight="true" outlineLevel="0" collapsed="false">
      <c r="A50" s="9" t="n">
        <v>1</v>
      </c>
      <c r="B50" s="9" t="s">
        <v>83</v>
      </c>
      <c r="C50" s="9"/>
      <c r="D50" s="9"/>
    </row>
    <row r="51" customFormat="false" ht="15" hidden="false" customHeight="true" outlineLevel="0" collapsed="false">
      <c r="A51" s="9" t="n">
        <v>1</v>
      </c>
      <c r="B51" s="9" t="s">
        <v>84</v>
      </c>
      <c r="C51" s="9"/>
      <c r="D51" s="9"/>
    </row>
    <row r="52" customFormat="false" ht="15" hidden="false" customHeight="true" outlineLevel="0" collapsed="false">
      <c r="A52" s="9" t="n">
        <v>1</v>
      </c>
      <c r="B52" s="9" t="s">
        <v>86</v>
      </c>
      <c r="C52" s="9"/>
      <c r="D52" s="9"/>
    </row>
    <row r="53" customFormat="false" ht="15" hidden="false" customHeight="true" outlineLevel="0" collapsed="false">
      <c r="A53" s="9" t="n">
        <v>1</v>
      </c>
      <c r="B53" s="9" t="s">
        <v>87</v>
      </c>
      <c r="C53" s="9"/>
      <c r="D53" s="9"/>
    </row>
    <row r="54" customFormat="false" ht="15" hidden="false" customHeight="true" outlineLevel="0" collapsed="false">
      <c r="A54" s="9" t="n">
        <v>1</v>
      </c>
      <c r="B54" s="9" t="s">
        <v>88</v>
      </c>
      <c r="C54" s="9"/>
      <c r="D54" s="9"/>
    </row>
    <row r="55" customFormat="false" ht="15" hidden="false" customHeight="true" outlineLevel="0" collapsed="false">
      <c r="A55" s="9" t="n">
        <v>1</v>
      </c>
      <c r="B55" s="9" t="s">
        <v>89</v>
      </c>
      <c r="C55" s="9"/>
      <c r="D55" s="9"/>
    </row>
    <row r="56" customFormat="false" ht="15" hidden="false" customHeight="true" outlineLevel="0" collapsed="false">
      <c r="A56" s="9" t="n">
        <v>1</v>
      </c>
      <c r="B56" s="9" t="s">
        <v>90</v>
      </c>
      <c r="C56" s="9"/>
      <c r="D56" s="9"/>
    </row>
    <row r="57" customFormat="false" ht="15" hidden="false" customHeight="true" outlineLevel="0" collapsed="false">
      <c r="A57" s="9" t="n">
        <v>1</v>
      </c>
      <c r="B57" s="9" t="s">
        <v>91</v>
      </c>
      <c r="C57" s="9"/>
      <c r="D57" s="9"/>
    </row>
    <row r="58" customFormat="false" ht="15" hidden="false" customHeight="true" outlineLevel="0" collapsed="false">
      <c r="A58" s="9" t="n">
        <v>1</v>
      </c>
      <c r="B58" s="9" t="s">
        <v>92</v>
      </c>
      <c r="C58" s="9"/>
      <c r="D58" s="9"/>
    </row>
    <row r="59" customFormat="false" ht="15" hidden="false" customHeight="true" outlineLevel="0" collapsed="false">
      <c r="A59" s="9" t="n">
        <v>1</v>
      </c>
      <c r="B59" s="9" t="s">
        <v>93</v>
      </c>
      <c r="C59" s="9"/>
      <c r="D59" s="9"/>
    </row>
    <row r="60" customFormat="false" ht="15" hidden="false" customHeight="true" outlineLevel="0" collapsed="false">
      <c r="A60" s="9" t="n">
        <v>1</v>
      </c>
      <c r="B60" s="9" t="s">
        <v>95</v>
      </c>
      <c r="C60" s="9"/>
      <c r="D60" s="9"/>
    </row>
    <row r="61" customFormat="false" ht="15" hidden="false" customHeight="true" outlineLevel="0" collapsed="false">
      <c r="A61" s="9" t="n">
        <v>1</v>
      </c>
      <c r="B61" s="9" t="s">
        <v>96</v>
      </c>
      <c r="C61" s="9"/>
      <c r="D61" s="9"/>
    </row>
    <row r="62" customFormat="false" ht="15" hidden="false" customHeight="true" outlineLevel="0" collapsed="false">
      <c r="A62" s="9" t="n">
        <v>1</v>
      </c>
      <c r="B62" s="9" t="s">
        <v>97</v>
      </c>
      <c r="C62" s="9"/>
      <c r="D62" s="9"/>
    </row>
    <row r="63" customFormat="false" ht="15" hidden="false" customHeight="true" outlineLevel="0" collapsed="false">
      <c r="A63" s="9" t="n">
        <v>1</v>
      </c>
      <c r="B63" s="9" t="s">
        <v>98</v>
      </c>
      <c r="C63" s="9"/>
      <c r="D63" s="9"/>
    </row>
    <row r="64" customFormat="false" ht="15" hidden="false" customHeight="true" outlineLevel="0" collapsed="false">
      <c r="A64" s="9" t="n">
        <v>1</v>
      </c>
      <c r="B64" s="9" t="s">
        <v>99</v>
      </c>
      <c r="C64" s="9"/>
      <c r="D64" s="9"/>
    </row>
    <row r="65" customFormat="false" ht="15" hidden="false" customHeight="true" outlineLevel="0" collapsed="false">
      <c r="A65" s="9" t="n">
        <v>1</v>
      </c>
      <c r="B65" s="9" t="s">
        <v>100</v>
      </c>
      <c r="C65" s="9"/>
      <c r="D65" s="9"/>
    </row>
    <row r="66" customFormat="false" ht="15" hidden="false" customHeight="true" outlineLevel="0" collapsed="false">
      <c r="A66" s="9" t="n">
        <v>1</v>
      </c>
      <c r="B66" s="9" t="s">
        <v>101</v>
      </c>
      <c r="C66" s="9"/>
      <c r="D66" s="9"/>
    </row>
    <row r="67" customFormat="false" ht="15" hidden="false" customHeight="true" outlineLevel="0" collapsed="false">
      <c r="A67" s="9" t="n">
        <v>1</v>
      </c>
      <c r="B67" s="9" t="s">
        <v>102</v>
      </c>
      <c r="C67" s="9"/>
      <c r="D67" s="9"/>
    </row>
    <row r="68" customFormat="false" ht="15" hidden="false" customHeight="true" outlineLevel="0" collapsed="false">
      <c r="A68" s="9" t="n">
        <v>1</v>
      </c>
      <c r="B68" s="9" t="s">
        <v>103</v>
      </c>
      <c r="C68" s="9"/>
      <c r="D68" s="9"/>
    </row>
    <row r="69" customFormat="false" ht="15" hidden="false" customHeight="true" outlineLevel="0" collapsed="false">
      <c r="A69" s="9" t="n">
        <v>1</v>
      </c>
      <c r="B69" s="9" t="s">
        <v>104</v>
      </c>
      <c r="C69" s="9"/>
      <c r="D69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7" width="10"/>
    <col collapsed="false" customWidth="true" hidden="false" outlineLevel="0" max="3" min="3" style="7" width="24"/>
    <col collapsed="false" customWidth="true" hidden="false" outlineLevel="0" max="4" min="4" style="7" width="14"/>
    <col collapsed="false" customWidth="true" hidden="false" outlineLevel="0" max="6" min="5" style="7" width="10"/>
    <col collapsed="false" customWidth="true" hidden="false" outlineLevel="0" max="7" min="7" style="7" width="20"/>
  </cols>
  <sheetData>
    <row r="1" customFormat="false" ht="15" hidden="false" customHeight="true" outlineLevel="0" collapsed="false">
      <c r="A1" s="8" t="s">
        <v>105</v>
      </c>
      <c r="B1" s="8" t="s">
        <v>131</v>
      </c>
      <c r="C1" s="8" t="s">
        <v>132</v>
      </c>
      <c r="D1" s="8" t="s">
        <v>133</v>
      </c>
      <c r="E1" s="8" t="s">
        <v>23</v>
      </c>
      <c r="F1" s="8" t="s">
        <v>134</v>
      </c>
      <c r="G1" s="8" t="s">
        <v>135</v>
      </c>
    </row>
    <row r="2" customFormat="false" ht="15" hidden="false" customHeight="true" outlineLevel="0" collapsed="false">
      <c r="A2" s="9" t="n">
        <v>1</v>
      </c>
      <c r="B2" s="9" t="s">
        <v>43</v>
      </c>
      <c r="C2" s="9" t="s">
        <v>47</v>
      </c>
      <c r="D2" s="9" t="s">
        <v>43</v>
      </c>
      <c r="E2" s="9" t="s">
        <v>36</v>
      </c>
      <c r="F2" s="9" t="s">
        <v>33</v>
      </c>
      <c r="G2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7" width="10"/>
    <col collapsed="false" customWidth="true" hidden="false" outlineLevel="0" max="5" min="3" style="7" width="18"/>
    <col collapsed="false" customWidth="true" hidden="false" outlineLevel="0" max="6" min="6" style="7" width="16"/>
  </cols>
  <sheetData>
    <row r="1" customFormat="false" ht="15" hidden="false" customHeight="true" outlineLevel="0" collapsed="false">
      <c r="A1" s="8" t="s">
        <v>105</v>
      </c>
      <c r="B1" s="8" t="s">
        <v>131</v>
      </c>
      <c r="C1" s="8" t="s">
        <v>136</v>
      </c>
      <c r="D1" s="8" t="s">
        <v>137</v>
      </c>
      <c r="E1" s="8" t="s">
        <v>138</v>
      </c>
      <c r="F1" s="8" t="s">
        <v>139</v>
      </c>
    </row>
    <row r="2" customFormat="false" ht="15" hidden="false" customHeight="true" outlineLevel="0" collapsed="false">
      <c r="A2" s="9" t="n">
        <v>1</v>
      </c>
      <c r="B2" s="9" t="s">
        <v>43</v>
      </c>
      <c r="C2" s="9"/>
      <c r="D2" s="9"/>
      <c r="E2" s="9"/>
      <c r="F2" s="9" t="n"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7" width="9"/>
    <col collapsed="false" customWidth="true" hidden="false" outlineLevel="0" max="2" min="2" style="7" width="10"/>
    <col collapsed="false" customWidth="true" hidden="false" outlineLevel="0" max="3" min="3" style="7" width="22"/>
    <col collapsed="false" customWidth="true" hidden="false" outlineLevel="0" max="4" min="4" style="7" width="14"/>
    <col collapsed="false" customWidth="true" hidden="false" outlineLevel="0" max="5" min="5" style="7" width="10"/>
    <col collapsed="false" customWidth="true" hidden="false" outlineLevel="0" max="7" min="6" style="7" width="8"/>
    <col collapsed="false" customWidth="true" hidden="false" outlineLevel="0" max="8" min="8" style="7" width="10"/>
    <col collapsed="false" customWidth="true" hidden="false" outlineLevel="0" max="9" min="9" style="7" width="12"/>
    <col collapsed="false" customWidth="true" hidden="false" outlineLevel="0" max="12" min="10" style="7" width="14"/>
    <col collapsed="false" customWidth="true" hidden="false" outlineLevel="0" max="13" min="13" style="7" width="12"/>
  </cols>
  <sheetData>
    <row r="1" customFormat="false" ht="15" hidden="false" customHeight="true" outlineLevel="0" collapsed="false">
      <c r="A1" s="8" t="s">
        <v>105</v>
      </c>
      <c r="B1" s="8" t="s">
        <v>131</v>
      </c>
      <c r="C1" s="8" t="s">
        <v>132</v>
      </c>
      <c r="D1" s="8" t="s">
        <v>133</v>
      </c>
      <c r="E1" s="8" t="s">
        <v>134</v>
      </c>
      <c r="F1" s="8" t="s">
        <v>129</v>
      </c>
      <c r="G1" s="8" t="s">
        <v>130</v>
      </c>
      <c r="H1" s="8" t="s">
        <v>140</v>
      </c>
      <c r="I1" s="8" t="s">
        <v>141</v>
      </c>
      <c r="J1" s="8" t="s">
        <v>142</v>
      </c>
      <c r="K1" s="8" t="s">
        <v>143</v>
      </c>
      <c r="L1" s="8" t="s">
        <v>144</v>
      </c>
      <c r="M1" s="8" t="s">
        <v>145</v>
      </c>
    </row>
    <row r="2" customFormat="false" ht="15" hidden="false" customHeight="true" outlineLevel="0" collapsed="false">
      <c r="A2" s="9" t="n">
        <f aca="false">IF(Equips_usuari!A2="","",Equips_usuari!A2)</f>
        <v>1</v>
      </c>
      <c r="B2" s="9" t="str">
        <f aca="false">IF(Equips_usuari!B2="","",Equips_usuari!B2)</f>
        <v>U13</v>
      </c>
      <c r="C2" s="9" t="str">
        <f aca="false">IF(Equips_usuari!C2="","",Equips_usuari!C2)</f>
        <v>Martina Agramunt</v>
      </c>
      <c r="D2" s="9" t="str">
        <f aca="false">IF(Equips_usuari!D2="","",Equips_usuari!D2)</f>
        <v>U13</v>
      </c>
      <c r="E2" s="9" t="str">
        <f aca="false">IF(Equips_usuari!F2="","",Equips_usuari!F2)</f>
        <v>SI</v>
      </c>
      <c r="F2" s="9" t="n">
        <f aca="false">IF($C2="","",SUMIFS(Resultats_jugadores!$C:$C,Resultats_jugadores!$A:$A,$A2,Resultats_jugadores!$B:$B,$C2))</f>
        <v>10</v>
      </c>
      <c r="G2" s="9" t="n">
        <f aca="false">IF($C2="","",SUMIFS(Resultats_jugadores!$D:$D,Resultats_jugadores!$A:$A,$A2,Resultats_jugadores!$B:$B,$C2))</f>
        <v>2</v>
      </c>
      <c r="H2" s="9" t="n">
        <f aca="false">IF($C2="","",N($F2)-N($G2))</f>
        <v>8</v>
      </c>
      <c r="I2" s="9" t="str">
        <f aca="false">IF($C2="","",IFERROR(INDEX(Partits!$C:$C,MATCH($A2&amp;"_"&amp;$D2,Partits!$D:$D,0)),""))</f>
        <v>V</v>
      </c>
      <c r="J2" s="9" t="n">
        <f aca="false">IF($C2="","",IF(AND($I2="V",N($H2)&gt;0),1.2,1))</f>
        <v>1.2</v>
      </c>
      <c r="K2" s="9" t="n">
        <f aca="false">IF($C2="","",N($H2)*$J2)</f>
        <v>9.6</v>
      </c>
      <c r="L2" s="9" t="n">
        <f aca="false">IF($C2="","",IF($E2="SI",2,1))</f>
        <v>2</v>
      </c>
      <c r="M2" s="9" t="n">
        <f aca="false">IF($C2="","",$K2*$L2)</f>
        <v>19.2</v>
      </c>
    </row>
    <row r="3" customFormat="false" ht="15" hidden="false" customHeight="true" outlineLevel="0" collapsed="false">
      <c r="A3" s="9" t="str">
        <f aca="false">IF(Equips_usuari!A3="","",Equips_usuari!A3)</f>
        <v/>
      </c>
      <c r="B3" s="9" t="str">
        <f aca="false">IF(Equips_usuari!B3="","",Equips_usuari!B3)</f>
        <v/>
      </c>
      <c r="C3" s="9" t="str">
        <f aca="false">IF(Equips_usuari!C3="","",Equips_usuari!C3)</f>
        <v/>
      </c>
      <c r="D3" s="9" t="str">
        <f aca="false">IF(Equips_usuari!D3="","",Equips_usuari!D3)</f>
        <v/>
      </c>
      <c r="E3" s="9" t="str">
        <f aca="false">IF(Equips_usuari!F3="","",Equips_usuari!F3)</f>
        <v/>
      </c>
      <c r="F3" s="9" t="str">
        <f aca="false">IF($C3="","",SUMIFS(Resultats_jugadores!$C:$C,Resultats_jugadores!$A:$A,$A3,Resultats_jugadores!$B:$B,$C3))</f>
        <v/>
      </c>
      <c r="G3" s="9" t="str">
        <f aca="false">IF($C3="","",SUMIFS(Resultats_jugadores!$D:$D,Resultats_jugadores!$A:$A,$A3,Resultats_jugadores!$B:$B,$C3))</f>
        <v/>
      </c>
      <c r="H3" s="9" t="str">
        <f aca="false">IF($C3="","",N($F3)-N($G3))</f>
        <v/>
      </c>
      <c r="I3" s="9" t="str">
        <f aca="false">IF($C3="","",IFERROR(INDEX(Partits!$C:$C,MATCH($A3&amp;"_"&amp;$D3,Partits!$D:$D,0)),""))</f>
        <v/>
      </c>
      <c r="J3" s="9" t="str">
        <f aca="false">IF($C3="","",IF(AND($I3="V",N($H3)&gt;0),1.2,1))</f>
        <v/>
      </c>
      <c r="K3" s="9" t="str">
        <f aca="false">IF($C3="","",N($H3)*$J3)</f>
        <v/>
      </c>
      <c r="L3" s="9" t="str">
        <f aca="false">IF($C3="","",IF($E3="SI",2,1))</f>
        <v/>
      </c>
      <c r="M3" s="9" t="str">
        <f aca="false">IF($C3="","",$K3*$L3)</f>
        <v/>
      </c>
    </row>
    <row r="4" customFormat="false" ht="15" hidden="false" customHeight="true" outlineLevel="0" collapsed="false">
      <c r="A4" s="9" t="str">
        <f aca="false">IF(Equips_usuari!A4="","",Equips_usuari!A4)</f>
        <v/>
      </c>
      <c r="B4" s="9" t="str">
        <f aca="false">IF(Equips_usuari!B4="","",Equips_usuari!B4)</f>
        <v/>
      </c>
      <c r="C4" s="9" t="str">
        <f aca="false">IF(Equips_usuari!C4="","",Equips_usuari!C4)</f>
        <v/>
      </c>
      <c r="D4" s="9" t="str">
        <f aca="false">IF(Equips_usuari!D4="","",Equips_usuari!D4)</f>
        <v/>
      </c>
      <c r="E4" s="9" t="str">
        <f aca="false">IF(Equips_usuari!F4="","",Equips_usuari!F4)</f>
        <v/>
      </c>
      <c r="F4" s="9" t="str">
        <f aca="false">IF($C4="","",SUMIFS(Resultats_jugadores!$C:$C,Resultats_jugadores!$A:$A,$A4,Resultats_jugadores!$B:$B,$C4))</f>
        <v/>
      </c>
      <c r="G4" s="9" t="str">
        <f aca="false">IF($C4="","",SUMIFS(Resultats_jugadores!$D:$D,Resultats_jugadores!$A:$A,$A4,Resultats_jugadores!$B:$B,$C4))</f>
        <v/>
      </c>
      <c r="H4" s="9" t="str">
        <f aca="false">IF($C4="","",N($F4)-N($G4))</f>
        <v/>
      </c>
      <c r="I4" s="9" t="str">
        <f aca="false">IF($C4="","",IFERROR(INDEX(Partits!$C:$C,MATCH($A4&amp;"_"&amp;$D4,Partits!$D:$D,0)),""))</f>
        <v/>
      </c>
      <c r="J4" s="9" t="str">
        <f aca="false">IF($C4="","",IF(AND($I4="V",N($H4)&gt;0),1.2,1))</f>
        <v/>
      </c>
      <c r="K4" s="9" t="str">
        <f aca="false">IF($C4="","",N($H4)*$J4)</f>
        <v/>
      </c>
      <c r="L4" s="9" t="str">
        <f aca="false">IF($C4="","",IF($E4="SI",2,1))</f>
        <v/>
      </c>
      <c r="M4" s="9" t="str">
        <f aca="false">IF($C4="","",$K4*$L4)</f>
        <v/>
      </c>
    </row>
    <row r="5" customFormat="false" ht="15" hidden="false" customHeight="true" outlineLevel="0" collapsed="false">
      <c r="A5" s="9" t="str">
        <f aca="false">IF(Equips_usuari!A5="","",Equips_usuari!A5)</f>
        <v/>
      </c>
      <c r="B5" s="9" t="str">
        <f aca="false">IF(Equips_usuari!B5="","",Equips_usuari!B5)</f>
        <v/>
      </c>
      <c r="C5" s="9" t="str">
        <f aca="false">IF(Equips_usuari!C5="","",Equips_usuari!C5)</f>
        <v/>
      </c>
      <c r="D5" s="9" t="str">
        <f aca="false">IF(Equips_usuari!D5="","",Equips_usuari!D5)</f>
        <v/>
      </c>
      <c r="E5" s="9" t="str">
        <f aca="false">IF(Equips_usuari!F5="","",Equips_usuari!F5)</f>
        <v/>
      </c>
      <c r="F5" s="9" t="str">
        <f aca="false">IF($C5="","",SUMIFS(Resultats_jugadores!$C:$C,Resultats_jugadores!$A:$A,$A5,Resultats_jugadores!$B:$B,$C5))</f>
        <v/>
      </c>
      <c r="G5" s="9" t="str">
        <f aca="false">IF($C5="","",SUMIFS(Resultats_jugadores!$D:$D,Resultats_jugadores!$A:$A,$A5,Resultats_jugadores!$B:$B,$C5))</f>
        <v/>
      </c>
      <c r="H5" s="9" t="str">
        <f aca="false">IF($C5="","",N($F5)-N($G5))</f>
        <v/>
      </c>
      <c r="I5" s="9" t="str">
        <f aca="false">IF($C5="","",IFERROR(INDEX(Partits!$C:$C,MATCH($A5&amp;"_"&amp;$D5,Partits!$D:$D,0)),""))</f>
        <v/>
      </c>
      <c r="J5" s="9" t="str">
        <f aca="false">IF($C5="","",IF(AND($I5="V",N($H5)&gt;0),1.2,1))</f>
        <v/>
      </c>
      <c r="K5" s="9" t="str">
        <f aca="false">IF($C5="","",N($H5)*$J5)</f>
        <v/>
      </c>
      <c r="L5" s="9" t="str">
        <f aca="false">IF($C5="","",IF($E5="SI",2,1))</f>
        <v/>
      </c>
      <c r="M5" s="9" t="str">
        <f aca="false">IF($C5="","",$K5*$L5)</f>
        <v/>
      </c>
    </row>
    <row r="6" customFormat="false" ht="15" hidden="false" customHeight="true" outlineLevel="0" collapsed="false">
      <c r="A6" s="9" t="str">
        <f aca="false">IF(Equips_usuari!A6="","",Equips_usuari!A6)</f>
        <v/>
      </c>
      <c r="B6" s="9" t="str">
        <f aca="false">IF(Equips_usuari!B6="","",Equips_usuari!B6)</f>
        <v/>
      </c>
      <c r="C6" s="9" t="str">
        <f aca="false">IF(Equips_usuari!C6="","",Equips_usuari!C6)</f>
        <v/>
      </c>
      <c r="D6" s="9" t="str">
        <f aca="false">IF(Equips_usuari!D6="","",Equips_usuari!D6)</f>
        <v/>
      </c>
      <c r="E6" s="9" t="str">
        <f aca="false">IF(Equips_usuari!F6="","",Equips_usuari!F6)</f>
        <v/>
      </c>
      <c r="F6" s="9" t="str">
        <f aca="false">IF($C6="","",SUMIFS(Resultats_jugadores!$C:$C,Resultats_jugadores!$A:$A,$A6,Resultats_jugadores!$B:$B,$C6))</f>
        <v/>
      </c>
      <c r="G6" s="9" t="str">
        <f aca="false">IF($C6="","",SUMIFS(Resultats_jugadores!$D:$D,Resultats_jugadores!$A:$A,$A6,Resultats_jugadores!$B:$B,$C6))</f>
        <v/>
      </c>
      <c r="H6" s="9" t="str">
        <f aca="false">IF($C6="","",N($F6)-N($G6))</f>
        <v/>
      </c>
      <c r="I6" s="9" t="str">
        <f aca="false">IF($C6="","",IFERROR(INDEX(Partits!$C:$C,MATCH($A6&amp;"_"&amp;$D6,Partits!$D:$D,0)),""))</f>
        <v/>
      </c>
      <c r="J6" s="9" t="str">
        <f aca="false">IF($C6="","",IF(AND($I6="V",N($H6)&gt;0),1.2,1))</f>
        <v/>
      </c>
      <c r="K6" s="9" t="str">
        <f aca="false">IF($C6="","",N($H6)*$J6)</f>
        <v/>
      </c>
      <c r="L6" s="9" t="str">
        <f aca="false">IF($C6="","",IF($E6="SI",2,1))</f>
        <v/>
      </c>
      <c r="M6" s="9" t="str">
        <f aca="false">IF($C6="","",$K6*$L6)</f>
        <v/>
      </c>
    </row>
    <row r="7" customFormat="false" ht="15" hidden="false" customHeight="true" outlineLevel="0" collapsed="false">
      <c r="A7" s="9" t="str">
        <f aca="false">IF(Equips_usuari!A7="","",Equips_usuari!A7)</f>
        <v/>
      </c>
      <c r="B7" s="9" t="str">
        <f aca="false">IF(Equips_usuari!B7="","",Equips_usuari!B7)</f>
        <v/>
      </c>
      <c r="C7" s="9" t="str">
        <f aca="false">IF(Equips_usuari!C7="","",Equips_usuari!C7)</f>
        <v/>
      </c>
      <c r="D7" s="9" t="str">
        <f aca="false">IF(Equips_usuari!D7="","",Equips_usuari!D7)</f>
        <v/>
      </c>
      <c r="E7" s="9" t="str">
        <f aca="false">IF(Equips_usuari!F7="","",Equips_usuari!F7)</f>
        <v/>
      </c>
      <c r="F7" s="9" t="str">
        <f aca="false">IF($C7="","",SUMIFS(Resultats_jugadores!$C:$C,Resultats_jugadores!$A:$A,$A7,Resultats_jugadores!$B:$B,$C7))</f>
        <v/>
      </c>
      <c r="G7" s="9" t="str">
        <f aca="false">IF($C7="","",SUMIFS(Resultats_jugadores!$D:$D,Resultats_jugadores!$A:$A,$A7,Resultats_jugadores!$B:$B,$C7))</f>
        <v/>
      </c>
      <c r="H7" s="9" t="str">
        <f aca="false">IF($C7="","",N($F7)-N($G7))</f>
        <v/>
      </c>
      <c r="I7" s="9" t="str">
        <f aca="false">IF($C7="","",IFERROR(INDEX(Partits!$C:$C,MATCH($A7&amp;"_"&amp;$D7,Partits!$D:$D,0)),""))</f>
        <v/>
      </c>
      <c r="J7" s="9" t="str">
        <f aca="false">IF($C7="","",IF(AND($I7="V",N($H7)&gt;0),1.2,1))</f>
        <v/>
      </c>
      <c r="K7" s="9" t="str">
        <f aca="false">IF($C7="","",N($H7)*$J7)</f>
        <v/>
      </c>
      <c r="L7" s="9" t="str">
        <f aca="false">IF($C7="","",IF($E7="SI",2,1))</f>
        <v/>
      </c>
      <c r="M7" s="9" t="str">
        <f aca="false">IF($C7="","",$K7*$L7)</f>
        <v/>
      </c>
    </row>
    <row r="8" customFormat="false" ht="15" hidden="false" customHeight="true" outlineLevel="0" collapsed="false">
      <c r="A8" s="9" t="str">
        <f aca="false">IF(Equips_usuari!A8="","",Equips_usuari!A8)</f>
        <v/>
      </c>
      <c r="B8" s="9" t="str">
        <f aca="false">IF(Equips_usuari!B8="","",Equips_usuari!B8)</f>
        <v/>
      </c>
      <c r="C8" s="9" t="str">
        <f aca="false">IF(Equips_usuari!C8="","",Equips_usuari!C8)</f>
        <v/>
      </c>
      <c r="D8" s="9" t="str">
        <f aca="false">IF(Equips_usuari!D8="","",Equips_usuari!D8)</f>
        <v/>
      </c>
      <c r="E8" s="9" t="str">
        <f aca="false">IF(Equips_usuari!F8="","",Equips_usuari!F8)</f>
        <v/>
      </c>
      <c r="F8" s="9" t="str">
        <f aca="false">IF($C8="","",SUMIFS(Resultats_jugadores!$C:$C,Resultats_jugadores!$A:$A,$A8,Resultats_jugadores!$B:$B,$C8))</f>
        <v/>
      </c>
      <c r="G8" s="9" t="str">
        <f aca="false">IF($C8="","",SUMIFS(Resultats_jugadores!$D:$D,Resultats_jugadores!$A:$A,$A8,Resultats_jugadores!$B:$B,$C8))</f>
        <v/>
      </c>
      <c r="H8" s="9" t="str">
        <f aca="false">IF($C8="","",N($F8)-N($G8))</f>
        <v/>
      </c>
      <c r="I8" s="9" t="str">
        <f aca="false">IF($C8="","",IFERROR(INDEX(Partits!$C:$C,MATCH($A8&amp;"_"&amp;$D8,Partits!$D:$D,0)),""))</f>
        <v/>
      </c>
      <c r="J8" s="9" t="str">
        <f aca="false">IF($C8="","",IF(AND($I8="V",N($H8)&gt;0),1.2,1))</f>
        <v/>
      </c>
      <c r="K8" s="9" t="str">
        <f aca="false">IF($C8="","",N($H8)*$J8)</f>
        <v/>
      </c>
      <c r="L8" s="9" t="str">
        <f aca="false">IF($C8="","",IF($E8="SI",2,1))</f>
        <v/>
      </c>
      <c r="M8" s="9" t="str">
        <f aca="false">IF($C8="","",$K8*$L8)</f>
        <v/>
      </c>
    </row>
    <row r="9" customFormat="false" ht="15" hidden="false" customHeight="true" outlineLevel="0" collapsed="false">
      <c r="A9" s="9" t="str">
        <f aca="false">IF(Equips_usuari!A9="","",Equips_usuari!A9)</f>
        <v/>
      </c>
      <c r="B9" s="9" t="str">
        <f aca="false">IF(Equips_usuari!B9="","",Equips_usuari!B9)</f>
        <v/>
      </c>
      <c r="C9" s="9" t="str">
        <f aca="false">IF(Equips_usuari!C9="","",Equips_usuari!C9)</f>
        <v/>
      </c>
      <c r="D9" s="9" t="str">
        <f aca="false">IF(Equips_usuari!D9="","",Equips_usuari!D9)</f>
        <v/>
      </c>
      <c r="E9" s="9" t="str">
        <f aca="false">IF(Equips_usuari!F9="","",Equips_usuari!F9)</f>
        <v/>
      </c>
      <c r="F9" s="9" t="str">
        <f aca="false">IF($C9="","",SUMIFS(Resultats_jugadores!$C:$C,Resultats_jugadores!$A:$A,$A9,Resultats_jugadores!$B:$B,$C9))</f>
        <v/>
      </c>
      <c r="G9" s="9" t="str">
        <f aca="false">IF($C9="","",SUMIFS(Resultats_jugadores!$D:$D,Resultats_jugadores!$A:$A,$A9,Resultats_jugadores!$B:$B,$C9))</f>
        <v/>
      </c>
      <c r="H9" s="9" t="str">
        <f aca="false">IF($C9="","",N($F9)-N($G9))</f>
        <v/>
      </c>
      <c r="I9" s="9" t="str">
        <f aca="false">IF($C9="","",IFERROR(INDEX(Partits!$C:$C,MATCH($A9&amp;"_"&amp;$D9,Partits!$D:$D,0)),""))</f>
        <v/>
      </c>
      <c r="J9" s="9" t="str">
        <f aca="false">IF($C9="","",IF(AND($I9="V",N($H9)&gt;0),1.2,1))</f>
        <v/>
      </c>
      <c r="K9" s="9" t="str">
        <f aca="false">IF($C9="","",N($H9)*$J9)</f>
        <v/>
      </c>
      <c r="L9" s="9" t="str">
        <f aca="false">IF($C9="","",IF($E9="SI",2,1))</f>
        <v/>
      </c>
      <c r="M9" s="9" t="str">
        <f aca="false">IF($C9="","",$K9*$L9)</f>
        <v/>
      </c>
    </row>
    <row r="10" customFormat="false" ht="15" hidden="false" customHeight="true" outlineLevel="0" collapsed="false">
      <c r="A10" s="9" t="str">
        <f aca="false">IF(Equips_usuari!A10="","",Equips_usuari!A10)</f>
        <v/>
      </c>
      <c r="B10" s="9" t="str">
        <f aca="false">IF(Equips_usuari!B10="","",Equips_usuari!B10)</f>
        <v/>
      </c>
      <c r="C10" s="9" t="str">
        <f aca="false">IF(Equips_usuari!C10="","",Equips_usuari!C10)</f>
        <v/>
      </c>
      <c r="D10" s="9" t="str">
        <f aca="false">IF(Equips_usuari!D10="","",Equips_usuari!D10)</f>
        <v/>
      </c>
      <c r="E10" s="9" t="str">
        <f aca="false">IF(Equips_usuari!F10="","",Equips_usuari!F10)</f>
        <v/>
      </c>
      <c r="F10" s="9" t="str">
        <f aca="false">IF($C10="","",SUMIFS(Resultats_jugadores!$C:$C,Resultats_jugadores!$A:$A,$A10,Resultats_jugadores!$B:$B,$C10))</f>
        <v/>
      </c>
      <c r="G10" s="9" t="str">
        <f aca="false">IF($C10="","",SUMIFS(Resultats_jugadores!$D:$D,Resultats_jugadores!$A:$A,$A10,Resultats_jugadores!$B:$B,$C10))</f>
        <v/>
      </c>
      <c r="H10" s="9" t="str">
        <f aca="false">IF($C10="","",N($F10)-N($G10))</f>
        <v/>
      </c>
      <c r="I10" s="9" t="str">
        <f aca="false">IF($C10="","",IFERROR(INDEX(Partits!$C:$C,MATCH($A10&amp;"_"&amp;$D10,Partits!$D:$D,0)),""))</f>
        <v/>
      </c>
      <c r="J10" s="9" t="str">
        <f aca="false">IF($C10="","",IF(AND($I10="V",N($H10)&gt;0),1.2,1))</f>
        <v/>
      </c>
      <c r="K10" s="9" t="str">
        <f aca="false">IF($C10="","",N($H10)*$J10)</f>
        <v/>
      </c>
      <c r="L10" s="9" t="str">
        <f aca="false">IF($C10="","",IF($E10="SI",2,1))</f>
        <v/>
      </c>
      <c r="M10" s="9" t="str">
        <f aca="false">IF($C10="","",$K10*$L10)</f>
        <v/>
      </c>
    </row>
    <row r="11" customFormat="false" ht="15" hidden="false" customHeight="true" outlineLevel="0" collapsed="false">
      <c r="A11" s="9" t="str">
        <f aca="false">IF(Equips_usuari!A11="","",Equips_usuari!A11)</f>
        <v/>
      </c>
      <c r="B11" s="9" t="str">
        <f aca="false">IF(Equips_usuari!B11="","",Equips_usuari!B11)</f>
        <v/>
      </c>
      <c r="C11" s="9" t="str">
        <f aca="false">IF(Equips_usuari!C11="","",Equips_usuari!C11)</f>
        <v/>
      </c>
      <c r="D11" s="9" t="str">
        <f aca="false">IF(Equips_usuari!D11="","",Equips_usuari!D11)</f>
        <v/>
      </c>
      <c r="E11" s="9" t="str">
        <f aca="false">IF(Equips_usuari!F11="","",Equips_usuari!F11)</f>
        <v/>
      </c>
      <c r="F11" s="9" t="str">
        <f aca="false">IF($C11="","",SUMIFS(Resultats_jugadores!$C:$C,Resultats_jugadores!$A:$A,$A11,Resultats_jugadores!$B:$B,$C11))</f>
        <v/>
      </c>
      <c r="G11" s="9" t="str">
        <f aca="false">IF($C11="","",SUMIFS(Resultats_jugadores!$D:$D,Resultats_jugadores!$A:$A,$A11,Resultats_jugadores!$B:$B,$C11))</f>
        <v/>
      </c>
      <c r="H11" s="9" t="str">
        <f aca="false">IF($C11="","",N($F11)-N($G11))</f>
        <v/>
      </c>
      <c r="I11" s="9" t="str">
        <f aca="false">IF($C11="","",IFERROR(INDEX(Partits!$C:$C,MATCH($A11&amp;"_"&amp;$D11,Partits!$D:$D,0)),""))</f>
        <v/>
      </c>
      <c r="J11" s="9" t="str">
        <f aca="false">IF($C11="","",IF(AND($I11="V",N($H11)&gt;0),1.2,1))</f>
        <v/>
      </c>
      <c r="K11" s="9" t="str">
        <f aca="false">IF($C11="","",N($H11)*$J11)</f>
        <v/>
      </c>
      <c r="L11" s="9" t="str">
        <f aca="false">IF($C11="","",IF($E11="SI",2,1))</f>
        <v/>
      </c>
      <c r="M11" s="9" t="str">
        <f aca="false">IF($C11="","",$K11*$L11)</f>
        <v/>
      </c>
    </row>
    <row r="12" customFormat="false" ht="15" hidden="false" customHeight="true" outlineLevel="0" collapsed="false">
      <c r="A12" s="9" t="str">
        <f aca="false">IF(Equips_usuari!A12="","",Equips_usuari!A12)</f>
        <v/>
      </c>
      <c r="B12" s="9" t="str">
        <f aca="false">IF(Equips_usuari!B12="","",Equips_usuari!B12)</f>
        <v/>
      </c>
      <c r="C12" s="9" t="str">
        <f aca="false">IF(Equips_usuari!C12="","",Equips_usuari!C12)</f>
        <v/>
      </c>
      <c r="D12" s="9" t="str">
        <f aca="false">IF(Equips_usuari!D12="","",Equips_usuari!D12)</f>
        <v/>
      </c>
      <c r="E12" s="9" t="str">
        <f aca="false">IF(Equips_usuari!F12="","",Equips_usuari!F12)</f>
        <v/>
      </c>
      <c r="F12" s="9" t="str">
        <f aca="false">IF($C12="","",SUMIFS(Resultats_jugadores!$C:$C,Resultats_jugadores!$A:$A,$A12,Resultats_jugadores!$B:$B,$C12))</f>
        <v/>
      </c>
      <c r="G12" s="9" t="str">
        <f aca="false">IF($C12="","",SUMIFS(Resultats_jugadores!$D:$D,Resultats_jugadores!$A:$A,$A12,Resultats_jugadores!$B:$B,$C12))</f>
        <v/>
      </c>
      <c r="H12" s="9" t="str">
        <f aca="false">IF($C12="","",N($F12)-N($G12))</f>
        <v/>
      </c>
      <c r="I12" s="9" t="str">
        <f aca="false">IF($C12="","",IFERROR(INDEX(Partits!$C:$C,MATCH($A12&amp;"_"&amp;$D12,Partits!$D:$D,0)),""))</f>
        <v/>
      </c>
      <c r="J12" s="9" t="str">
        <f aca="false">IF($C12="","",IF(AND($I12="V",N($H12)&gt;0),1.2,1))</f>
        <v/>
      </c>
      <c r="K12" s="9" t="str">
        <f aca="false">IF($C12="","",N($H12)*$J12)</f>
        <v/>
      </c>
      <c r="L12" s="9" t="str">
        <f aca="false">IF($C12="","",IF($E12="SI",2,1))</f>
        <v/>
      </c>
      <c r="M12" s="9" t="str">
        <f aca="false">IF($C12="","",$K12*$L12)</f>
        <v/>
      </c>
    </row>
    <row r="13" customFormat="false" ht="15" hidden="false" customHeight="true" outlineLevel="0" collapsed="false">
      <c r="A13" s="9" t="str">
        <f aca="false">IF(Equips_usuari!A13="","",Equips_usuari!A13)</f>
        <v/>
      </c>
      <c r="B13" s="9" t="str">
        <f aca="false">IF(Equips_usuari!B13="","",Equips_usuari!B13)</f>
        <v/>
      </c>
      <c r="C13" s="9" t="str">
        <f aca="false">IF(Equips_usuari!C13="","",Equips_usuari!C13)</f>
        <v/>
      </c>
      <c r="D13" s="9" t="str">
        <f aca="false">IF(Equips_usuari!D13="","",Equips_usuari!D13)</f>
        <v/>
      </c>
      <c r="E13" s="9" t="str">
        <f aca="false">IF(Equips_usuari!F13="","",Equips_usuari!F13)</f>
        <v/>
      </c>
      <c r="F13" s="9" t="str">
        <f aca="false">IF($C13="","",SUMIFS(Resultats_jugadores!$C:$C,Resultats_jugadores!$A:$A,$A13,Resultats_jugadores!$B:$B,$C13))</f>
        <v/>
      </c>
      <c r="G13" s="9" t="str">
        <f aca="false">IF($C13="","",SUMIFS(Resultats_jugadores!$D:$D,Resultats_jugadores!$A:$A,$A13,Resultats_jugadores!$B:$B,$C13))</f>
        <v/>
      </c>
      <c r="H13" s="9" t="str">
        <f aca="false">IF($C13="","",N($F13)-N($G13))</f>
        <v/>
      </c>
      <c r="I13" s="9" t="str">
        <f aca="false">IF($C13="","",IFERROR(INDEX(Partits!$C:$C,MATCH($A13&amp;"_"&amp;$D13,Partits!$D:$D,0)),""))</f>
        <v/>
      </c>
      <c r="J13" s="9" t="str">
        <f aca="false">IF($C13="","",IF(AND($I13="V",N($H13)&gt;0),1.2,1))</f>
        <v/>
      </c>
      <c r="K13" s="9" t="str">
        <f aca="false">IF($C13="","",N($H13)*$J13)</f>
        <v/>
      </c>
      <c r="L13" s="9" t="str">
        <f aca="false">IF($C13="","",IF($E13="SI",2,1))</f>
        <v/>
      </c>
      <c r="M13" s="9" t="str">
        <f aca="false">IF($C13="","",$K13*$L13)</f>
        <v/>
      </c>
    </row>
    <row r="14" customFormat="false" ht="15" hidden="false" customHeight="true" outlineLevel="0" collapsed="false">
      <c r="A14" s="9" t="str">
        <f aca="false">IF(Equips_usuari!A14="","",Equips_usuari!A14)</f>
        <v/>
      </c>
      <c r="B14" s="9" t="str">
        <f aca="false">IF(Equips_usuari!B14="","",Equips_usuari!B14)</f>
        <v/>
      </c>
      <c r="C14" s="9" t="str">
        <f aca="false">IF(Equips_usuari!C14="","",Equips_usuari!C14)</f>
        <v/>
      </c>
      <c r="D14" s="9" t="str">
        <f aca="false">IF(Equips_usuari!D14="","",Equips_usuari!D14)</f>
        <v/>
      </c>
      <c r="E14" s="9" t="str">
        <f aca="false">IF(Equips_usuari!F14="","",Equips_usuari!F14)</f>
        <v/>
      </c>
      <c r="F14" s="9" t="str">
        <f aca="false">IF($C14="","",SUMIFS(Resultats_jugadores!$C:$C,Resultats_jugadores!$A:$A,$A14,Resultats_jugadores!$B:$B,$C14))</f>
        <v/>
      </c>
      <c r="G14" s="9" t="str">
        <f aca="false">IF($C14="","",SUMIFS(Resultats_jugadores!$D:$D,Resultats_jugadores!$A:$A,$A14,Resultats_jugadores!$B:$B,$C14))</f>
        <v/>
      </c>
      <c r="H14" s="9" t="str">
        <f aca="false">IF($C14="","",N($F14)-N($G14))</f>
        <v/>
      </c>
      <c r="I14" s="9" t="str">
        <f aca="false">IF($C14="","",IFERROR(INDEX(Partits!$C:$C,MATCH($A14&amp;"_"&amp;$D14,Partits!$D:$D,0)),""))</f>
        <v/>
      </c>
      <c r="J14" s="9" t="str">
        <f aca="false">IF($C14="","",IF(AND($I14="V",N($H14)&gt;0),1.2,1))</f>
        <v/>
      </c>
      <c r="K14" s="9" t="str">
        <f aca="false">IF($C14="","",N($H14)*$J14)</f>
        <v/>
      </c>
      <c r="L14" s="9" t="str">
        <f aca="false">IF($C14="","",IF($E14="SI",2,1))</f>
        <v/>
      </c>
      <c r="M14" s="9" t="str">
        <f aca="false">IF($C14="","",$K14*$L14)</f>
        <v/>
      </c>
    </row>
    <row r="15" customFormat="false" ht="15" hidden="false" customHeight="true" outlineLevel="0" collapsed="false">
      <c r="A15" s="9" t="str">
        <f aca="false">IF(Equips_usuari!A15="","",Equips_usuari!A15)</f>
        <v/>
      </c>
      <c r="B15" s="9" t="str">
        <f aca="false">IF(Equips_usuari!B15="","",Equips_usuari!B15)</f>
        <v/>
      </c>
      <c r="C15" s="9" t="str">
        <f aca="false">IF(Equips_usuari!C15="","",Equips_usuari!C15)</f>
        <v/>
      </c>
      <c r="D15" s="9" t="str">
        <f aca="false">IF(Equips_usuari!D15="","",Equips_usuari!D15)</f>
        <v/>
      </c>
      <c r="E15" s="9" t="str">
        <f aca="false">IF(Equips_usuari!F15="","",Equips_usuari!F15)</f>
        <v/>
      </c>
      <c r="F15" s="9" t="str">
        <f aca="false">IF($C15="","",SUMIFS(Resultats_jugadores!$C:$C,Resultats_jugadores!$A:$A,$A15,Resultats_jugadores!$B:$B,$C15))</f>
        <v/>
      </c>
      <c r="G15" s="9" t="str">
        <f aca="false">IF($C15="","",SUMIFS(Resultats_jugadores!$D:$D,Resultats_jugadores!$A:$A,$A15,Resultats_jugadores!$B:$B,$C15))</f>
        <v/>
      </c>
      <c r="H15" s="9" t="str">
        <f aca="false">IF($C15="","",N($F15)-N($G15))</f>
        <v/>
      </c>
      <c r="I15" s="9" t="str">
        <f aca="false">IF($C15="","",IFERROR(INDEX(Partits!$C:$C,MATCH($A15&amp;"_"&amp;$D15,Partits!$D:$D,0)),""))</f>
        <v/>
      </c>
      <c r="J15" s="9" t="str">
        <f aca="false">IF($C15="","",IF(AND($I15="V",N($H15)&gt;0),1.2,1))</f>
        <v/>
      </c>
      <c r="K15" s="9" t="str">
        <f aca="false">IF($C15="","",N($H15)*$J15)</f>
        <v/>
      </c>
      <c r="L15" s="9" t="str">
        <f aca="false">IF($C15="","",IF($E15="SI",2,1))</f>
        <v/>
      </c>
      <c r="M15" s="9" t="str">
        <f aca="false">IF($C15="","",$K15*$L15)</f>
        <v/>
      </c>
    </row>
    <row r="16" customFormat="false" ht="15" hidden="false" customHeight="true" outlineLevel="0" collapsed="false">
      <c r="A16" s="9" t="str">
        <f aca="false">IF(Equips_usuari!A16="","",Equips_usuari!A16)</f>
        <v/>
      </c>
      <c r="B16" s="9" t="str">
        <f aca="false">IF(Equips_usuari!B16="","",Equips_usuari!B16)</f>
        <v/>
      </c>
      <c r="C16" s="9" t="str">
        <f aca="false">IF(Equips_usuari!C16="","",Equips_usuari!C16)</f>
        <v/>
      </c>
      <c r="D16" s="9" t="str">
        <f aca="false">IF(Equips_usuari!D16="","",Equips_usuari!D16)</f>
        <v/>
      </c>
      <c r="E16" s="9" t="str">
        <f aca="false">IF(Equips_usuari!F16="","",Equips_usuari!F16)</f>
        <v/>
      </c>
      <c r="F16" s="9" t="str">
        <f aca="false">IF($C16="","",SUMIFS(Resultats_jugadores!$C:$C,Resultats_jugadores!$A:$A,$A16,Resultats_jugadores!$B:$B,$C16))</f>
        <v/>
      </c>
      <c r="G16" s="9" t="str">
        <f aca="false">IF($C16="","",SUMIFS(Resultats_jugadores!$D:$D,Resultats_jugadores!$A:$A,$A16,Resultats_jugadores!$B:$B,$C16))</f>
        <v/>
      </c>
      <c r="H16" s="9" t="str">
        <f aca="false">IF($C16="","",N($F16)-N($G16))</f>
        <v/>
      </c>
      <c r="I16" s="9" t="str">
        <f aca="false">IF($C16="","",IFERROR(INDEX(Partits!$C:$C,MATCH($A16&amp;"_"&amp;$D16,Partits!$D:$D,0)),""))</f>
        <v/>
      </c>
      <c r="J16" s="9" t="str">
        <f aca="false">IF($C16="","",IF(AND($I16="V",N($H16)&gt;0),1.2,1))</f>
        <v/>
      </c>
      <c r="K16" s="9" t="str">
        <f aca="false">IF($C16="","",N($H16)*$J16)</f>
        <v/>
      </c>
      <c r="L16" s="9" t="str">
        <f aca="false">IF($C16="","",IF($E16="SI",2,1))</f>
        <v/>
      </c>
      <c r="M16" s="9" t="str">
        <f aca="false">IF($C16="","",$K16*$L16)</f>
        <v/>
      </c>
    </row>
    <row r="17" customFormat="false" ht="15" hidden="false" customHeight="true" outlineLevel="0" collapsed="false">
      <c r="A17" s="9" t="str">
        <f aca="false">IF(Equips_usuari!A17="","",Equips_usuari!A17)</f>
        <v/>
      </c>
      <c r="B17" s="9" t="str">
        <f aca="false">IF(Equips_usuari!B17="","",Equips_usuari!B17)</f>
        <v/>
      </c>
      <c r="C17" s="9" t="str">
        <f aca="false">IF(Equips_usuari!C17="","",Equips_usuari!C17)</f>
        <v/>
      </c>
      <c r="D17" s="9" t="str">
        <f aca="false">IF(Equips_usuari!D17="","",Equips_usuari!D17)</f>
        <v/>
      </c>
      <c r="E17" s="9" t="str">
        <f aca="false">IF(Equips_usuari!F17="","",Equips_usuari!F17)</f>
        <v/>
      </c>
      <c r="F17" s="9" t="str">
        <f aca="false">IF($C17="","",SUMIFS(Resultats_jugadores!$C:$C,Resultats_jugadores!$A:$A,$A17,Resultats_jugadores!$B:$B,$C17))</f>
        <v/>
      </c>
      <c r="G17" s="9" t="str">
        <f aca="false">IF($C17="","",SUMIFS(Resultats_jugadores!$D:$D,Resultats_jugadores!$A:$A,$A17,Resultats_jugadores!$B:$B,$C17))</f>
        <v/>
      </c>
      <c r="H17" s="9" t="str">
        <f aca="false">IF($C17="","",N($F17)-N($G17))</f>
        <v/>
      </c>
      <c r="I17" s="9" t="str">
        <f aca="false">IF($C17="","",IFERROR(INDEX(Partits!$C:$C,MATCH($A17&amp;"_"&amp;$D17,Partits!$D:$D,0)),""))</f>
        <v/>
      </c>
      <c r="J17" s="9" t="str">
        <f aca="false">IF($C17="","",IF(AND($I17="V",N($H17)&gt;0),1.2,1))</f>
        <v/>
      </c>
      <c r="K17" s="9" t="str">
        <f aca="false">IF($C17="","",N($H17)*$J17)</f>
        <v/>
      </c>
      <c r="L17" s="9" t="str">
        <f aca="false">IF($C17="","",IF($E17="SI",2,1))</f>
        <v/>
      </c>
      <c r="M17" s="9" t="str">
        <f aca="false">IF($C17="","",$K17*$L17)</f>
        <v/>
      </c>
    </row>
    <row r="18" customFormat="false" ht="15" hidden="false" customHeight="true" outlineLevel="0" collapsed="false">
      <c r="A18" s="9" t="str">
        <f aca="false">IF(Equips_usuari!A18="","",Equips_usuari!A18)</f>
        <v/>
      </c>
      <c r="B18" s="9" t="str">
        <f aca="false">IF(Equips_usuari!B18="","",Equips_usuari!B18)</f>
        <v/>
      </c>
      <c r="C18" s="9" t="str">
        <f aca="false">IF(Equips_usuari!C18="","",Equips_usuari!C18)</f>
        <v/>
      </c>
      <c r="D18" s="9" t="str">
        <f aca="false">IF(Equips_usuari!D18="","",Equips_usuari!D18)</f>
        <v/>
      </c>
      <c r="E18" s="9" t="str">
        <f aca="false">IF(Equips_usuari!F18="","",Equips_usuari!F18)</f>
        <v/>
      </c>
      <c r="F18" s="9" t="str">
        <f aca="false">IF($C18="","",SUMIFS(Resultats_jugadores!$C:$C,Resultats_jugadores!$A:$A,$A18,Resultats_jugadores!$B:$B,$C18))</f>
        <v/>
      </c>
      <c r="G18" s="9" t="str">
        <f aca="false">IF($C18="","",SUMIFS(Resultats_jugadores!$D:$D,Resultats_jugadores!$A:$A,$A18,Resultats_jugadores!$B:$B,$C18))</f>
        <v/>
      </c>
      <c r="H18" s="9" t="str">
        <f aca="false">IF($C18="","",N($F18)-N($G18))</f>
        <v/>
      </c>
      <c r="I18" s="9" t="str">
        <f aca="false">IF($C18="","",IFERROR(INDEX(Partits!$C:$C,MATCH($A18&amp;"_"&amp;$D18,Partits!$D:$D,0)),""))</f>
        <v/>
      </c>
      <c r="J18" s="9" t="str">
        <f aca="false">IF($C18="","",IF(AND($I18="V",N($H18)&gt;0),1.2,1))</f>
        <v/>
      </c>
      <c r="K18" s="9" t="str">
        <f aca="false">IF($C18="","",N($H18)*$J18)</f>
        <v/>
      </c>
      <c r="L18" s="9" t="str">
        <f aca="false">IF($C18="","",IF($E18="SI",2,1))</f>
        <v/>
      </c>
      <c r="M18" s="9" t="str">
        <f aca="false">IF($C18="","",$K18*$L18)</f>
        <v/>
      </c>
    </row>
    <row r="19" customFormat="false" ht="15" hidden="false" customHeight="true" outlineLevel="0" collapsed="false">
      <c r="A19" s="9" t="str">
        <f aca="false">IF(Equips_usuari!A19="","",Equips_usuari!A19)</f>
        <v/>
      </c>
      <c r="B19" s="9" t="str">
        <f aca="false">IF(Equips_usuari!B19="","",Equips_usuari!B19)</f>
        <v/>
      </c>
      <c r="C19" s="9" t="str">
        <f aca="false">IF(Equips_usuari!C19="","",Equips_usuari!C19)</f>
        <v/>
      </c>
      <c r="D19" s="9" t="str">
        <f aca="false">IF(Equips_usuari!D19="","",Equips_usuari!D19)</f>
        <v/>
      </c>
      <c r="E19" s="9" t="str">
        <f aca="false">IF(Equips_usuari!F19="","",Equips_usuari!F19)</f>
        <v/>
      </c>
      <c r="F19" s="9" t="str">
        <f aca="false">IF($C19="","",SUMIFS(Resultats_jugadores!$C:$C,Resultats_jugadores!$A:$A,$A19,Resultats_jugadores!$B:$B,$C19))</f>
        <v/>
      </c>
      <c r="G19" s="9" t="str">
        <f aca="false">IF($C19="","",SUMIFS(Resultats_jugadores!$D:$D,Resultats_jugadores!$A:$A,$A19,Resultats_jugadores!$B:$B,$C19))</f>
        <v/>
      </c>
      <c r="H19" s="9" t="str">
        <f aca="false">IF($C19="","",N($F19)-N($G19))</f>
        <v/>
      </c>
      <c r="I19" s="9" t="str">
        <f aca="false">IF($C19="","",IFERROR(INDEX(Partits!$C:$C,MATCH($A19&amp;"_"&amp;$D19,Partits!$D:$D,0)),""))</f>
        <v/>
      </c>
      <c r="J19" s="9" t="str">
        <f aca="false">IF($C19="","",IF(AND($I19="V",N($H19)&gt;0),1.2,1))</f>
        <v/>
      </c>
      <c r="K19" s="9" t="str">
        <f aca="false">IF($C19="","",N($H19)*$J19)</f>
        <v/>
      </c>
      <c r="L19" s="9" t="str">
        <f aca="false">IF($C19="","",IF($E19="SI",2,1))</f>
        <v/>
      </c>
      <c r="M19" s="9" t="str">
        <f aca="false">IF($C19="","",$K19*$L19)</f>
        <v/>
      </c>
    </row>
    <row r="20" customFormat="false" ht="15" hidden="false" customHeight="true" outlineLevel="0" collapsed="false">
      <c r="A20" s="9" t="str">
        <f aca="false">IF(Equips_usuari!A20="","",Equips_usuari!A20)</f>
        <v/>
      </c>
      <c r="B20" s="9" t="str">
        <f aca="false">IF(Equips_usuari!B20="","",Equips_usuari!B20)</f>
        <v/>
      </c>
      <c r="C20" s="9" t="str">
        <f aca="false">IF(Equips_usuari!C20="","",Equips_usuari!C20)</f>
        <v/>
      </c>
      <c r="D20" s="9" t="str">
        <f aca="false">IF(Equips_usuari!D20="","",Equips_usuari!D20)</f>
        <v/>
      </c>
      <c r="E20" s="9" t="str">
        <f aca="false">IF(Equips_usuari!F20="","",Equips_usuari!F20)</f>
        <v/>
      </c>
      <c r="F20" s="9" t="str">
        <f aca="false">IF($C20="","",SUMIFS(Resultats_jugadores!$C:$C,Resultats_jugadores!$A:$A,$A20,Resultats_jugadores!$B:$B,$C20))</f>
        <v/>
      </c>
      <c r="G20" s="9" t="str">
        <f aca="false">IF($C20="","",SUMIFS(Resultats_jugadores!$D:$D,Resultats_jugadores!$A:$A,$A20,Resultats_jugadores!$B:$B,$C20))</f>
        <v/>
      </c>
      <c r="H20" s="9" t="str">
        <f aca="false">IF($C20="","",N($F20)-N($G20))</f>
        <v/>
      </c>
      <c r="I20" s="9" t="str">
        <f aca="false">IF($C20="","",IFERROR(INDEX(Partits!$C:$C,MATCH($A20&amp;"_"&amp;$D20,Partits!$D:$D,0)),""))</f>
        <v/>
      </c>
      <c r="J20" s="9" t="str">
        <f aca="false">IF($C20="","",IF(AND($I20="V",N($H20)&gt;0),1.2,1))</f>
        <v/>
      </c>
      <c r="K20" s="9" t="str">
        <f aca="false">IF($C20="","",N($H20)*$J20)</f>
        <v/>
      </c>
      <c r="L20" s="9" t="str">
        <f aca="false">IF($C20="","",IF($E20="SI",2,1))</f>
        <v/>
      </c>
      <c r="M20" s="9" t="str">
        <f aca="false">IF($C20="","",$K20*$L20)</f>
        <v/>
      </c>
    </row>
    <row r="21" customFormat="false" ht="15" hidden="false" customHeight="true" outlineLevel="0" collapsed="false">
      <c r="A21" s="9" t="str">
        <f aca="false">IF(Equips_usuari!A21="","",Equips_usuari!A21)</f>
        <v/>
      </c>
      <c r="B21" s="9" t="str">
        <f aca="false">IF(Equips_usuari!B21="","",Equips_usuari!B21)</f>
        <v/>
      </c>
      <c r="C21" s="9" t="str">
        <f aca="false">IF(Equips_usuari!C21="","",Equips_usuari!C21)</f>
        <v/>
      </c>
      <c r="D21" s="9" t="str">
        <f aca="false">IF(Equips_usuari!D21="","",Equips_usuari!D21)</f>
        <v/>
      </c>
      <c r="E21" s="9" t="str">
        <f aca="false">IF(Equips_usuari!F21="","",Equips_usuari!F21)</f>
        <v/>
      </c>
      <c r="F21" s="9" t="str">
        <f aca="false">IF($C21="","",SUMIFS(Resultats_jugadores!$C:$C,Resultats_jugadores!$A:$A,$A21,Resultats_jugadores!$B:$B,$C21))</f>
        <v/>
      </c>
      <c r="G21" s="9" t="str">
        <f aca="false">IF($C21="","",SUMIFS(Resultats_jugadores!$D:$D,Resultats_jugadores!$A:$A,$A21,Resultats_jugadores!$B:$B,$C21))</f>
        <v/>
      </c>
      <c r="H21" s="9" t="str">
        <f aca="false">IF($C21="","",N($F21)-N($G21))</f>
        <v/>
      </c>
      <c r="I21" s="9" t="str">
        <f aca="false">IF($C21="","",IFERROR(INDEX(Partits!$C:$C,MATCH($A21&amp;"_"&amp;$D21,Partits!$D:$D,0)),""))</f>
        <v/>
      </c>
      <c r="J21" s="9" t="str">
        <f aca="false">IF($C21="","",IF(AND($I21="V",N($H21)&gt;0),1.2,1))</f>
        <v/>
      </c>
      <c r="K21" s="9" t="str">
        <f aca="false">IF($C21="","",N($H21)*$J21)</f>
        <v/>
      </c>
      <c r="L21" s="9" t="str">
        <f aca="false">IF($C21="","",IF($E21="SI",2,1))</f>
        <v/>
      </c>
      <c r="M21" s="9" t="str">
        <f aca="false">IF($C21="","",$K21*$L21)</f>
        <v/>
      </c>
    </row>
    <row r="22" customFormat="false" ht="15" hidden="false" customHeight="true" outlineLevel="0" collapsed="false">
      <c r="A22" s="9" t="str">
        <f aca="false">IF(Equips_usuari!A22="","",Equips_usuari!A22)</f>
        <v/>
      </c>
      <c r="B22" s="9" t="str">
        <f aca="false">IF(Equips_usuari!B22="","",Equips_usuari!B22)</f>
        <v/>
      </c>
      <c r="C22" s="9" t="str">
        <f aca="false">IF(Equips_usuari!C22="","",Equips_usuari!C22)</f>
        <v/>
      </c>
      <c r="D22" s="9" t="str">
        <f aca="false">IF(Equips_usuari!D22="","",Equips_usuari!D22)</f>
        <v/>
      </c>
      <c r="E22" s="9" t="str">
        <f aca="false">IF(Equips_usuari!F22="","",Equips_usuari!F22)</f>
        <v/>
      </c>
      <c r="F22" s="9" t="str">
        <f aca="false">IF($C22="","",SUMIFS(Resultats_jugadores!$C:$C,Resultats_jugadores!$A:$A,$A22,Resultats_jugadores!$B:$B,$C22))</f>
        <v/>
      </c>
      <c r="G22" s="9" t="str">
        <f aca="false">IF($C22="","",SUMIFS(Resultats_jugadores!$D:$D,Resultats_jugadores!$A:$A,$A22,Resultats_jugadores!$B:$B,$C22))</f>
        <v/>
      </c>
      <c r="H22" s="9" t="str">
        <f aca="false">IF($C22="","",N($F22)-N($G22))</f>
        <v/>
      </c>
      <c r="I22" s="9" t="str">
        <f aca="false">IF($C22="","",IFERROR(INDEX(Partits!$C:$C,MATCH($A22&amp;"_"&amp;$D22,Partits!$D:$D,0)),""))</f>
        <v/>
      </c>
      <c r="J22" s="9" t="str">
        <f aca="false">IF($C22="","",IF(AND($I22="V",N($H22)&gt;0),1.2,1))</f>
        <v/>
      </c>
      <c r="K22" s="9" t="str">
        <f aca="false">IF($C22="","",N($H22)*$J22)</f>
        <v/>
      </c>
      <c r="L22" s="9" t="str">
        <f aca="false">IF($C22="","",IF($E22="SI",2,1))</f>
        <v/>
      </c>
      <c r="M22" s="9" t="str">
        <f aca="false">IF($C22="","",$K22*$L22)</f>
        <v/>
      </c>
    </row>
    <row r="23" customFormat="false" ht="15" hidden="false" customHeight="true" outlineLevel="0" collapsed="false">
      <c r="A23" s="9" t="str">
        <f aca="false">IF(Equips_usuari!A23="","",Equips_usuari!A23)</f>
        <v/>
      </c>
      <c r="B23" s="9" t="str">
        <f aca="false">IF(Equips_usuari!B23="","",Equips_usuari!B23)</f>
        <v/>
      </c>
      <c r="C23" s="9" t="str">
        <f aca="false">IF(Equips_usuari!C23="","",Equips_usuari!C23)</f>
        <v/>
      </c>
      <c r="D23" s="9" t="str">
        <f aca="false">IF(Equips_usuari!D23="","",Equips_usuari!D23)</f>
        <v/>
      </c>
      <c r="E23" s="9" t="str">
        <f aca="false">IF(Equips_usuari!F23="","",Equips_usuari!F23)</f>
        <v/>
      </c>
      <c r="F23" s="9" t="str">
        <f aca="false">IF($C23="","",SUMIFS(Resultats_jugadores!$C:$C,Resultats_jugadores!$A:$A,$A23,Resultats_jugadores!$B:$B,$C23))</f>
        <v/>
      </c>
      <c r="G23" s="9" t="str">
        <f aca="false">IF($C23="","",SUMIFS(Resultats_jugadores!$D:$D,Resultats_jugadores!$A:$A,$A23,Resultats_jugadores!$B:$B,$C23))</f>
        <v/>
      </c>
      <c r="H23" s="9" t="str">
        <f aca="false">IF($C23="","",N($F23)-N($G23))</f>
        <v/>
      </c>
      <c r="I23" s="9" t="str">
        <f aca="false">IF($C23="","",IFERROR(INDEX(Partits!$C:$C,MATCH($A23&amp;"_"&amp;$D23,Partits!$D:$D,0)),""))</f>
        <v/>
      </c>
      <c r="J23" s="9" t="str">
        <f aca="false">IF($C23="","",IF(AND($I23="V",N($H23)&gt;0),1.2,1))</f>
        <v/>
      </c>
      <c r="K23" s="9" t="str">
        <f aca="false">IF($C23="","",N($H23)*$J23)</f>
        <v/>
      </c>
      <c r="L23" s="9" t="str">
        <f aca="false">IF($C23="","",IF($E23="SI",2,1))</f>
        <v/>
      </c>
      <c r="M23" s="9" t="str">
        <f aca="false">IF($C23="","",$K23*$L23)</f>
        <v/>
      </c>
    </row>
    <row r="24" customFormat="false" ht="15" hidden="false" customHeight="true" outlineLevel="0" collapsed="false">
      <c r="A24" s="9" t="str">
        <f aca="false">IF(Equips_usuari!A24="","",Equips_usuari!A24)</f>
        <v/>
      </c>
      <c r="B24" s="9" t="str">
        <f aca="false">IF(Equips_usuari!B24="","",Equips_usuari!B24)</f>
        <v/>
      </c>
      <c r="C24" s="9" t="str">
        <f aca="false">IF(Equips_usuari!C24="","",Equips_usuari!C24)</f>
        <v/>
      </c>
      <c r="D24" s="9" t="str">
        <f aca="false">IF(Equips_usuari!D24="","",Equips_usuari!D24)</f>
        <v/>
      </c>
      <c r="E24" s="9" t="str">
        <f aca="false">IF(Equips_usuari!F24="","",Equips_usuari!F24)</f>
        <v/>
      </c>
      <c r="F24" s="9" t="str">
        <f aca="false">IF($C24="","",SUMIFS(Resultats_jugadores!$C:$C,Resultats_jugadores!$A:$A,$A24,Resultats_jugadores!$B:$B,$C24))</f>
        <v/>
      </c>
      <c r="G24" s="9" t="str">
        <f aca="false">IF($C24="","",SUMIFS(Resultats_jugadores!$D:$D,Resultats_jugadores!$A:$A,$A24,Resultats_jugadores!$B:$B,$C24))</f>
        <v/>
      </c>
      <c r="H24" s="9" t="str">
        <f aca="false">IF($C24="","",N($F24)-N($G24))</f>
        <v/>
      </c>
      <c r="I24" s="9" t="str">
        <f aca="false">IF($C24="","",IFERROR(INDEX(Partits!$C:$C,MATCH($A24&amp;"_"&amp;$D24,Partits!$D:$D,0)),""))</f>
        <v/>
      </c>
      <c r="J24" s="9" t="str">
        <f aca="false">IF($C24="","",IF(AND($I24="V",N($H24)&gt;0),1.2,1))</f>
        <v/>
      </c>
      <c r="K24" s="9" t="str">
        <f aca="false">IF($C24="","",N($H24)*$J24)</f>
        <v/>
      </c>
      <c r="L24" s="9" t="str">
        <f aca="false">IF($C24="","",IF($E24="SI",2,1))</f>
        <v/>
      </c>
      <c r="M24" s="9" t="str">
        <f aca="false">IF($C24="","",$K24*$L24)</f>
        <v/>
      </c>
    </row>
    <row r="25" customFormat="false" ht="15" hidden="false" customHeight="true" outlineLevel="0" collapsed="false">
      <c r="A25" s="9" t="str">
        <f aca="false">IF(Equips_usuari!A25="","",Equips_usuari!A25)</f>
        <v/>
      </c>
      <c r="B25" s="9" t="str">
        <f aca="false">IF(Equips_usuari!B25="","",Equips_usuari!B25)</f>
        <v/>
      </c>
      <c r="C25" s="9" t="str">
        <f aca="false">IF(Equips_usuari!C25="","",Equips_usuari!C25)</f>
        <v/>
      </c>
      <c r="D25" s="9" t="str">
        <f aca="false">IF(Equips_usuari!D25="","",Equips_usuari!D25)</f>
        <v/>
      </c>
      <c r="E25" s="9" t="str">
        <f aca="false">IF(Equips_usuari!F25="","",Equips_usuari!F25)</f>
        <v/>
      </c>
      <c r="F25" s="9" t="str">
        <f aca="false">IF($C25="","",SUMIFS(Resultats_jugadores!$C:$C,Resultats_jugadores!$A:$A,$A25,Resultats_jugadores!$B:$B,$C25))</f>
        <v/>
      </c>
      <c r="G25" s="9" t="str">
        <f aca="false">IF($C25="","",SUMIFS(Resultats_jugadores!$D:$D,Resultats_jugadores!$A:$A,$A25,Resultats_jugadores!$B:$B,$C25))</f>
        <v/>
      </c>
      <c r="H25" s="9" t="str">
        <f aca="false">IF($C25="","",N($F25)-N($G25))</f>
        <v/>
      </c>
      <c r="I25" s="9" t="str">
        <f aca="false">IF($C25="","",IFERROR(INDEX(Partits!$C:$C,MATCH($A25&amp;"_"&amp;$D25,Partits!$D:$D,0)),""))</f>
        <v/>
      </c>
      <c r="J25" s="9" t="str">
        <f aca="false">IF($C25="","",IF(AND($I25="V",N($H25)&gt;0),1.2,1))</f>
        <v/>
      </c>
      <c r="K25" s="9" t="str">
        <f aca="false">IF($C25="","",N($H25)*$J25)</f>
        <v/>
      </c>
      <c r="L25" s="9" t="str">
        <f aca="false">IF($C25="","",IF($E25="SI",2,1))</f>
        <v/>
      </c>
      <c r="M25" s="9" t="str">
        <f aca="false">IF($C25="","",$K25*$L25)</f>
        <v/>
      </c>
    </row>
    <row r="26" customFormat="false" ht="15" hidden="false" customHeight="true" outlineLevel="0" collapsed="false">
      <c r="A26" s="9" t="str">
        <f aca="false">IF(Equips_usuari!A26="","",Equips_usuari!A26)</f>
        <v/>
      </c>
      <c r="B26" s="9" t="str">
        <f aca="false">IF(Equips_usuari!B26="","",Equips_usuari!B26)</f>
        <v/>
      </c>
      <c r="C26" s="9" t="str">
        <f aca="false">IF(Equips_usuari!C26="","",Equips_usuari!C26)</f>
        <v/>
      </c>
      <c r="D26" s="9" t="str">
        <f aca="false">IF(Equips_usuari!D26="","",Equips_usuari!D26)</f>
        <v/>
      </c>
      <c r="E26" s="9" t="str">
        <f aca="false">IF(Equips_usuari!F26="","",Equips_usuari!F26)</f>
        <v/>
      </c>
      <c r="F26" s="9" t="str">
        <f aca="false">IF($C26="","",SUMIFS(Resultats_jugadores!$C:$C,Resultats_jugadores!$A:$A,$A26,Resultats_jugadores!$B:$B,$C26))</f>
        <v/>
      </c>
      <c r="G26" s="9" t="str">
        <f aca="false">IF($C26="","",SUMIFS(Resultats_jugadores!$D:$D,Resultats_jugadores!$A:$A,$A26,Resultats_jugadores!$B:$B,$C26))</f>
        <v/>
      </c>
      <c r="H26" s="9" t="str">
        <f aca="false">IF($C26="","",N($F26)-N($G26))</f>
        <v/>
      </c>
      <c r="I26" s="9" t="str">
        <f aca="false">IF($C26="","",IFERROR(INDEX(Partits!$C:$C,MATCH($A26&amp;"_"&amp;$D26,Partits!$D:$D,0)),""))</f>
        <v/>
      </c>
      <c r="J26" s="9" t="str">
        <f aca="false">IF($C26="","",IF(AND($I26="V",N($H26)&gt;0),1.2,1))</f>
        <v/>
      </c>
      <c r="K26" s="9" t="str">
        <f aca="false">IF($C26="","",N($H26)*$J26)</f>
        <v/>
      </c>
      <c r="L26" s="9" t="str">
        <f aca="false">IF($C26="","",IF($E26="SI",2,1))</f>
        <v/>
      </c>
      <c r="M26" s="9" t="str">
        <f aca="false">IF($C26="","",$K26*$L26)</f>
        <v/>
      </c>
    </row>
    <row r="27" customFormat="false" ht="15" hidden="false" customHeight="true" outlineLevel="0" collapsed="false">
      <c r="A27" s="9" t="str">
        <f aca="false">IF(Equips_usuari!A27="","",Equips_usuari!A27)</f>
        <v/>
      </c>
      <c r="B27" s="9" t="str">
        <f aca="false">IF(Equips_usuari!B27="","",Equips_usuari!B27)</f>
        <v/>
      </c>
      <c r="C27" s="9" t="str">
        <f aca="false">IF(Equips_usuari!C27="","",Equips_usuari!C27)</f>
        <v/>
      </c>
      <c r="D27" s="9" t="str">
        <f aca="false">IF(Equips_usuari!D27="","",Equips_usuari!D27)</f>
        <v/>
      </c>
      <c r="E27" s="9" t="str">
        <f aca="false">IF(Equips_usuari!F27="","",Equips_usuari!F27)</f>
        <v/>
      </c>
      <c r="F27" s="9" t="str">
        <f aca="false">IF($C27="","",SUMIFS(Resultats_jugadores!$C:$C,Resultats_jugadores!$A:$A,$A27,Resultats_jugadores!$B:$B,$C27))</f>
        <v/>
      </c>
      <c r="G27" s="9" t="str">
        <f aca="false">IF($C27="","",SUMIFS(Resultats_jugadores!$D:$D,Resultats_jugadores!$A:$A,$A27,Resultats_jugadores!$B:$B,$C27))</f>
        <v/>
      </c>
      <c r="H27" s="9" t="str">
        <f aca="false">IF($C27="","",N($F27)-N($G27))</f>
        <v/>
      </c>
      <c r="I27" s="9" t="str">
        <f aca="false">IF($C27="","",IFERROR(INDEX(Partits!$C:$C,MATCH($A27&amp;"_"&amp;$D27,Partits!$D:$D,0)),""))</f>
        <v/>
      </c>
      <c r="J27" s="9" t="str">
        <f aca="false">IF($C27="","",IF(AND($I27="V",N($H27)&gt;0),1.2,1))</f>
        <v/>
      </c>
      <c r="K27" s="9" t="str">
        <f aca="false">IF($C27="","",N($H27)*$J27)</f>
        <v/>
      </c>
      <c r="L27" s="9" t="str">
        <f aca="false">IF($C27="","",IF($E27="SI",2,1))</f>
        <v/>
      </c>
      <c r="M27" s="9" t="str">
        <f aca="false">IF($C27="","",$K27*$L27)</f>
        <v/>
      </c>
    </row>
    <row r="28" customFormat="false" ht="15" hidden="false" customHeight="true" outlineLevel="0" collapsed="false">
      <c r="A28" s="9" t="str">
        <f aca="false">IF(Equips_usuari!A28="","",Equips_usuari!A28)</f>
        <v/>
      </c>
      <c r="B28" s="9" t="str">
        <f aca="false">IF(Equips_usuari!B28="","",Equips_usuari!B28)</f>
        <v/>
      </c>
      <c r="C28" s="9" t="str">
        <f aca="false">IF(Equips_usuari!C28="","",Equips_usuari!C28)</f>
        <v/>
      </c>
      <c r="D28" s="9" t="str">
        <f aca="false">IF(Equips_usuari!D28="","",Equips_usuari!D28)</f>
        <v/>
      </c>
      <c r="E28" s="9" t="str">
        <f aca="false">IF(Equips_usuari!F28="","",Equips_usuari!F28)</f>
        <v/>
      </c>
      <c r="F28" s="9" t="str">
        <f aca="false">IF($C28="","",SUMIFS(Resultats_jugadores!$C:$C,Resultats_jugadores!$A:$A,$A28,Resultats_jugadores!$B:$B,$C28))</f>
        <v/>
      </c>
      <c r="G28" s="9" t="str">
        <f aca="false">IF($C28="","",SUMIFS(Resultats_jugadores!$D:$D,Resultats_jugadores!$A:$A,$A28,Resultats_jugadores!$B:$B,$C28))</f>
        <v/>
      </c>
      <c r="H28" s="9" t="str">
        <f aca="false">IF($C28="","",N($F28)-N($G28))</f>
        <v/>
      </c>
      <c r="I28" s="9" t="str">
        <f aca="false">IF($C28="","",IFERROR(INDEX(Partits!$C:$C,MATCH($A28&amp;"_"&amp;$D28,Partits!$D:$D,0)),""))</f>
        <v/>
      </c>
      <c r="J28" s="9" t="str">
        <f aca="false">IF($C28="","",IF(AND($I28="V",N($H28)&gt;0),1.2,1))</f>
        <v/>
      </c>
      <c r="K28" s="9" t="str">
        <f aca="false">IF($C28="","",N($H28)*$J28)</f>
        <v/>
      </c>
      <c r="L28" s="9" t="str">
        <f aca="false">IF($C28="","",IF($E28="SI",2,1))</f>
        <v/>
      </c>
      <c r="M28" s="9" t="str">
        <f aca="false">IF($C28="","",$K28*$L28)</f>
        <v/>
      </c>
    </row>
    <row r="29" customFormat="false" ht="15" hidden="false" customHeight="true" outlineLevel="0" collapsed="false">
      <c r="A29" s="9" t="str">
        <f aca="false">IF(Equips_usuari!A29="","",Equips_usuari!A29)</f>
        <v/>
      </c>
      <c r="B29" s="9" t="str">
        <f aca="false">IF(Equips_usuari!B29="","",Equips_usuari!B29)</f>
        <v/>
      </c>
      <c r="C29" s="9" t="str">
        <f aca="false">IF(Equips_usuari!C29="","",Equips_usuari!C29)</f>
        <v/>
      </c>
      <c r="D29" s="9" t="str">
        <f aca="false">IF(Equips_usuari!D29="","",Equips_usuari!D29)</f>
        <v/>
      </c>
      <c r="E29" s="9" t="str">
        <f aca="false">IF(Equips_usuari!F29="","",Equips_usuari!F29)</f>
        <v/>
      </c>
      <c r="F29" s="9" t="str">
        <f aca="false">IF($C29="","",SUMIFS(Resultats_jugadores!$C:$C,Resultats_jugadores!$A:$A,$A29,Resultats_jugadores!$B:$B,$C29))</f>
        <v/>
      </c>
      <c r="G29" s="9" t="str">
        <f aca="false">IF($C29="","",SUMIFS(Resultats_jugadores!$D:$D,Resultats_jugadores!$A:$A,$A29,Resultats_jugadores!$B:$B,$C29))</f>
        <v/>
      </c>
      <c r="H29" s="9" t="str">
        <f aca="false">IF($C29="","",N($F29)-N($G29))</f>
        <v/>
      </c>
      <c r="I29" s="9" t="str">
        <f aca="false">IF($C29="","",IFERROR(INDEX(Partits!$C:$C,MATCH($A29&amp;"_"&amp;$D29,Partits!$D:$D,0)),""))</f>
        <v/>
      </c>
      <c r="J29" s="9" t="str">
        <f aca="false">IF($C29="","",IF(AND($I29="V",N($H29)&gt;0),1.2,1))</f>
        <v/>
      </c>
      <c r="K29" s="9" t="str">
        <f aca="false">IF($C29="","",N($H29)*$J29)</f>
        <v/>
      </c>
      <c r="L29" s="9" t="str">
        <f aca="false">IF($C29="","",IF($E29="SI",2,1))</f>
        <v/>
      </c>
      <c r="M29" s="9" t="str">
        <f aca="false">IF($C29="","",$K29*$L29)</f>
        <v/>
      </c>
    </row>
    <row r="30" customFormat="false" ht="15" hidden="false" customHeight="true" outlineLevel="0" collapsed="false">
      <c r="A30" s="9" t="str">
        <f aca="false">IF(Equips_usuari!A30="","",Equips_usuari!A30)</f>
        <v/>
      </c>
      <c r="B30" s="9" t="str">
        <f aca="false">IF(Equips_usuari!B30="","",Equips_usuari!B30)</f>
        <v/>
      </c>
      <c r="C30" s="9" t="str">
        <f aca="false">IF(Equips_usuari!C30="","",Equips_usuari!C30)</f>
        <v/>
      </c>
      <c r="D30" s="9" t="str">
        <f aca="false">IF(Equips_usuari!D30="","",Equips_usuari!D30)</f>
        <v/>
      </c>
      <c r="E30" s="9" t="str">
        <f aca="false">IF(Equips_usuari!F30="","",Equips_usuari!F30)</f>
        <v/>
      </c>
      <c r="F30" s="9" t="str">
        <f aca="false">IF($C30="","",SUMIFS(Resultats_jugadores!$C:$C,Resultats_jugadores!$A:$A,$A30,Resultats_jugadores!$B:$B,$C30))</f>
        <v/>
      </c>
      <c r="G30" s="9" t="str">
        <f aca="false">IF($C30="","",SUMIFS(Resultats_jugadores!$D:$D,Resultats_jugadores!$A:$A,$A30,Resultats_jugadores!$B:$B,$C30))</f>
        <v/>
      </c>
      <c r="H30" s="9" t="str">
        <f aca="false">IF($C30="","",N($F30)-N($G30))</f>
        <v/>
      </c>
      <c r="I30" s="9" t="str">
        <f aca="false">IF($C30="","",IFERROR(INDEX(Partits!$C:$C,MATCH($A30&amp;"_"&amp;$D30,Partits!$D:$D,0)),""))</f>
        <v/>
      </c>
      <c r="J30" s="9" t="str">
        <f aca="false">IF($C30="","",IF(AND($I30="V",N($H30)&gt;0),1.2,1))</f>
        <v/>
      </c>
      <c r="K30" s="9" t="str">
        <f aca="false">IF($C30="","",N($H30)*$J30)</f>
        <v/>
      </c>
      <c r="L30" s="9" t="str">
        <f aca="false">IF($C30="","",IF($E30="SI",2,1))</f>
        <v/>
      </c>
      <c r="M30" s="9" t="str">
        <f aca="false">IF($C30="","",$K30*$L30)</f>
        <v/>
      </c>
    </row>
    <row r="31" customFormat="false" ht="15" hidden="false" customHeight="true" outlineLevel="0" collapsed="false">
      <c r="A31" s="9" t="str">
        <f aca="false">IF(Equips_usuari!A31="","",Equips_usuari!A31)</f>
        <v/>
      </c>
      <c r="B31" s="9" t="str">
        <f aca="false">IF(Equips_usuari!B31="","",Equips_usuari!B31)</f>
        <v/>
      </c>
      <c r="C31" s="9" t="str">
        <f aca="false">IF(Equips_usuari!C31="","",Equips_usuari!C31)</f>
        <v/>
      </c>
      <c r="D31" s="9" t="str">
        <f aca="false">IF(Equips_usuari!D31="","",Equips_usuari!D31)</f>
        <v/>
      </c>
      <c r="E31" s="9" t="str">
        <f aca="false">IF(Equips_usuari!F31="","",Equips_usuari!F31)</f>
        <v/>
      </c>
      <c r="F31" s="9" t="str">
        <f aca="false">IF($C31="","",SUMIFS(Resultats_jugadores!$C:$C,Resultats_jugadores!$A:$A,$A31,Resultats_jugadores!$B:$B,$C31))</f>
        <v/>
      </c>
      <c r="G31" s="9" t="str">
        <f aca="false">IF($C31="","",SUMIFS(Resultats_jugadores!$D:$D,Resultats_jugadores!$A:$A,$A31,Resultats_jugadores!$B:$B,$C31))</f>
        <v/>
      </c>
      <c r="H31" s="9" t="str">
        <f aca="false">IF($C31="","",N($F31)-N($G31))</f>
        <v/>
      </c>
      <c r="I31" s="9" t="str">
        <f aca="false">IF($C31="","",IFERROR(INDEX(Partits!$C:$C,MATCH($A31&amp;"_"&amp;$D31,Partits!$D:$D,0)),""))</f>
        <v/>
      </c>
      <c r="J31" s="9" t="str">
        <f aca="false">IF($C31="","",IF(AND($I31="V",N($H31)&gt;0),1.2,1))</f>
        <v/>
      </c>
      <c r="K31" s="9" t="str">
        <f aca="false">IF($C31="","",N($H31)*$J31)</f>
        <v/>
      </c>
      <c r="L31" s="9" t="str">
        <f aca="false">IF($C31="","",IF($E31="SI",2,1))</f>
        <v/>
      </c>
      <c r="M31" s="9" t="str">
        <f aca="false">IF($C31="","",$K31*$L31)</f>
        <v/>
      </c>
    </row>
    <row r="32" customFormat="false" ht="15" hidden="false" customHeight="true" outlineLevel="0" collapsed="false">
      <c r="A32" s="9" t="str">
        <f aca="false">IF(Equips_usuari!A32="","",Equips_usuari!A32)</f>
        <v/>
      </c>
      <c r="B32" s="9" t="str">
        <f aca="false">IF(Equips_usuari!B32="","",Equips_usuari!B32)</f>
        <v/>
      </c>
      <c r="C32" s="9" t="str">
        <f aca="false">IF(Equips_usuari!C32="","",Equips_usuari!C32)</f>
        <v/>
      </c>
      <c r="D32" s="9" t="str">
        <f aca="false">IF(Equips_usuari!D32="","",Equips_usuari!D32)</f>
        <v/>
      </c>
      <c r="E32" s="9" t="str">
        <f aca="false">IF(Equips_usuari!F32="","",Equips_usuari!F32)</f>
        <v/>
      </c>
      <c r="F32" s="9" t="str">
        <f aca="false">IF($C32="","",SUMIFS(Resultats_jugadores!$C:$C,Resultats_jugadores!$A:$A,$A32,Resultats_jugadores!$B:$B,$C32))</f>
        <v/>
      </c>
      <c r="G32" s="9" t="str">
        <f aca="false">IF($C32="","",SUMIFS(Resultats_jugadores!$D:$D,Resultats_jugadores!$A:$A,$A32,Resultats_jugadores!$B:$B,$C32))</f>
        <v/>
      </c>
      <c r="H32" s="9" t="str">
        <f aca="false">IF($C32="","",N($F32)-N($G32))</f>
        <v/>
      </c>
      <c r="I32" s="9" t="str">
        <f aca="false">IF($C32="","",IFERROR(INDEX(Partits!$C:$C,MATCH($A32&amp;"_"&amp;$D32,Partits!$D:$D,0)),""))</f>
        <v/>
      </c>
      <c r="J32" s="9" t="str">
        <f aca="false">IF($C32="","",IF(AND($I32="V",N($H32)&gt;0),1.2,1))</f>
        <v/>
      </c>
      <c r="K32" s="9" t="str">
        <f aca="false">IF($C32="","",N($H32)*$J32)</f>
        <v/>
      </c>
      <c r="L32" s="9" t="str">
        <f aca="false">IF($C32="","",IF($E32="SI",2,1))</f>
        <v/>
      </c>
      <c r="M32" s="9" t="str">
        <f aca="false">IF($C32="","",$K32*$L32)</f>
        <v/>
      </c>
    </row>
    <row r="33" customFormat="false" ht="15" hidden="false" customHeight="true" outlineLevel="0" collapsed="false">
      <c r="A33" s="9" t="str">
        <f aca="false">IF(Equips_usuari!A33="","",Equips_usuari!A33)</f>
        <v/>
      </c>
      <c r="B33" s="9" t="str">
        <f aca="false">IF(Equips_usuari!B33="","",Equips_usuari!B33)</f>
        <v/>
      </c>
      <c r="C33" s="9" t="str">
        <f aca="false">IF(Equips_usuari!C33="","",Equips_usuari!C33)</f>
        <v/>
      </c>
      <c r="D33" s="9" t="str">
        <f aca="false">IF(Equips_usuari!D33="","",Equips_usuari!D33)</f>
        <v/>
      </c>
      <c r="E33" s="9" t="str">
        <f aca="false">IF(Equips_usuari!F33="","",Equips_usuari!F33)</f>
        <v/>
      </c>
      <c r="F33" s="9" t="str">
        <f aca="false">IF($C33="","",SUMIFS(Resultats_jugadores!$C:$C,Resultats_jugadores!$A:$A,$A33,Resultats_jugadores!$B:$B,$C33))</f>
        <v/>
      </c>
      <c r="G33" s="9" t="str">
        <f aca="false">IF($C33="","",SUMIFS(Resultats_jugadores!$D:$D,Resultats_jugadores!$A:$A,$A33,Resultats_jugadores!$B:$B,$C33))</f>
        <v/>
      </c>
      <c r="H33" s="9" t="str">
        <f aca="false">IF($C33="","",N($F33)-N($G33))</f>
        <v/>
      </c>
      <c r="I33" s="9" t="str">
        <f aca="false">IF($C33="","",IFERROR(INDEX(Partits!$C:$C,MATCH($A33&amp;"_"&amp;$D33,Partits!$D:$D,0)),""))</f>
        <v/>
      </c>
      <c r="J33" s="9" t="str">
        <f aca="false">IF($C33="","",IF(AND($I33="V",N($H33)&gt;0),1.2,1))</f>
        <v/>
      </c>
      <c r="K33" s="9" t="str">
        <f aca="false">IF($C33="","",N($H33)*$J33)</f>
        <v/>
      </c>
      <c r="L33" s="9" t="str">
        <f aca="false">IF($C33="","",IF($E33="SI",2,1))</f>
        <v/>
      </c>
      <c r="M33" s="9" t="str">
        <f aca="false">IF($C33="","",$K33*$L33)</f>
        <v/>
      </c>
    </row>
    <row r="34" customFormat="false" ht="15" hidden="false" customHeight="true" outlineLevel="0" collapsed="false">
      <c r="A34" s="9" t="str">
        <f aca="false">IF(Equips_usuari!A34="","",Equips_usuari!A34)</f>
        <v/>
      </c>
      <c r="B34" s="9" t="str">
        <f aca="false">IF(Equips_usuari!B34="","",Equips_usuari!B34)</f>
        <v/>
      </c>
      <c r="C34" s="9" t="str">
        <f aca="false">IF(Equips_usuari!C34="","",Equips_usuari!C34)</f>
        <v/>
      </c>
      <c r="D34" s="9" t="str">
        <f aca="false">IF(Equips_usuari!D34="","",Equips_usuari!D34)</f>
        <v/>
      </c>
      <c r="E34" s="9" t="str">
        <f aca="false">IF(Equips_usuari!F34="","",Equips_usuari!F34)</f>
        <v/>
      </c>
      <c r="F34" s="9" t="str">
        <f aca="false">IF($C34="","",SUMIFS(Resultats_jugadores!$C:$C,Resultats_jugadores!$A:$A,$A34,Resultats_jugadores!$B:$B,$C34))</f>
        <v/>
      </c>
      <c r="G34" s="9" t="str">
        <f aca="false">IF($C34="","",SUMIFS(Resultats_jugadores!$D:$D,Resultats_jugadores!$A:$A,$A34,Resultats_jugadores!$B:$B,$C34))</f>
        <v/>
      </c>
      <c r="H34" s="9" t="str">
        <f aca="false">IF($C34="","",N($F34)-N($G34))</f>
        <v/>
      </c>
      <c r="I34" s="9" t="str">
        <f aca="false">IF($C34="","",IFERROR(INDEX(Partits!$C:$C,MATCH($A34&amp;"_"&amp;$D34,Partits!$D:$D,0)),""))</f>
        <v/>
      </c>
      <c r="J34" s="9" t="str">
        <f aca="false">IF($C34="","",IF(AND($I34="V",N($H34)&gt;0),1.2,1))</f>
        <v/>
      </c>
      <c r="K34" s="9" t="str">
        <f aca="false">IF($C34="","",N($H34)*$J34)</f>
        <v/>
      </c>
      <c r="L34" s="9" t="str">
        <f aca="false">IF($C34="","",IF($E34="SI",2,1))</f>
        <v/>
      </c>
      <c r="M34" s="9" t="str">
        <f aca="false">IF($C34="","",$K34*$L34)</f>
        <v/>
      </c>
    </row>
    <row r="35" customFormat="false" ht="15" hidden="false" customHeight="true" outlineLevel="0" collapsed="false">
      <c r="A35" s="9" t="str">
        <f aca="false">IF(Equips_usuari!A35="","",Equips_usuari!A35)</f>
        <v/>
      </c>
      <c r="B35" s="9" t="str">
        <f aca="false">IF(Equips_usuari!B35="","",Equips_usuari!B35)</f>
        <v/>
      </c>
      <c r="C35" s="9" t="str">
        <f aca="false">IF(Equips_usuari!C35="","",Equips_usuari!C35)</f>
        <v/>
      </c>
      <c r="D35" s="9" t="str">
        <f aca="false">IF(Equips_usuari!D35="","",Equips_usuari!D35)</f>
        <v/>
      </c>
      <c r="E35" s="9" t="str">
        <f aca="false">IF(Equips_usuari!F35="","",Equips_usuari!F35)</f>
        <v/>
      </c>
      <c r="F35" s="9" t="str">
        <f aca="false">IF($C35="","",SUMIFS(Resultats_jugadores!$C:$C,Resultats_jugadores!$A:$A,$A35,Resultats_jugadores!$B:$B,$C35))</f>
        <v/>
      </c>
      <c r="G35" s="9" t="str">
        <f aca="false">IF($C35="","",SUMIFS(Resultats_jugadores!$D:$D,Resultats_jugadores!$A:$A,$A35,Resultats_jugadores!$B:$B,$C35))</f>
        <v/>
      </c>
      <c r="H35" s="9" t="str">
        <f aca="false">IF($C35="","",N($F35)-N($G35))</f>
        <v/>
      </c>
      <c r="I35" s="9" t="str">
        <f aca="false">IF($C35="","",IFERROR(INDEX(Partits!$C:$C,MATCH($A35&amp;"_"&amp;$D35,Partits!$D:$D,0)),""))</f>
        <v/>
      </c>
      <c r="J35" s="9" t="str">
        <f aca="false">IF($C35="","",IF(AND($I35="V",N($H35)&gt;0),1.2,1))</f>
        <v/>
      </c>
      <c r="K35" s="9" t="str">
        <f aca="false">IF($C35="","",N($H35)*$J35)</f>
        <v/>
      </c>
      <c r="L35" s="9" t="str">
        <f aca="false">IF($C35="","",IF($E35="SI",2,1))</f>
        <v/>
      </c>
      <c r="M35" s="9" t="str">
        <f aca="false">IF($C35="","",$K35*$L35)</f>
        <v/>
      </c>
    </row>
    <row r="36" customFormat="false" ht="15" hidden="false" customHeight="true" outlineLevel="0" collapsed="false">
      <c r="A36" s="9" t="str">
        <f aca="false">IF(Equips_usuari!A36="","",Equips_usuari!A36)</f>
        <v/>
      </c>
      <c r="B36" s="9" t="str">
        <f aca="false">IF(Equips_usuari!B36="","",Equips_usuari!B36)</f>
        <v/>
      </c>
      <c r="C36" s="9" t="str">
        <f aca="false">IF(Equips_usuari!C36="","",Equips_usuari!C36)</f>
        <v/>
      </c>
      <c r="D36" s="9" t="str">
        <f aca="false">IF(Equips_usuari!D36="","",Equips_usuari!D36)</f>
        <v/>
      </c>
      <c r="E36" s="9" t="str">
        <f aca="false">IF(Equips_usuari!F36="","",Equips_usuari!F36)</f>
        <v/>
      </c>
      <c r="F36" s="9" t="str">
        <f aca="false">IF($C36="","",SUMIFS(Resultats_jugadores!$C:$C,Resultats_jugadores!$A:$A,$A36,Resultats_jugadores!$B:$B,$C36))</f>
        <v/>
      </c>
      <c r="G36" s="9" t="str">
        <f aca="false">IF($C36="","",SUMIFS(Resultats_jugadores!$D:$D,Resultats_jugadores!$A:$A,$A36,Resultats_jugadores!$B:$B,$C36))</f>
        <v/>
      </c>
      <c r="H36" s="9" t="str">
        <f aca="false">IF($C36="","",N($F36)-N($G36))</f>
        <v/>
      </c>
      <c r="I36" s="9" t="str">
        <f aca="false">IF($C36="","",IFERROR(INDEX(Partits!$C:$C,MATCH($A36&amp;"_"&amp;$D36,Partits!$D:$D,0)),""))</f>
        <v/>
      </c>
      <c r="J36" s="9" t="str">
        <f aca="false">IF($C36="","",IF(AND($I36="V",N($H36)&gt;0),1.2,1))</f>
        <v/>
      </c>
      <c r="K36" s="9" t="str">
        <f aca="false">IF($C36="","",N($H36)*$J36)</f>
        <v/>
      </c>
      <c r="L36" s="9" t="str">
        <f aca="false">IF($C36="","",IF($E36="SI",2,1))</f>
        <v/>
      </c>
      <c r="M36" s="9" t="str">
        <f aca="false">IF($C36="","",$K36*$L36)</f>
        <v/>
      </c>
    </row>
    <row r="37" customFormat="false" ht="15" hidden="false" customHeight="true" outlineLevel="0" collapsed="false">
      <c r="A37" s="9" t="str">
        <f aca="false">IF(Equips_usuari!A37="","",Equips_usuari!A37)</f>
        <v/>
      </c>
      <c r="B37" s="9" t="str">
        <f aca="false">IF(Equips_usuari!B37="","",Equips_usuari!B37)</f>
        <v/>
      </c>
      <c r="C37" s="9" t="str">
        <f aca="false">IF(Equips_usuari!C37="","",Equips_usuari!C37)</f>
        <v/>
      </c>
      <c r="D37" s="9" t="str">
        <f aca="false">IF(Equips_usuari!D37="","",Equips_usuari!D37)</f>
        <v/>
      </c>
      <c r="E37" s="9" t="str">
        <f aca="false">IF(Equips_usuari!F37="","",Equips_usuari!F37)</f>
        <v/>
      </c>
      <c r="F37" s="9" t="str">
        <f aca="false">IF($C37="","",SUMIFS(Resultats_jugadores!$C:$C,Resultats_jugadores!$A:$A,$A37,Resultats_jugadores!$B:$B,$C37))</f>
        <v/>
      </c>
      <c r="G37" s="9" t="str">
        <f aca="false">IF($C37="","",SUMIFS(Resultats_jugadores!$D:$D,Resultats_jugadores!$A:$A,$A37,Resultats_jugadores!$B:$B,$C37))</f>
        <v/>
      </c>
      <c r="H37" s="9" t="str">
        <f aca="false">IF($C37="","",N($F37)-N($G37))</f>
        <v/>
      </c>
      <c r="I37" s="9" t="str">
        <f aca="false">IF($C37="","",IFERROR(INDEX(Partits!$C:$C,MATCH($A37&amp;"_"&amp;$D37,Partits!$D:$D,0)),""))</f>
        <v/>
      </c>
      <c r="J37" s="9" t="str">
        <f aca="false">IF($C37="","",IF(AND($I37="V",N($H37)&gt;0),1.2,1))</f>
        <v/>
      </c>
      <c r="K37" s="9" t="str">
        <f aca="false">IF($C37="","",N($H37)*$J37)</f>
        <v/>
      </c>
      <c r="L37" s="9" t="str">
        <f aca="false">IF($C37="","",IF($E37="SI",2,1))</f>
        <v/>
      </c>
      <c r="M37" s="9" t="str">
        <f aca="false">IF($C37="","",$K37*$L37)</f>
        <v/>
      </c>
    </row>
    <row r="38" customFormat="false" ht="15" hidden="false" customHeight="true" outlineLevel="0" collapsed="false">
      <c r="A38" s="9" t="str">
        <f aca="false">IF(Equips_usuari!A38="","",Equips_usuari!A38)</f>
        <v/>
      </c>
      <c r="B38" s="9" t="str">
        <f aca="false">IF(Equips_usuari!B38="","",Equips_usuari!B38)</f>
        <v/>
      </c>
      <c r="C38" s="9" t="str">
        <f aca="false">IF(Equips_usuari!C38="","",Equips_usuari!C38)</f>
        <v/>
      </c>
      <c r="D38" s="9" t="str">
        <f aca="false">IF(Equips_usuari!D38="","",Equips_usuari!D38)</f>
        <v/>
      </c>
      <c r="E38" s="9" t="str">
        <f aca="false">IF(Equips_usuari!F38="","",Equips_usuari!F38)</f>
        <v/>
      </c>
      <c r="F38" s="9" t="str">
        <f aca="false">IF($C38="","",SUMIFS(Resultats_jugadores!$C:$C,Resultats_jugadores!$A:$A,$A38,Resultats_jugadores!$B:$B,$C38))</f>
        <v/>
      </c>
      <c r="G38" s="9" t="str">
        <f aca="false">IF($C38="","",SUMIFS(Resultats_jugadores!$D:$D,Resultats_jugadores!$A:$A,$A38,Resultats_jugadores!$B:$B,$C38))</f>
        <v/>
      </c>
      <c r="H38" s="9" t="str">
        <f aca="false">IF($C38="","",N($F38)-N($G38))</f>
        <v/>
      </c>
      <c r="I38" s="9" t="str">
        <f aca="false">IF($C38="","",IFERROR(INDEX(Partits!$C:$C,MATCH($A38&amp;"_"&amp;$D38,Partits!$D:$D,0)),""))</f>
        <v/>
      </c>
      <c r="J38" s="9" t="str">
        <f aca="false">IF($C38="","",IF(AND($I38="V",N($H38)&gt;0),1.2,1))</f>
        <v/>
      </c>
      <c r="K38" s="9" t="str">
        <f aca="false">IF($C38="","",N($H38)*$J38)</f>
        <v/>
      </c>
      <c r="L38" s="9" t="str">
        <f aca="false">IF($C38="","",IF($E38="SI",2,1))</f>
        <v/>
      </c>
      <c r="M38" s="9" t="str">
        <f aca="false">IF($C38="","",$K38*$L38)</f>
        <v/>
      </c>
    </row>
    <row r="39" customFormat="false" ht="15" hidden="false" customHeight="true" outlineLevel="0" collapsed="false">
      <c r="A39" s="9" t="str">
        <f aca="false">IF(Equips_usuari!A39="","",Equips_usuari!A39)</f>
        <v/>
      </c>
      <c r="B39" s="9" t="str">
        <f aca="false">IF(Equips_usuari!B39="","",Equips_usuari!B39)</f>
        <v/>
      </c>
      <c r="C39" s="9" t="str">
        <f aca="false">IF(Equips_usuari!C39="","",Equips_usuari!C39)</f>
        <v/>
      </c>
      <c r="D39" s="9" t="str">
        <f aca="false">IF(Equips_usuari!D39="","",Equips_usuari!D39)</f>
        <v/>
      </c>
      <c r="E39" s="9" t="str">
        <f aca="false">IF(Equips_usuari!F39="","",Equips_usuari!F39)</f>
        <v/>
      </c>
      <c r="F39" s="9" t="str">
        <f aca="false">IF($C39="","",SUMIFS(Resultats_jugadores!$C:$C,Resultats_jugadores!$A:$A,$A39,Resultats_jugadores!$B:$B,$C39))</f>
        <v/>
      </c>
      <c r="G39" s="9" t="str">
        <f aca="false">IF($C39="","",SUMIFS(Resultats_jugadores!$D:$D,Resultats_jugadores!$A:$A,$A39,Resultats_jugadores!$B:$B,$C39))</f>
        <v/>
      </c>
      <c r="H39" s="9" t="str">
        <f aca="false">IF($C39="","",N($F39)-N($G39))</f>
        <v/>
      </c>
      <c r="I39" s="9" t="str">
        <f aca="false">IF($C39="","",IFERROR(INDEX(Partits!$C:$C,MATCH($A39&amp;"_"&amp;$D39,Partits!$D:$D,0)),""))</f>
        <v/>
      </c>
      <c r="J39" s="9" t="str">
        <f aca="false">IF($C39="","",IF(AND($I39="V",N($H39)&gt;0),1.2,1))</f>
        <v/>
      </c>
      <c r="K39" s="9" t="str">
        <f aca="false">IF($C39="","",N($H39)*$J39)</f>
        <v/>
      </c>
      <c r="L39" s="9" t="str">
        <f aca="false">IF($C39="","",IF($E39="SI",2,1))</f>
        <v/>
      </c>
      <c r="M39" s="9" t="str">
        <f aca="false">IF($C39="","",$K39*$L39)</f>
        <v/>
      </c>
    </row>
    <row r="40" customFormat="false" ht="15" hidden="false" customHeight="true" outlineLevel="0" collapsed="false">
      <c r="A40" s="9" t="str">
        <f aca="false">IF(Equips_usuari!A40="","",Equips_usuari!A40)</f>
        <v/>
      </c>
      <c r="B40" s="9" t="str">
        <f aca="false">IF(Equips_usuari!B40="","",Equips_usuari!B40)</f>
        <v/>
      </c>
      <c r="C40" s="9" t="str">
        <f aca="false">IF(Equips_usuari!C40="","",Equips_usuari!C40)</f>
        <v/>
      </c>
      <c r="D40" s="9" t="str">
        <f aca="false">IF(Equips_usuari!D40="","",Equips_usuari!D40)</f>
        <v/>
      </c>
      <c r="E40" s="9" t="str">
        <f aca="false">IF(Equips_usuari!F40="","",Equips_usuari!F40)</f>
        <v/>
      </c>
      <c r="F40" s="9" t="str">
        <f aca="false">IF($C40="","",SUMIFS(Resultats_jugadores!$C:$C,Resultats_jugadores!$A:$A,$A40,Resultats_jugadores!$B:$B,$C40))</f>
        <v/>
      </c>
      <c r="G40" s="9" t="str">
        <f aca="false">IF($C40="","",SUMIFS(Resultats_jugadores!$D:$D,Resultats_jugadores!$A:$A,$A40,Resultats_jugadores!$B:$B,$C40))</f>
        <v/>
      </c>
      <c r="H40" s="9" t="str">
        <f aca="false">IF($C40="","",N($F40)-N($G40))</f>
        <v/>
      </c>
      <c r="I40" s="9" t="str">
        <f aca="false">IF($C40="","",IFERROR(INDEX(Partits!$C:$C,MATCH($A40&amp;"_"&amp;$D40,Partits!$D:$D,0)),""))</f>
        <v/>
      </c>
      <c r="J40" s="9" t="str">
        <f aca="false">IF($C40="","",IF(AND($I40="V",N($H40)&gt;0),1.2,1))</f>
        <v/>
      </c>
      <c r="K40" s="9" t="str">
        <f aca="false">IF($C40="","",N($H40)*$J40)</f>
        <v/>
      </c>
      <c r="L40" s="9" t="str">
        <f aca="false">IF($C40="","",IF($E40="SI",2,1))</f>
        <v/>
      </c>
      <c r="M40" s="9" t="str">
        <f aca="false">IF($C40="","",$K40*$L40)</f>
        <v/>
      </c>
    </row>
    <row r="41" customFormat="false" ht="15" hidden="false" customHeight="true" outlineLevel="0" collapsed="false">
      <c r="A41" s="9" t="str">
        <f aca="false">IF(Equips_usuari!A41="","",Equips_usuari!A41)</f>
        <v/>
      </c>
      <c r="B41" s="9" t="str">
        <f aca="false">IF(Equips_usuari!B41="","",Equips_usuari!B41)</f>
        <v/>
      </c>
      <c r="C41" s="9" t="str">
        <f aca="false">IF(Equips_usuari!C41="","",Equips_usuari!C41)</f>
        <v/>
      </c>
      <c r="D41" s="9" t="str">
        <f aca="false">IF(Equips_usuari!D41="","",Equips_usuari!D41)</f>
        <v/>
      </c>
      <c r="E41" s="9" t="str">
        <f aca="false">IF(Equips_usuari!F41="","",Equips_usuari!F41)</f>
        <v/>
      </c>
      <c r="F41" s="9" t="str">
        <f aca="false">IF($C41="","",SUMIFS(Resultats_jugadores!$C:$C,Resultats_jugadores!$A:$A,$A41,Resultats_jugadores!$B:$B,$C41))</f>
        <v/>
      </c>
      <c r="G41" s="9" t="str">
        <f aca="false">IF($C41="","",SUMIFS(Resultats_jugadores!$D:$D,Resultats_jugadores!$A:$A,$A41,Resultats_jugadores!$B:$B,$C41))</f>
        <v/>
      </c>
      <c r="H41" s="9" t="str">
        <f aca="false">IF($C41="","",N($F41)-N($G41))</f>
        <v/>
      </c>
      <c r="I41" s="9" t="str">
        <f aca="false">IF($C41="","",IFERROR(INDEX(Partits!$C:$C,MATCH($A41&amp;"_"&amp;$D41,Partits!$D:$D,0)),""))</f>
        <v/>
      </c>
      <c r="J41" s="9" t="str">
        <f aca="false">IF($C41="","",IF(AND($I41="V",N($H41)&gt;0),1.2,1))</f>
        <v/>
      </c>
      <c r="K41" s="9" t="str">
        <f aca="false">IF($C41="","",N($H41)*$J41)</f>
        <v/>
      </c>
      <c r="L41" s="9" t="str">
        <f aca="false">IF($C41="","",IF($E41="SI",2,1))</f>
        <v/>
      </c>
      <c r="M41" s="9" t="str">
        <f aca="false">IF($C41="","",$K41*$L41)</f>
        <v/>
      </c>
    </row>
    <row r="42" customFormat="false" ht="15" hidden="false" customHeight="true" outlineLevel="0" collapsed="false">
      <c r="A42" s="9" t="str">
        <f aca="false">IF(Equips_usuari!A42="","",Equips_usuari!A42)</f>
        <v/>
      </c>
      <c r="B42" s="9" t="str">
        <f aca="false">IF(Equips_usuari!B42="","",Equips_usuari!B42)</f>
        <v/>
      </c>
      <c r="C42" s="9" t="str">
        <f aca="false">IF(Equips_usuari!C42="","",Equips_usuari!C42)</f>
        <v/>
      </c>
      <c r="D42" s="9" t="str">
        <f aca="false">IF(Equips_usuari!D42="","",Equips_usuari!D42)</f>
        <v/>
      </c>
      <c r="E42" s="9" t="str">
        <f aca="false">IF(Equips_usuari!F42="","",Equips_usuari!F42)</f>
        <v/>
      </c>
      <c r="F42" s="9" t="str">
        <f aca="false">IF($C42="","",SUMIFS(Resultats_jugadores!$C:$C,Resultats_jugadores!$A:$A,$A42,Resultats_jugadores!$B:$B,$C42))</f>
        <v/>
      </c>
      <c r="G42" s="9" t="str">
        <f aca="false">IF($C42="","",SUMIFS(Resultats_jugadores!$D:$D,Resultats_jugadores!$A:$A,$A42,Resultats_jugadores!$B:$B,$C42))</f>
        <v/>
      </c>
      <c r="H42" s="9" t="str">
        <f aca="false">IF($C42="","",N($F42)-N($G42))</f>
        <v/>
      </c>
      <c r="I42" s="9" t="str">
        <f aca="false">IF($C42="","",IFERROR(INDEX(Partits!$C:$C,MATCH($A42&amp;"_"&amp;$D42,Partits!$D:$D,0)),""))</f>
        <v/>
      </c>
      <c r="J42" s="9" t="str">
        <f aca="false">IF($C42="","",IF(AND($I42="V",N($H42)&gt;0),1.2,1))</f>
        <v/>
      </c>
      <c r="K42" s="9" t="str">
        <f aca="false">IF($C42="","",N($H42)*$J42)</f>
        <v/>
      </c>
      <c r="L42" s="9" t="str">
        <f aca="false">IF($C42="","",IF($E42="SI",2,1))</f>
        <v/>
      </c>
      <c r="M42" s="9" t="str">
        <f aca="false">IF($C42="","",$K42*$L42)</f>
        <v/>
      </c>
    </row>
    <row r="43" customFormat="false" ht="15" hidden="false" customHeight="true" outlineLevel="0" collapsed="false">
      <c r="A43" s="9" t="str">
        <f aca="false">IF(Equips_usuari!A43="","",Equips_usuari!A43)</f>
        <v/>
      </c>
      <c r="B43" s="9" t="str">
        <f aca="false">IF(Equips_usuari!B43="","",Equips_usuari!B43)</f>
        <v/>
      </c>
      <c r="C43" s="9" t="str">
        <f aca="false">IF(Equips_usuari!C43="","",Equips_usuari!C43)</f>
        <v/>
      </c>
      <c r="D43" s="9" t="str">
        <f aca="false">IF(Equips_usuari!D43="","",Equips_usuari!D43)</f>
        <v/>
      </c>
      <c r="E43" s="9" t="str">
        <f aca="false">IF(Equips_usuari!F43="","",Equips_usuari!F43)</f>
        <v/>
      </c>
      <c r="F43" s="9" t="str">
        <f aca="false">IF($C43="","",SUMIFS(Resultats_jugadores!$C:$C,Resultats_jugadores!$A:$A,$A43,Resultats_jugadores!$B:$B,$C43))</f>
        <v/>
      </c>
      <c r="G43" s="9" t="str">
        <f aca="false">IF($C43="","",SUMIFS(Resultats_jugadores!$D:$D,Resultats_jugadores!$A:$A,$A43,Resultats_jugadores!$B:$B,$C43))</f>
        <v/>
      </c>
      <c r="H43" s="9" t="str">
        <f aca="false">IF($C43="","",N($F43)-N($G43))</f>
        <v/>
      </c>
      <c r="I43" s="9" t="str">
        <f aca="false">IF($C43="","",IFERROR(INDEX(Partits!$C:$C,MATCH($A43&amp;"_"&amp;$D43,Partits!$D:$D,0)),""))</f>
        <v/>
      </c>
      <c r="J43" s="9" t="str">
        <f aca="false">IF($C43="","",IF(AND($I43="V",N($H43)&gt;0),1.2,1))</f>
        <v/>
      </c>
      <c r="K43" s="9" t="str">
        <f aca="false">IF($C43="","",N($H43)*$J43)</f>
        <v/>
      </c>
      <c r="L43" s="9" t="str">
        <f aca="false">IF($C43="","",IF($E43="SI",2,1))</f>
        <v/>
      </c>
      <c r="M43" s="9" t="str">
        <f aca="false">IF($C43="","",$K43*$L43)</f>
        <v/>
      </c>
    </row>
    <row r="44" customFormat="false" ht="15" hidden="false" customHeight="true" outlineLevel="0" collapsed="false">
      <c r="A44" s="9" t="str">
        <f aca="false">IF(Equips_usuari!A44="","",Equips_usuari!A44)</f>
        <v/>
      </c>
      <c r="B44" s="9" t="str">
        <f aca="false">IF(Equips_usuari!B44="","",Equips_usuari!B44)</f>
        <v/>
      </c>
      <c r="C44" s="9" t="str">
        <f aca="false">IF(Equips_usuari!C44="","",Equips_usuari!C44)</f>
        <v/>
      </c>
      <c r="D44" s="9" t="str">
        <f aca="false">IF(Equips_usuari!D44="","",Equips_usuari!D44)</f>
        <v/>
      </c>
      <c r="E44" s="9" t="str">
        <f aca="false">IF(Equips_usuari!F44="","",Equips_usuari!F44)</f>
        <v/>
      </c>
      <c r="F44" s="9" t="str">
        <f aca="false">IF($C44="","",SUMIFS(Resultats_jugadores!$C:$C,Resultats_jugadores!$A:$A,$A44,Resultats_jugadores!$B:$B,$C44))</f>
        <v/>
      </c>
      <c r="G44" s="9" t="str">
        <f aca="false">IF($C44="","",SUMIFS(Resultats_jugadores!$D:$D,Resultats_jugadores!$A:$A,$A44,Resultats_jugadores!$B:$B,$C44))</f>
        <v/>
      </c>
      <c r="H44" s="9" t="str">
        <f aca="false">IF($C44="","",N($F44)-N($G44))</f>
        <v/>
      </c>
      <c r="I44" s="9" t="str">
        <f aca="false">IF($C44="","",IFERROR(INDEX(Partits!$C:$C,MATCH($A44&amp;"_"&amp;$D44,Partits!$D:$D,0)),""))</f>
        <v/>
      </c>
      <c r="J44" s="9" t="str">
        <f aca="false">IF($C44="","",IF(AND($I44="V",N($H44)&gt;0),1.2,1))</f>
        <v/>
      </c>
      <c r="K44" s="9" t="str">
        <f aca="false">IF($C44="","",N($H44)*$J44)</f>
        <v/>
      </c>
      <c r="L44" s="9" t="str">
        <f aca="false">IF($C44="","",IF($E44="SI",2,1))</f>
        <v/>
      </c>
      <c r="M44" s="9" t="str">
        <f aca="false">IF($C44="","",$K44*$L44)</f>
        <v/>
      </c>
    </row>
    <row r="45" customFormat="false" ht="15" hidden="false" customHeight="true" outlineLevel="0" collapsed="false">
      <c r="A45" s="9" t="str">
        <f aca="false">IF(Equips_usuari!A45="","",Equips_usuari!A45)</f>
        <v/>
      </c>
      <c r="B45" s="9" t="str">
        <f aca="false">IF(Equips_usuari!B45="","",Equips_usuari!B45)</f>
        <v/>
      </c>
      <c r="C45" s="9" t="str">
        <f aca="false">IF(Equips_usuari!C45="","",Equips_usuari!C45)</f>
        <v/>
      </c>
      <c r="D45" s="9" t="str">
        <f aca="false">IF(Equips_usuari!D45="","",Equips_usuari!D45)</f>
        <v/>
      </c>
      <c r="E45" s="9" t="str">
        <f aca="false">IF(Equips_usuari!F45="","",Equips_usuari!F45)</f>
        <v/>
      </c>
      <c r="F45" s="9" t="str">
        <f aca="false">IF($C45="","",SUMIFS(Resultats_jugadores!$C:$C,Resultats_jugadores!$A:$A,$A45,Resultats_jugadores!$B:$B,$C45))</f>
        <v/>
      </c>
      <c r="G45" s="9" t="str">
        <f aca="false">IF($C45="","",SUMIFS(Resultats_jugadores!$D:$D,Resultats_jugadores!$A:$A,$A45,Resultats_jugadores!$B:$B,$C45))</f>
        <v/>
      </c>
      <c r="H45" s="9" t="str">
        <f aca="false">IF($C45="","",N($F45)-N($G45))</f>
        <v/>
      </c>
      <c r="I45" s="9" t="str">
        <f aca="false">IF($C45="","",IFERROR(INDEX(Partits!$C:$C,MATCH($A45&amp;"_"&amp;$D45,Partits!$D:$D,0)),""))</f>
        <v/>
      </c>
      <c r="J45" s="9" t="str">
        <f aca="false">IF($C45="","",IF(AND($I45="V",N($H45)&gt;0),1.2,1))</f>
        <v/>
      </c>
      <c r="K45" s="9" t="str">
        <f aca="false">IF($C45="","",N($H45)*$J45)</f>
        <v/>
      </c>
      <c r="L45" s="9" t="str">
        <f aca="false">IF($C45="","",IF($E45="SI",2,1))</f>
        <v/>
      </c>
      <c r="M45" s="9" t="str">
        <f aca="false">IF($C45="","",$K45*$L45)</f>
        <v/>
      </c>
    </row>
    <row r="46" customFormat="false" ht="15" hidden="false" customHeight="true" outlineLevel="0" collapsed="false">
      <c r="A46" s="9" t="str">
        <f aca="false">IF(Equips_usuari!A46="","",Equips_usuari!A46)</f>
        <v/>
      </c>
      <c r="B46" s="9" t="str">
        <f aca="false">IF(Equips_usuari!B46="","",Equips_usuari!B46)</f>
        <v/>
      </c>
      <c r="C46" s="9" t="str">
        <f aca="false">IF(Equips_usuari!C46="","",Equips_usuari!C46)</f>
        <v/>
      </c>
      <c r="D46" s="9" t="str">
        <f aca="false">IF(Equips_usuari!D46="","",Equips_usuari!D46)</f>
        <v/>
      </c>
      <c r="E46" s="9" t="str">
        <f aca="false">IF(Equips_usuari!F46="","",Equips_usuari!F46)</f>
        <v/>
      </c>
      <c r="F46" s="9" t="str">
        <f aca="false">IF($C46="","",SUMIFS(Resultats_jugadores!$C:$C,Resultats_jugadores!$A:$A,$A46,Resultats_jugadores!$B:$B,$C46))</f>
        <v/>
      </c>
      <c r="G46" s="9" t="str">
        <f aca="false">IF($C46="","",SUMIFS(Resultats_jugadores!$D:$D,Resultats_jugadores!$A:$A,$A46,Resultats_jugadores!$B:$B,$C46))</f>
        <v/>
      </c>
      <c r="H46" s="9" t="str">
        <f aca="false">IF($C46="","",N($F46)-N($G46))</f>
        <v/>
      </c>
      <c r="I46" s="9" t="str">
        <f aca="false">IF($C46="","",IFERROR(INDEX(Partits!$C:$C,MATCH($A46&amp;"_"&amp;$D46,Partits!$D:$D,0)),""))</f>
        <v/>
      </c>
      <c r="J46" s="9" t="str">
        <f aca="false">IF($C46="","",IF(AND($I46="V",N($H46)&gt;0),1.2,1))</f>
        <v/>
      </c>
      <c r="K46" s="9" t="str">
        <f aca="false">IF($C46="","",N($H46)*$J46)</f>
        <v/>
      </c>
      <c r="L46" s="9" t="str">
        <f aca="false">IF($C46="","",IF($E46="SI",2,1))</f>
        <v/>
      </c>
      <c r="M46" s="9" t="str">
        <f aca="false">IF($C46="","",$K46*$L46)</f>
        <v/>
      </c>
    </row>
    <row r="47" customFormat="false" ht="15" hidden="false" customHeight="true" outlineLevel="0" collapsed="false">
      <c r="A47" s="9" t="str">
        <f aca="false">IF(Equips_usuari!A47="","",Equips_usuari!A47)</f>
        <v/>
      </c>
      <c r="B47" s="9" t="str">
        <f aca="false">IF(Equips_usuari!B47="","",Equips_usuari!B47)</f>
        <v/>
      </c>
      <c r="C47" s="9" t="str">
        <f aca="false">IF(Equips_usuari!C47="","",Equips_usuari!C47)</f>
        <v/>
      </c>
      <c r="D47" s="9" t="str">
        <f aca="false">IF(Equips_usuari!D47="","",Equips_usuari!D47)</f>
        <v/>
      </c>
      <c r="E47" s="9" t="str">
        <f aca="false">IF(Equips_usuari!F47="","",Equips_usuari!F47)</f>
        <v/>
      </c>
      <c r="F47" s="9" t="str">
        <f aca="false">IF($C47="","",SUMIFS(Resultats_jugadores!$C:$C,Resultats_jugadores!$A:$A,$A47,Resultats_jugadores!$B:$B,$C47))</f>
        <v/>
      </c>
      <c r="G47" s="9" t="str">
        <f aca="false">IF($C47="","",SUMIFS(Resultats_jugadores!$D:$D,Resultats_jugadores!$A:$A,$A47,Resultats_jugadores!$B:$B,$C47))</f>
        <v/>
      </c>
      <c r="H47" s="9" t="str">
        <f aca="false">IF($C47="","",N($F47)-N($G47))</f>
        <v/>
      </c>
      <c r="I47" s="9" t="str">
        <f aca="false">IF($C47="","",IFERROR(INDEX(Partits!$C:$C,MATCH($A47&amp;"_"&amp;$D47,Partits!$D:$D,0)),""))</f>
        <v/>
      </c>
      <c r="J47" s="9" t="str">
        <f aca="false">IF($C47="","",IF(AND($I47="V",N($H47)&gt;0),1.2,1))</f>
        <v/>
      </c>
      <c r="K47" s="9" t="str">
        <f aca="false">IF($C47="","",N($H47)*$J47)</f>
        <v/>
      </c>
      <c r="L47" s="9" t="str">
        <f aca="false">IF($C47="","",IF($E47="SI",2,1))</f>
        <v/>
      </c>
      <c r="M47" s="9" t="str">
        <f aca="false">IF($C47="","",$K47*$L47)</f>
        <v/>
      </c>
    </row>
    <row r="48" customFormat="false" ht="15" hidden="false" customHeight="true" outlineLevel="0" collapsed="false">
      <c r="A48" s="9" t="str">
        <f aca="false">IF(Equips_usuari!A48="","",Equips_usuari!A48)</f>
        <v/>
      </c>
      <c r="B48" s="9" t="str">
        <f aca="false">IF(Equips_usuari!B48="","",Equips_usuari!B48)</f>
        <v/>
      </c>
      <c r="C48" s="9" t="str">
        <f aca="false">IF(Equips_usuari!C48="","",Equips_usuari!C48)</f>
        <v/>
      </c>
      <c r="D48" s="9" t="str">
        <f aca="false">IF(Equips_usuari!D48="","",Equips_usuari!D48)</f>
        <v/>
      </c>
      <c r="E48" s="9" t="str">
        <f aca="false">IF(Equips_usuari!F48="","",Equips_usuari!F48)</f>
        <v/>
      </c>
      <c r="F48" s="9" t="str">
        <f aca="false">IF($C48="","",SUMIFS(Resultats_jugadores!$C:$C,Resultats_jugadores!$A:$A,$A48,Resultats_jugadores!$B:$B,$C48))</f>
        <v/>
      </c>
      <c r="G48" s="9" t="str">
        <f aca="false">IF($C48="","",SUMIFS(Resultats_jugadores!$D:$D,Resultats_jugadores!$A:$A,$A48,Resultats_jugadores!$B:$B,$C48))</f>
        <v/>
      </c>
      <c r="H48" s="9" t="str">
        <f aca="false">IF($C48="","",N($F48)-N($G48))</f>
        <v/>
      </c>
      <c r="I48" s="9" t="str">
        <f aca="false">IF($C48="","",IFERROR(INDEX(Partits!$C:$C,MATCH($A48&amp;"_"&amp;$D48,Partits!$D:$D,0)),""))</f>
        <v/>
      </c>
      <c r="J48" s="9" t="str">
        <f aca="false">IF($C48="","",IF(AND($I48="V",N($H48)&gt;0),1.2,1))</f>
        <v/>
      </c>
      <c r="K48" s="9" t="str">
        <f aca="false">IF($C48="","",N($H48)*$J48)</f>
        <v/>
      </c>
      <c r="L48" s="9" t="str">
        <f aca="false">IF($C48="","",IF($E48="SI",2,1))</f>
        <v/>
      </c>
      <c r="M48" s="9" t="str">
        <f aca="false">IF($C48="","",$K48*$L48)</f>
        <v/>
      </c>
    </row>
    <row r="49" customFormat="false" ht="15" hidden="false" customHeight="true" outlineLevel="0" collapsed="false">
      <c r="A49" s="9" t="str">
        <f aca="false">IF(Equips_usuari!A49="","",Equips_usuari!A49)</f>
        <v/>
      </c>
      <c r="B49" s="9" t="str">
        <f aca="false">IF(Equips_usuari!B49="","",Equips_usuari!B49)</f>
        <v/>
      </c>
      <c r="C49" s="9" t="str">
        <f aca="false">IF(Equips_usuari!C49="","",Equips_usuari!C49)</f>
        <v/>
      </c>
      <c r="D49" s="9" t="str">
        <f aca="false">IF(Equips_usuari!D49="","",Equips_usuari!D49)</f>
        <v/>
      </c>
      <c r="E49" s="9" t="str">
        <f aca="false">IF(Equips_usuari!F49="","",Equips_usuari!F49)</f>
        <v/>
      </c>
      <c r="F49" s="9" t="str">
        <f aca="false">IF($C49="","",SUMIFS(Resultats_jugadores!$C:$C,Resultats_jugadores!$A:$A,$A49,Resultats_jugadores!$B:$B,$C49))</f>
        <v/>
      </c>
      <c r="G49" s="9" t="str">
        <f aca="false">IF($C49="","",SUMIFS(Resultats_jugadores!$D:$D,Resultats_jugadores!$A:$A,$A49,Resultats_jugadores!$B:$B,$C49))</f>
        <v/>
      </c>
      <c r="H49" s="9" t="str">
        <f aca="false">IF($C49="","",N($F49)-N($G49))</f>
        <v/>
      </c>
      <c r="I49" s="9" t="str">
        <f aca="false">IF($C49="","",IFERROR(INDEX(Partits!$C:$C,MATCH($A49&amp;"_"&amp;$D49,Partits!$D:$D,0)),""))</f>
        <v/>
      </c>
      <c r="J49" s="9" t="str">
        <f aca="false">IF($C49="","",IF(AND($I49="V",N($H49)&gt;0),1.2,1))</f>
        <v/>
      </c>
      <c r="K49" s="9" t="str">
        <f aca="false">IF($C49="","",N($H49)*$J49)</f>
        <v/>
      </c>
      <c r="L49" s="9" t="str">
        <f aca="false">IF($C49="","",IF($E49="SI",2,1))</f>
        <v/>
      </c>
      <c r="M49" s="9" t="str">
        <f aca="false">IF($C49="","",$K49*$L49)</f>
        <v/>
      </c>
    </row>
    <row r="50" customFormat="false" ht="15" hidden="false" customHeight="true" outlineLevel="0" collapsed="false">
      <c r="A50" s="9" t="str">
        <f aca="false">IF(Equips_usuari!A50="","",Equips_usuari!A50)</f>
        <v/>
      </c>
      <c r="B50" s="9" t="str">
        <f aca="false">IF(Equips_usuari!B50="","",Equips_usuari!B50)</f>
        <v/>
      </c>
      <c r="C50" s="9" t="str">
        <f aca="false">IF(Equips_usuari!C50="","",Equips_usuari!C50)</f>
        <v/>
      </c>
      <c r="D50" s="9" t="str">
        <f aca="false">IF(Equips_usuari!D50="","",Equips_usuari!D50)</f>
        <v/>
      </c>
      <c r="E50" s="9" t="str">
        <f aca="false">IF(Equips_usuari!F50="","",Equips_usuari!F50)</f>
        <v/>
      </c>
      <c r="F50" s="9" t="str">
        <f aca="false">IF($C50="","",SUMIFS(Resultats_jugadores!$C:$C,Resultats_jugadores!$A:$A,$A50,Resultats_jugadores!$B:$B,$C50))</f>
        <v/>
      </c>
      <c r="G50" s="9" t="str">
        <f aca="false">IF($C50="","",SUMIFS(Resultats_jugadores!$D:$D,Resultats_jugadores!$A:$A,$A50,Resultats_jugadores!$B:$B,$C50))</f>
        <v/>
      </c>
      <c r="H50" s="9" t="str">
        <f aca="false">IF($C50="","",N($F50)-N($G50))</f>
        <v/>
      </c>
      <c r="I50" s="9" t="str">
        <f aca="false">IF($C50="","",IFERROR(INDEX(Partits!$C:$C,MATCH($A50&amp;"_"&amp;$D50,Partits!$D:$D,0)),""))</f>
        <v/>
      </c>
      <c r="J50" s="9" t="str">
        <f aca="false">IF($C50="","",IF(AND($I50="V",N($H50)&gt;0),1.2,1))</f>
        <v/>
      </c>
      <c r="K50" s="9" t="str">
        <f aca="false">IF($C50="","",N($H50)*$J50)</f>
        <v/>
      </c>
      <c r="L50" s="9" t="str">
        <f aca="false">IF($C50="","",IF($E50="SI",2,1))</f>
        <v/>
      </c>
      <c r="M50" s="9" t="str">
        <f aca="false">IF($C50="","",$K50*$L50)</f>
        <v/>
      </c>
    </row>
    <row r="51" customFormat="false" ht="15" hidden="false" customHeight="true" outlineLevel="0" collapsed="false">
      <c r="A51" s="9" t="str">
        <f aca="false">IF(Equips_usuari!A51="","",Equips_usuari!A51)</f>
        <v/>
      </c>
      <c r="B51" s="9" t="str">
        <f aca="false">IF(Equips_usuari!B51="","",Equips_usuari!B51)</f>
        <v/>
      </c>
      <c r="C51" s="9" t="str">
        <f aca="false">IF(Equips_usuari!C51="","",Equips_usuari!C51)</f>
        <v/>
      </c>
      <c r="D51" s="9" t="str">
        <f aca="false">IF(Equips_usuari!D51="","",Equips_usuari!D51)</f>
        <v/>
      </c>
      <c r="E51" s="9" t="str">
        <f aca="false">IF(Equips_usuari!F51="","",Equips_usuari!F51)</f>
        <v/>
      </c>
      <c r="F51" s="9" t="str">
        <f aca="false">IF($C51="","",SUMIFS(Resultats_jugadores!$C:$C,Resultats_jugadores!$A:$A,$A51,Resultats_jugadores!$B:$B,$C51))</f>
        <v/>
      </c>
      <c r="G51" s="9" t="str">
        <f aca="false">IF($C51="","",SUMIFS(Resultats_jugadores!$D:$D,Resultats_jugadores!$A:$A,$A51,Resultats_jugadores!$B:$B,$C51))</f>
        <v/>
      </c>
      <c r="H51" s="9" t="str">
        <f aca="false">IF($C51="","",N($F51)-N($G51))</f>
        <v/>
      </c>
      <c r="I51" s="9" t="str">
        <f aca="false">IF($C51="","",IFERROR(INDEX(Partits!$C:$C,MATCH($A51&amp;"_"&amp;$D51,Partits!$D:$D,0)),""))</f>
        <v/>
      </c>
      <c r="J51" s="9" t="str">
        <f aca="false">IF($C51="","",IF(AND($I51="V",N($H51)&gt;0),1.2,1))</f>
        <v/>
      </c>
      <c r="K51" s="9" t="str">
        <f aca="false">IF($C51="","",N($H51)*$J51)</f>
        <v/>
      </c>
      <c r="L51" s="9" t="str">
        <f aca="false">IF($C51="","",IF($E51="SI",2,1))</f>
        <v/>
      </c>
      <c r="M51" s="9" t="str">
        <f aca="false">IF($C51="","",$K51*$L51)</f>
        <v/>
      </c>
    </row>
    <row r="52" customFormat="false" ht="15" hidden="false" customHeight="true" outlineLevel="0" collapsed="false">
      <c r="A52" s="9" t="str">
        <f aca="false">IF(Equips_usuari!A52="","",Equips_usuari!A52)</f>
        <v/>
      </c>
      <c r="B52" s="9" t="str">
        <f aca="false">IF(Equips_usuari!B52="","",Equips_usuari!B52)</f>
        <v/>
      </c>
      <c r="C52" s="9" t="str">
        <f aca="false">IF(Equips_usuari!C52="","",Equips_usuari!C52)</f>
        <v/>
      </c>
      <c r="D52" s="9" t="str">
        <f aca="false">IF(Equips_usuari!D52="","",Equips_usuari!D52)</f>
        <v/>
      </c>
      <c r="E52" s="9" t="str">
        <f aca="false">IF(Equips_usuari!F52="","",Equips_usuari!F52)</f>
        <v/>
      </c>
      <c r="F52" s="9" t="str">
        <f aca="false">IF($C52="","",SUMIFS(Resultats_jugadores!$C:$C,Resultats_jugadores!$A:$A,$A52,Resultats_jugadores!$B:$B,$C52))</f>
        <v/>
      </c>
      <c r="G52" s="9" t="str">
        <f aca="false">IF($C52="","",SUMIFS(Resultats_jugadores!$D:$D,Resultats_jugadores!$A:$A,$A52,Resultats_jugadores!$B:$B,$C52))</f>
        <v/>
      </c>
      <c r="H52" s="9" t="str">
        <f aca="false">IF($C52="","",N($F52)-N($G52))</f>
        <v/>
      </c>
      <c r="I52" s="9" t="str">
        <f aca="false">IF($C52="","",IFERROR(INDEX(Partits!$C:$C,MATCH($A52&amp;"_"&amp;$D52,Partits!$D:$D,0)),""))</f>
        <v/>
      </c>
      <c r="J52" s="9" t="str">
        <f aca="false">IF($C52="","",IF(AND($I52="V",N($H52)&gt;0),1.2,1))</f>
        <v/>
      </c>
      <c r="K52" s="9" t="str">
        <f aca="false">IF($C52="","",N($H52)*$J52)</f>
        <v/>
      </c>
      <c r="L52" s="9" t="str">
        <f aca="false">IF($C52="","",IF($E52="SI",2,1))</f>
        <v/>
      </c>
      <c r="M52" s="9" t="str">
        <f aca="false">IF($C52="","",$K52*$L52)</f>
        <v/>
      </c>
    </row>
    <row r="53" customFormat="false" ht="15" hidden="false" customHeight="true" outlineLevel="0" collapsed="false">
      <c r="A53" s="9" t="str">
        <f aca="false">IF(Equips_usuari!A53="","",Equips_usuari!A53)</f>
        <v/>
      </c>
      <c r="B53" s="9" t="str">
        <f aca="false">IF(Equips_usuari!B53="","",Equips_usuari!B53)</f>
        <v/>
      </c>
      <c r="C53" s="9" t="str">
        <f aca="false">IF(Equips_usuari!C53="","",Equips_usuari!C53)</f>
        <v/>
      </c>
      <c r="D53" s="9" t="str">
        <f aca="false">IF(Equips_usuari!D53="","",Equips_usuari!D53)</f>
        <v/>
      </c>
      <c r="E53" s="9" t="str">
        <f aca="false">IF(Equips_usuari!F53="","",Equips_usuari!F53)</f>
        <v/>
      </c>
      <c r="F53" s="9" t="str">
        <f aca="false">IF($C53="","",SUMIFS(Resultats_jugadores!$C:$C,Resultats_jugadores!$A:$A,$A53,Resultats_jugadores!$B:$B,$C53))</f>
        <v/>
      </c>
      <c r="G53" s="9" t="str">
        <f aca="false">IF($C53="","",SUMIFS(Resultats_jugadores!$D:$D,Resultats_jugadores!$A:$A,$A53,Resultats_jugadores!$B:$B,$C53))</f>
        <v/>
      </c>
      <c r="H53" s="9" t="str">
        <f aca="false">IF($C53="","",N($F53)-N($G53))</f>
        <v/>
      </c>
      <c r="I53" s="9" t="str">
        <f aca="false">IF($C53="","",IFERROR(INDEX(Partits!$C:$C,MATCH($A53&amp;"_"&amp;$D53,Partits!$D:$D,0)),""))</f>
        <v/>
      </c>
      <c r="J53" s="9" t="str">
        <f aca="false">IF($C53="","",IF(AND($I53="V",N($H53)&gt;0),1.2,1))</f>
        <v/>
      </c>
      <c r="K53" s="9" t="str">
        <f aca="false">IF($C53="","",N($H53)*$J53)</f>
        <v/>
      </c>
      <c r="L53" s="9" t="str">
        <f aca="false">IF($C53="","",IF($E53="SI",2,1))</f>
        <v/>
      </c>
      <c r="M53" s="9" t="str">
        <f aca="false">IF($C53="","",$K53*$L53)</f>
        <v/>
      </c>
    </row>
    <row r="54" customFormat="false" ht="15" hidden="false" customHeight="true" outlineLevel="0" collapsed="false">
      <c r="A54" s="9" t="str">
        <f aca="false">IF(Equips_usuari!A54="","",Equips_usuari!A54)</f>
        <v/>
      </c>
      <c r="B54" s="9" t="str">
        <f aca="false">IF(Equips_usuari!B54="","",Equips_usuari!B54)</f>
        <v/>
      </c>
      <c r="C54" s="9" t="str">
        <f aca="false">IF(Equips_usuari!C54="","",Equips_usuari!C54)</f>
        <v/>
      </c>
      <c r="D54" s="9" t="str">
        <f aca="false">IF(Equips_usuari!D54="","",Equips_usuari!D54)</f>
        <v/>
      </c>
      <c r="E54" s="9" t="str">
        <f aca="false">IF(Equips_usuari!F54="","",Equips_usuari!F54)</f>
        <v/>
      </c>
      <c r="F54" s="9" t="str">
        <f aca="false">IF($C54="","",SUMIFS(Resultats_jugadores!$C:$C,Resultats_jugadores!$A:$A,$A54,Resultats_jugadores!$B:$B,$C54))</f>
        <v/>
      </c>
      <c r="G54" s="9" t="str">
        <f aca="false">IF($C54="","",SUMIFS(Resultats_jugadores!$D:$D,Resultats_jugadores!$A:$A,$A54,Resultats_jugadores!$B:$B,$C54))</f>
        <v/>
      </c>
      <c r="H54" s="9" t="str">
        <f aca="false">IF($C54="","",N($F54)-N($G54))</f>
        <v/>
      </c>
      <c r="I54" s="9" t="str">
        <f aca="false">IF($C54="","",IFERROR(INDEX(Partits!$C:$C,MATCH($A54&amp;"_"&amp;$D54,Partits!$D:$D,0)),""))</f>
        <v/>
      </c>
      <c r="J54" s="9" t="str">
        <f aca="false">IF($C54="","",IF(AND($I54="V",N($H54)&gt;0),1.2,1))</f>
        <v/>
      </c>
      <c r="K54" s="9" t="str">
        <f aca="false">IF($C54="","",N($H54)*$J54)</f>
        <v/>
      </c>
      <c r="L54" s="9" t="str">
        <f aca="false">IF($C54="","",IF($E54="SI",2,1))</f>
        <v/>
      </c>
      <c r="M54" s="9" t="str">
        <f aca="false">IF($C54="","",$K54*$L54)</f>
        <v/>
      </c>
    </row>
    <row r="55" customFormat="false" ht="15" hidden="false" customHeight="true" outlineLevel="0" collapsed="false">
      <c r="A55" s="9" t="str">
        <f aca="false">IF(Equips_usuari!A55="","",Equips_usuari!A55)</f>
        <v/>
      </c>
      <c r="B55" s="9" t="str">
        <f aca="false">IF(Equips_usuari!B55="","",Equips_usuari!B55)</f>
        <v/>
      </c>
      <c r="C55" s="9" t="str">
        <f aca="false">IF(Equips_usuari!C55="","",Equips_usuari!C55)</f>
        <v/>
      </c>
      <c r="D55" s="9" t="str">
        <f aca="false">IF(Equips_usuari!D55="","",Equips_usuari!D55)</f>
        <v/>
      </c>
      <c r="E55" s="9" t="str">
        <f aca="false">IF(Equips_usuari!F55="","",Equips_usuari!F55)</f>
        <v/>
      </c>
      <c r="F55" s="9" t="str">
        <f aca="false">IF($C55="","",SUMIFS(Resultats_jugadores!$C:$C,Resultats_jugadores!$A:$A,$A55,Resultats_jugadores!$B:$B,$C55))</f>
        <v/>
      </c>
      <c r="G55" s="9" t="str">
        <f aca="false">IF($C55="","",SUMIFS(Resultats_jugadores!$D:$D,Resultats_jugadores!$A:$A,$A55,Resultats_jugadores!$B:$B,$C55))</f>
        <v/>
      </c>
      <c r="H55" s="9" t="str">
        <f aca="false">IF($C55="","",N($F55)-N($G55))</f>
        <v/>
      </c>
      <c r="I55" s="9" t="str">
        <f aca="false">IF($C55="","",IFERROR(INDEX(Partits!$C:$C,MATCH($A55&amp;"_"&amp;$D55,Partits!$D:$D,0)),""))</f>
        <v/>
      </c>
      <c r="J55" s="9" t="str">
        <f aca="false">IF($C55="","",IF(AND($I55="V",N($H55)&gt;0),1.2,1))</f>
        <v/>
      </c>
      <c r="K55" s="9" t="str">
        <f aca="false">IF($C55="","",N($H55)*$J55)</f>
        <v/>
      </c>
      <c r="L55" s="9" t="str">
        <f aca="false">IF($C55="","",IF($E55="SI",2,1))</f>
        <v/>
      </c>
      <c r="M55" s="9" t="str">
        <f aca="false">IF($C55="","",$K55*$L55)</f>
        <v/>
      </c>
    </row>
    <row r="56" customFormat="false" ht="15" hidden="false" customHeight="true" outlineLevel="0" collapsed="false">
      <c r="A56" s="9" t="str">
        <f aca="false">IF(Equips_usuari!A56="","",Equips_usuari!A56)</f>
        <v/>
      </c>
      <c r="B56" s="9" t="str">
        <f aca="false">IF(Equips_usuari!B56="","",Equips_usuari!B56)</f>
        <v/>
      </c>
      <c r="C56" s="9" t="str">
        <f aca="false">IF(Equips_usuari!C56="","",Equips_usuari!C56)</f>
        <v/>
      </c>
      <c r="D56" s="9" t="str">
        <f aca="false">IF(Equips_usuari!D56="","",Equips_usuari!D56)</f>
        <v/>
      </c>
      <c r="E56" s="9" t="str">
        <f aca="false">IF(Equips_usuari!F56="","",Equips_usuari!F56)</f>
        <v/>
      </c>
      <c r="F56" s="9" t="str">
        <f aca="false">IF($C56="","",SUMIFS(Resultats_jugadores!$C:$C,Resultats_jugadores!$A:$A,$A56,Resultats_jugadores!$B:$B,$C56))</f>
        <v/>
      </c>
      <c r="G56" s="9" t="str">
        <f aca="false">IF($C56="","",SUMIFS(Resultats_jugadores!$D:$D,Resultats_jugadores!$A:$A,$A56,Resultats_jugadores!$B:$B,$C56))</f>
        <v/>
      </c>
      <c r="H56" s="9" t="str">
        <f aca="false">IF($C56="","",N($F56)-N($G56))</f>
        <v/>
      </c>
      <c r="I56" s="9" t="str">
        <f aca="false">IF($C56="","",IFERROR(INDEX(Partits!$C:$C,MATCH($A56&amp;"_"&amp;$D56,Partits!$D:$D,0)),""))</f>
        <v/>
      </c>
      <c r="J56" s="9" t="str">
        <f aca="false">IF($C56="","",IF(AND($I56="V",N($H56)&gt;0),1.2,1))</f>
        <v/>
      </c>
      <c r="K56" s="9" t="str">
        <f aca="false">IF($C56="","",N($H56)*$J56)</f>
        <v/>
      </c>
      <c r="L56" s="9" t="str">
        <f aca="false">IF($C56="","",IF($E56="SI",2,1))</f>
        <v/>
      </c>
      <c r="M56" s="9" t="str">
        <f aca="false">IF($C56="","",$K56*$L56)</f>
        <v/>
      </c>
    </row>
    <row r="57" customFormat="false" ht="15" hidden="false" customHeight="true" outlineLevel="0" collapsed="false">
      <c r="A57" s="9" t="str">
        <f aca="false">IF(Equips_usuari!A57="","",Equips_usuari!A57)</f>
        <v/>
      </c>
      <c r="B57" s="9" t="str">
        <f aca="false">IF(Equips_usuari!B57="","",Equips_usuari!B57)</f>
        <v/>
      </c>
      <c r="C57" s="9" t="str">
        <f aca="false">IF(Equips_usuari!C57="","",Equips_usuari!C57)</f>
        <v/>
      </c>
      <c r="D57" s="9" t="str">
        <f aca="false">IF(Equips_usuari!D57="","",Equips_usuari!D57)</f>
        <v/>
      </c>
      <c r="E57" s="9" t="str">
        <f aca="false">IF(Equips_usuari!F57="","",Equips_usuari!F57)</f>
        <v/>
      </c>
      <c r="F57" s="9" t="str">
        <f aca="false">IF($C57="","",SUMIFS(Resultats_jugadores!$C:$C,Resultats_jugadores!$A:$A,$A57,Resultats_jugadores!$B:$B,$C57))</f>
        <v/>
      </c>
      <c r="G57" s="9" t="str">
        <f aca="false">IF($C57="","",SUMIFS(Resultats_jugadores!$D:$D,Resultats_jugadores!$A:$A,$A57,Resultats_jugadores!$B:$B,$C57))</f>
        <v/>
      </c>
      <c r="H57" s="9" t="str">
        <f aca="false">IF($C57="","",N($F57)-N($G57))</f>
        <v/>
      </c>
      <c r="I57" s="9" t="str">
        <f aca="false">IF($C57="","",IFERROR(INDEX(Partits!$C:$C,MATCH($A57&amp;"_"&amp;$D57,Partits!$D:$D,0)),""))</f>
        <v/>
      </c>
      <c r="J57" s="9" t="str">
        <f aca="false">IF($C57="","",IF(AND($I57="V",N($H57)&gt;0),1.2,1))</f>
        <v/>
      </c>
      <c r="K57" s="9" t="str">
        <f aca="false">IF($C57="","",N($H57)*$J57)</f>
        <v/>
      </c>
      <c r="L57" s="9" t="str">
        <f aca="false">IF($C57="","",IF($E57="SI",2,1))</f>
        <v/>
      </c>
      <c r="M57" s="9" t="str">
        <f aca="false">IF($C57="","",$K57*$L57)</f>
        <v/>
      </c>
    </row>
    <row r="58" customFormat="false" ht="15" hidden="false" customHeight="true" outlineLevel="0" collapsed="false">
      <c r="A58" s="9" t="str">
        <f aca="false">IF(Equips_usuari!A58="","",Equips_usuari!A58)</f>
        <v/>
      </c>
      <c r="B58" s="9" t="str">
        <f aca="false">IF(Equips_usuari!B58="","",Equips_usuari!B58)</f>
        <v/>
      </c>
      <c r="C58" s="9" t="str">
        <f aca="false">IF(Equips_usuari!C58="","",Equips_usuari!C58)</f>
        <v/>
      </c>
      <c r="D58" s="9" t="str">
        <f aca="false">IF(Equips_usuari!D58="","",Equips_usuari!D58)</f>
        <v/>
      </c>
      <c r="E58" s="9" t="str">
        <f aca="false">IF(Equips_usuari!F58="","",Equips_usuari!F58)</f>
        <v/>
      </c>
      <c r="F58" s="9" t="str">
        <f aca="false">IF($C58="","",SUMIFS(Resultats_jugadores!$C:$C,Resultats_jugadores!$A:$A,$A58,Resultats_jugadores!$B:$B,$C58))</f>
        <v/>
      </c>
      <c r="G58" s="9" t="str">
        <f aca="false">IF($C58="","",SUMIFS(Resultats_jugadores!$D:$D,Resultats_jugadores!$A:$A,$A58,Resultats_jugadores!$B:$B,$C58))</f>
        <v/>
      </c>
      <c r="H58" s="9" t="str">
        <f aca="false">IF($C58="","",N($F58)-N($G58))</f>
        <v/>
      </c>
      <c r="I58" s="9" t="str">
        <f aca="false">IF($C58="","",IFERROR(INDEX(Partits!$C:$C,MATCH($A58&amp;"_"&amp;$D58,Partits!$D:$D,0)),""))</f>
        <v/>
      </c>
      <c r="J58" s="9" t="str">
        <f aca="false">IF($C58="","",IF(AND($I58="V",N($H58)&gt;0),1.2,1))</f>
        <v/>
      </c>
      <c r="K58" s="9" t="str">
        <f aca="false">IF($C58="","",N($H58)*$J58)</f>
        <v/>
      </c>
      <c r="L58" s="9" t="str">
        <f aca="false">IF($C58="","",IF($E58="SI",2,1))</f>
        <v/>
      </c>
      <c r="M58" s="9" t="str">
        <f aca="false">IF($C58="","",$K58*$L58)</f>
        <v/>
      </c>
    </row>
    <row r="59" customFormat="false" ht="15" hidden="false" customHeight="true" outlineLevel="0" collapsed="false">
      <c r="A59" s="9" t="str">
        <f aca="false">IF(Equips_usuari!A59="","",Equips_usuari!A59)</f>
        <v/>
      </c>
      <c r="B59" s="9" t="str">
        <f aca="false">IF(Equips_usuari!B59="","",Equips_usuari!B59)</f>
        <v/>
      </c>
      <c r="C59" s="9" t="str">
        <f aca="false">IF(Equips_usuari!C59="","",Equips_usuari!C59)</f>
        <v/>
      </c>
      <c r="D59" s="9" t="str">
        <f aca="false">IF(Equips_usuari!D59="","",Equips_usuari!D59)</f>
        <v/>
      </c>
      <c r="E59" s="9" t="str">
        <f aca="false">IF(Equips_usuari!F59="","",Equips_usuari!F59)</f>
        <v/>
      </c>
      <c r="F59" s="9" t="str">
        <f aca="false">IF($C59="","",SUMIFS(Resultats_jugadores!$C:$C,Resultats_jugadores!$A:$A,$A59,Resultats_jugadores!$B:$B,$C59))</f>
        <v/>
      </c>
      <c r="G59" s="9" t="str">
        <f aca="false">IF($C59="","",SUMIFS(Resultats_jugadores!$D:$D,Resultats_jugadores!$A:$A,$A59,Resultats_jugadores!$B:$B,$C59))</f>
        <v/>
      </c>
      <c r="H59" s="9" t="str">
        <f aca="false">IF($C59="","",N($F59)-N($G59))</f>
        <v/>
      </c>
      <c r="I59" s="9" t="str">
        <f aca="false">IF($C59="","",IFERROR(INDEX(Partits!$C:$C,MATCH($A59&amp;"_"&amp;$D59,Partits!$D:$D,0)),""))</f>
        <v/>
      </c>
      <c r="J59" s="9" t="str">
        <f aca="false">IF($C59="","",IF(AND($I59="V",N($H59)&gt;0),1.2,1))</f>
        <v/>
      </c>
      <c r="K59" s="9" t="str">
        <f aca="false">IF($C59="","",N($H59)*$J59)</f>
        <v/>
      </c>
      <c r="L59" s="9" t="str">
        <f aca="false">IF($C59="","",IF($E59="SI",2,1))</f>
        <v/>
      </c>
      <c r="M59" s="9" t="str">
        <f aca="false">IF($C59="","",$K59*$L59)</f>
        <v/>
      </c>
    </row>
    <row r="60" customFormat="false" ht="15" hidden="false" customHeight="true" outlineLevel="0" collapsed="false">
      <c r="A60" s="9" t="str">
        <f aca="false">IF(Equips_usuari!A60="","",Equips_usuari!A60)</f>
        <v/>
      </c>
      <c r="B60" s="9" t="str">
        <f aca="false">IF(Equips_usuari!B60="","",Equips_usuari!B60)</f>
        <v/>
      </c>
      <c r="C60" s="9" t="str">
        <f aca="false">IF(Equips_usuari!C60="","",Equips_usuari!C60)</f>
        <v/>
      </c>
      <c r="D60" s="9" t="str">
        <f aca="false">IF(Equips_usuari!D60="","",Equips_usuari!D60)</f>
        <v/>
      </c>
      <c r="E60" s="9" t="str">
        <f aca="false">IF(Equips_usuari!F60="","",Equips_usuari!F60)</f>
        <v/>
      </c>
      <c r="F60" s="9" t="str">
        <f aca="false">IF($C60="","",SUMIFS(Resultats_jugadores!$C:$C,Resultats_jugadores!$A:$A,$A60,Resultats_jugadores!$B:$B,$C60))</f>
        <v/>
      </c>
      <c r="G60" s="9" t="str">
        <f aca="false">IF($C60="","",SUMIFS(Resultats_jugadores!$D:$D,Resultats_jugadores!$A:$A,$A60,Resultats_jugadores!$B:$B,$C60))</f>
        <v/>
      </c>
      <c r="H60" s="9" t="str">
        <f aca="false">IF($C60="","",N($F60)-N($G60))</f>
        <v/>
      </c>
      <c r="I60" s="9" t="str">
        <f aca="false">IF($C60="","",IFERROR(INDEX(Partits!$C:$C,MATCH($A60&amp;"_"&amp;$D60,Partits!$D:$D,0)),""))</f>
        <v/>
      </c>
      <c r="J60" s="9" t="str">
        <f aca="false">IF($C60="","",IF(AND($I60="V",N($H60)&gt;0),1.2,1))</f>
        <v/>
      </c>
      <c r="K60" s="9" t="str">
        <f aca="false">IF($C60="","",N($H60)*$J60)</f>
        <v/>
      </c>
      <c r="L60" s="9" t="str">
        <f aca="false">IF($C60="","",IF($E60="SI",2,1))</f>
        <v/>
      </c>
      <c r="M60" s="9" t="str">
        <f aca="false">IF($C60="","",$K60*$L60)</f>
        <v/>
      </c>
    </row>
    <row r="61" customFormat="false" ht="15" hidden="false" customHeight="true" outlineLevel="0" collapsed="false">
      <c r="A61" s="9" t="str">
        <f aca="false">IF(Equips_usuari!A61="","",Equips_usuari!A61)</f>
        <v/>
      </c>
      <c r="B61" s="9" t="str">
        <f aca="false">IF(Equips_usuari!B61="","",Equips_usuari!B61)</f>
        <v/>
      </c>
      <c r="C61" s="9" t="str">
        <f aca="false">IF(Equips_usuari!C61="","",Equips_usuari!C61)</f>
        <v/>
      </c>
      <c r="D61" s="9" t="str">
        <f aca="false">IF(Equips_usuari!D61="","",Equips_usuari!D61)</f>
        <v/>
      </c>
      <c r="E61" s="9" t="str">
        <f aca="false">IF(Equips_usuari!F61="","",Equips_usuari!F61)</f>
        <v/>
      </c>
      <c r="F61" s="9" t="str">
        <f aca="false">IF($C61="","",SUMIFS(Resultats_jugadores!$C:$C,Resultats_jugadores!$A:$A,$A61,Resultats_jugadores!$B:$B,$C61))</f>
        <v/>
      </c>
      <c r="G61" s="9" t="str">
        <f aca="false">IF($C61="","",SUMIFS(Resultats_jugadores!$D:$D,Resultats_jugadores!$A:$A,$A61,Resultats_jugadores!$B:$B,$C61))</f>
        <v/>
      </c>
      <c r="H61" s="9" t="str">
        <f aca="false">IF($C61="","",N($F61)-N($G61))</f>
        <v/>
      </c>
      <c r="I61" s="9" t="str">
        <f aca="false">IF($C61="","",IFERROR(INDEX(Partits!$C:$C,MATCH($A61&amp;"_"&amp;$D61,Partits!$D:$D,0)),""))</f>
        <v/>
      </c>
      <c r="J61" s="9" t="str">
        <f aca="false">IF($C61="","",IF(AND($I61="V",N($H61)&gt;0),1.2,1))</f>
        <v/>
      </c>
      <c r="K61" s="9" t="str">
        <f aca="false">IF($C61="","",N($H61)*$J61)</f>
        <v/>
      </c>
      <c r="L61" s="9" t="str">
        <f aca="false">IF($C61="","",IF($E61="SI",2,1))</f>
        <v/>
      </c>
      <c r="M61" s="9" t="str">
        <f aca="false">IF($C61="","",$K61*$L61)</f>
        <v/>
      </c>
    </row>
    <row r="62" customFormat="false" ht="15" hidden="false" customHeight="true" outlineLevel="0" collapsed="false">
      <c r="A62" s="9" t="str">
        <f aca="false">IF(Equips_usuari!A62="","",Equips_usuari!A62)</f>
        <v/>
      </c>
      <c r="B62" s="9" t="str">
        <f aca="false">IF(Equips_usuari!B62="","",Equips_usuari!B62)</f>
        <v/>
      </c>
      <c r="C62" s="9" t="str">
        <f aca="false">IF(Equips_usuari!C62="","",Equips_usuari!C62)</f>
        <v/>
      </c>
      <c r="D62" s="9" t="str">
        <f aca="false">IF(Equips_usuari!D62="","",Equips_usuari!D62)</f>
        <v/>
      </c>
      <c r="E62" s="9" t="str">
        <f aca="false">IF(Equips_usuari!F62="","",Equips_usuari!F62)</f>
        <v/>
      </c>
      <c r="F62" s="9" t="str">
        <f aca="false">IF($C62="","",SUMIFS(Resultats_jugadores!$C:$C,Resultats_jugadores!$A:$A,$A62,Resultats_jugadores!$B:$B,$C62))</f>
        <v/>
      </c>
      <c r="G62" s="9" t="str">
        <f aca="false">IF($C62="","",SUMIFS(Resultats_jugadores!$D:$D,Resultats_jugadores!$A:$A,$A62,Resultats_jugadores!$B:$B,$C62))</f>
        <v/>
      </c>
      <c r="H62" s="9" t="str">
        <f aca="false">IF($C62="","",N($F62)-N($G62))</f>
        <v/>
      </c>
      <c r="I62" s="9" t="str">
        <f aca="false">IF($C62="","",IFERROR(INDEX(Partits!$C:$C,MATCH($A62&amp;"_"&amp;$D62,Partits!$D:$D,0)),""))</f>
        <v/>
      </c>
      <c r="J62" s="9" t="str">
        <f aca="false">IF($C62="","",IF(AND($I62="V",N($H62)&gt;0),1.2,1))</f>
        <v/>
      </c>
      <c r="K62" s="9" t="str">
        <f aca="false">IF($C62="","",N($H62)*$J62)</f>
        <v/>
      </c>
      <c r="L62" s="9" t="str">
        <f aca="false">IF($C62="","",IF($E62="SI",2,1))</f>
        <v/>
      </c>
      <c r="M62" s="9" t="str">
        <f aca="false">IF($C62="","",$K62*$L62)</f>
        <v/>
      </c>
    </row>
    <row r="63" customFormat="false" ht="15" hidden="false" customHeight="true" outlineLevel="0" collapsed="false">
      <c r="A63" s="9" t="str">
        <f aca="false">IF(Equips_usuari!A63="","",Equips_usuari!A63)</f>
        <v/>
      </c>
      <c r="B63" s="9" t="str">
        <f aca="false">IF(Equips_usuari!B63="","",Equips_usuari!B63)</f>
        <v/>
      </c>
      <c r="C63" s="9" t="str">
        <f aca="false">IF(Equips_usuari!C63="","",Equips_usuari!C63)</f>
        <v/>
      </c>
      <c r="D63" s="9" t="str">
        <f aca="false">IF(Equips_usuari!D63="","",Equips_usuari!D63)</f>
        <v/>
      </c>
      <c r="E63" s="9" t="str">
        <f aca="false">IF(Equips_usuari!F63="","",Equips_usuari!F63)</f>
        <v/>
      </c>
      <c r="F63" s="9" t="str">
        <f aca="false">IF($C63="","",SUMIFS(Resultats_jugadores!$C:$C,Resultats_jugadores!$A:$A,$A63,Resultats_jugadores!$B:$B,$C63))</f>
        <v/>
      </c>
      <c r="G63" s="9" t="str">
        <f aca="false">IF($C63="","",SUMIFS(Resultats_jugadores!$D:$D,Resultats_jugadores!$A:$A,$A63,Resultats_jugadores!$B:$B,$C63))</f>
        <v/>
      </c>
      <c r="H63" s="9" t="str">
        <f aca="false">IF($C63="","",N($F63)-N($G63))</f>
        <v/>
      </c>
      <c r="I63" s="9" t="str">
        <f aca="false">IF($C63="","",IFERROR(INDEX(Partits!$C:$C,MATCH($A63&amp;"_"&amp;$D63,Partits!$D:$D,0)),""))</f>
        <v/>
      </c>
      <c r="J63" s="9" t="str">
        <f aca="false">IF($C63="","",IF(AND($I63="V",N($H63)&gt;0),1.2,1))</f>
        <v/>
      </c>
      <c r="K63" s="9" t="str">
        <f aca="false">IF($C63="","",N($H63)*$J63)</f>
        <v/>
      </c>
      <c r="L63" s="9" t="str">
        <f aca="false">IF($C63="","",IF($E63="SI",2,1))</f>
        <v/>
      </c>
      <c r="M63" s="9" t="str">
        <f aca="false">IF($C63="","",$K63*$L63)</f>
        <v/>
      </c>
    </row>
    <row r="64" customFormat="false" ht="15" hidden="false" customHeight="true" outlineLevel="0" collapsed="false">
      <c r="A64" s="9" t="str">
        <f aca="false">IF(Equips_usuari!A64="","",Equips_usuari!A64)</f>
        <v/>
      </c>
      <c r="B64" s="9" t="str">
        <f aca="false">IF(Equips_usuari!B64="","",Equips_usuari!B64)</f>
        <v/>
      </c>
      <c r="C64" s="9" t="str">
        <f aca="false">IF(Equips_usuari!C64="","",Equips_usuari!C64)</f>
        <v/>
      </c>
      <c r="D64" s="9" t="str">
        <f aca="false">IF(Equips_usuari!D64="","",Equips_usuari!D64)</f>
        <v/>
      </c>
      <c r="E64" s="9" t="str">
        <f aca="false">IF(Equips_usuari!F64="","",Equips_usuari!F64)</f>
        <v/>
      </c>
      <c r="F64" s="9" t="str">
        <f aca="false">IF($C64="","",SUMIFS(Resultats_jugadores!$C:$C,Resultats_jugadores!$A:$A,$A64,Resultats_jugadores!$B:$B,$C64))</f>
        <v/>
      </c>
      <c r="G64" s="9" t="str">
        <f aca="false">IF($C64="","",SUMIFS(Resultats_jugadores!$D:$D,Resultats_jugadores!$A:$A,$A64,Resultats_jugadores!$B:$B,$C64))</f>
        <v/>
      </c>
      <c r="H64" s="9" t="str">
        <f aca="false">IF($C64="","",N($F64)-N($G64))</f>
        <v/>
      </c>
      <c r="I64" s="9" t="str">
        <f aca="false">IF($C64="","",IFERROR(INDEX(Partits!$C:$C,MATCH($A64&amp;"_"&amp;$D64,Partits!$D:$D,0)),""))</f>
        <v/>
      </c>
      <c r="J64" s="9" t="str">
        <f aca="false">IF($C64="","",IF(AND($I64="V",N($H64)&gt;0),1.2,1))</f>
        <v/>
      </c>
      <c r="K64" s="9" t="str">
        <f aca="false">IF($C64="","",N($H64)*$J64)</f>
        <v/>
      </c>
      <c r="L64" s="9" t="str">
        <f aca="false">IF($C64="","",IF($E64="SI",2,1))</f>
        <v/>
      </c>
      <c r="M64" s="9" t="str">
        <f aca="false">IF($C64="","",$K64*$L64)</f>
        <v/>
      </c>
    </row>
    <row r="65" customFormat="false" ht="15" hidden="false" customHeight="true" outlineLevel="0" collapsed="false">
      <c r="A65" s="9" t="str">
        <f aca="false">IF(Equips_usuari!A65="","",Equips_usuari!A65)</f>
        <v/>
      </c>
      <c r="B65" s="9" t="str">
        <f aca="false">IF(Equips_usuari!B65="","",Equips_usuari!B65)</f>
        <v/>
      </c>
      <c r="C65" s="9" t="str">
        <f aca="false">IF(Equips_usuari!C65="","",Equips_usuari!C65)</f>
        <v/>
      </c>
      <c r="D65" s="9" t="str">
        <f aca="false">IF(Equips_usuari!D65="","",Equips_usuari!D65)</f>
        <v/>
      </c>
      <c r="E65" s="9" t="str">
        <f aca="false">IF(Equips_usuari!F65="","",Equips_usuari!F65)</f>
        <v/>
      </c>
      <c r="F65" s="9" t="str">
        <f aca="false">IF($C65="","",SUMIFS(Resultats_jugadores!$C:$C,Resultats_jugadores!$A:$A,$A65,Resultats_jugadores!$B:$B,$C65))</f>
        <v/>
      </c>
      <c r="G65" s="9" t="str">
        <f aca="false">IF($C65="","",SUMIFS(Resultats_jugadores!$D:$D,Resultats_jugadores!$A:$A,$A65,Resultats_jugadores!$B:$B,$C65))</f>
        <v/>
      </c>
      <c r="H65" s="9" t="str">
        <f aca="false">IF($C65="","",N($F65)-N($G65))</f>
        <v/>
      </c>
      <c r="I65" s="9" t="str">
        <f aca="false">IF($C65="","",IFERROR(INDEX(Partits!$C:$C,MATCH($A65&amp;"_"&amp;$D65,Partits!$D:$D,0)),""))</f>
        <v/>
      </c>
      <c r="J65" s="9" t="str">
        <f aca="false">IF($C65="","",IF(AND($I65="V",N($H65)&gt;0),1.2,1))</f>
        <v/>
      </c>
      <c r="K65" s="9" t="str">
        <f aca="false">IF($C65="","",N($H65)*$J65)</f>
        <v/>
      </c>
      <c r="L65" s="9" t="str">
        <f aca="false">IF($C65="","",IF($E65="SI",2,1))</f>
        <v/>
      </c>
      <c r="M65" s="9" t="str">
        <f aca="false">IF($C65="","",$K65*$L65)</f>
        <v/>
      </c>
    </row>
    <row r="66" customFormat="false" ht="15" hidden="false" customHeight="true" outlineLevel="0" collapsed="false">
      <c r="A66" s="9" t="str">
        <f aca="false">IF(Equips_usuari!A66="","",Equips_usuari!A66)</f>
        <v/>
      </c>
      <c r="B66" s="9" t="str">
        <f aca="false">IF(Equips_usuari!B66="","",Equips_usuari!B66)</f>
        <v/>
      </c>
      <c r="C66" s="9" t="str">
        <f aca="false">IF(Equips_usuari!C66="","",Equips_usuari!C66)</f>
        <v/>
      </c>
      <c r="D66" s="9" t="str">
        <f aca="false">IF(Equips_usuari!D66="","",Equips_usuari!D66)</f>
        <v/>
      </c>
      <c r="E66" s="9" t="str">
        <f aca="false">IF(Equips_usuari!F66="","",Equips_usuari!F66)</f>
        <v/>
      </c>
      <c r="F66" s="9" t="str">
        <f aca="false">IF($C66="","",SUMIFS(Resultats_jugadores!$C:$C,Resultats_jugadores!$A:$A,$A66,Resultats_jugadores!$B:$B,$C66))</f>
        <v/>
      </c>
      <c r="G66" s="9" t="str">
        <f aca="false">IF($C66="","",SUMIFS(Resultats_jugadores!$D:$D,Resultats_jugadores!$A:$A,$A66,Resultats_jugadores!$B:$B,$C66))</f>
        <v/>
      </c>
      <c r="H66" s="9" t="str">
        <f aca="false">IF($C66="","",N($F66)-N($G66))</f>
        <v/>
      </c>
      <c r="I66" s="9" t="str">
        <f aca="false">IF($C66="","",IFERROR(INDEX(Partits!$C:$C,MATCH($A66&amp;"_"&amp;$D66,Partits!$D:$D,0)),""))</f>
        <v/>
      </c>
      <c r="J66" s="9" t="str">
        <f aca="false">IF($C66="","",IF(AND($I66="V",N($H66)&gt;0),1.2,1))</f>
        <v/>
      </c>
      <c r="K66" s="9" t="str">
        <f aca="false">IF($C66="","",N($H66)*$J66)</f>
        <v/>
      </c>
      <c r="L66" s="9" t="str">
        <f aca="false">IF($C66="","",IF($E66="SI",2,1))</f>
        <v/>
      </c>
      <c r="M66" s="9" t="str">
        <f aca="false">IF($C66="","",$K66*$L66)</f>
        <v/>
      </c>
    </row>
    <row r="67" customFormat="false" ht="15" hidden="false" customHeight="true" outlineLevel="0" collapsed="false">
      <c r="A67" s="9" t="str">
        <f aca="false">IF(Equips_usuari!A67="","",Equips_usuari!A67)</f>
        <v/>
      </c>
      <c r="B67" s="9" t="str">
        <f aca="false">IF(Equips_usuari!B67="","",Equips_usuari!B67)</f>
        <v/>
      </c>
      <c r="C67" s="9" t="str">
        <f aca="false">IF(Equips_usuari!C67="","",Equips_usuari!C67)</f>
        <v/>
      </c>
      <c r="D67" s="9" t="str">
        <f aca="false">IF(Equips_usuari!D67="","",Equips_usuari!D67)</f>
        <v/>
      </c>
      <c r="E67" s="9" t="str">
        <f aca="false">IF(Equips_usuari!F67="","",Equips_usuari!F67)</f>
        <v/>
      </c>
      <c r="F67" s="9" t="str">
        <f aca="false">IF($C67="","",SUMIFS(Resultats_jugadores!$C:$C,Resultats_jugadores!$A:$A,$A67,Resultats_jugadores!$B:$B,$C67))</f>
        <v/>
      </c>
      <c r="G67" s="9" t="str">
        <f aca="false">IF($C67="","",SUMIFS(Resultats_jugadores!$D:$D,Resultats_jugadores!$A:$A,$A67,Resultats_jugadores!$B:$B,$C67))</f>
        <v/>
      </c>
      <c r="H67" s="9" t="str">
        <f aca="false">IF($C67="","",N($F67)-N($G67))</f>
        <v/>
      </c>
      <c r="I67" s="9" t="str">
        <f aca="false">IF($C67="","",IFERROR(INDEX(Partits!$C:$C,MATCH($A67&amp;"_"&amp;$D67,Partits!$D:$D,0)),""))</f>
        <v/>
      </c>
      <c r="J67" s="9" t="str">
        <f aca="false">IF($C67="","",IF(AND($I67="V",N($H67)&gt;0),1.2,1))</f>
        <v/>
      </c>
      <c r="K67" s="9" t="str">
        <f aca="false">IF($C67="","",N($H67)*$J67)</f>
        <v/>
      </c>
      <c r="L67" s="9" t="str">
        <f aca="false">IF($C67="","",IF($E67="SI",2,1))</f>
        <v/>
      </c>
      <c r="M67" s="9" t="str">
        <f aca="false">IF($C67="","",$K67*$L67)</f>
        <v/>
      </c>
    </row>
    <row r="68" customFormat="false" ht="15" hidden="false" customHeight="true" outlineLevel="0" collapsed="false">
      <c r="A68" s="9" t="str">
        <f aca="false">IF(Equips_usuari!A68="","",Equips_usuari!A68)</f>
        <v/>
      </c>
      <c r="B68" s="9" t="str">
        <f aca="false">IF(Equips_usuari!B68="","",Equips_usuari!B68)</f>
        <v/>
      </c>
      <c r="C68" s="9" t="str">
        <f aca="false">IF(Equips_usuari!C68="","",Equips_usuari!C68)</f>
        <v/>
      </c>
      <c r="D68" s="9" t="str">
        <f aca="false">IF(Equips_usuari!D68="","",Equips_usuari!D68)</f>
        <v/>
      </c>
      <c r="E68" s="9" t="str">
        <f aca="false">IF(Equips_usuari!F68="","",Equips_usuari!F68)</f>
        <v/>
      </c>
      <c r="F68" s="9" t="str">
        <f aca="false">IF($C68="","",SUMIFS(Resultats_jugadores!$C:$C,Resultats_jugadores!$A:$A,$A68,Resultats_jugadores!$B:$B,$C68))</f>
        <v/>
      </c>
      <c r="G68" s="9" t="str">
        <f aca="false">IF($C68="","",SUMIFS(Resultats_jugadores!$D:$D,Resultats_jugadores!$A:$A,$A68,Resultats_jugadores!$B:$B,$C68))</f>
        <v/>
      </c>
      <c r="H68" s="9" t="str">
        <f aca="false">IF($C68="","",N($F68)-N($G68))</f>
        <v/>
      </c>
      <c r="I68" s="9" t="str">
        <f aca="false">IF($C68="","",IFERROR(INDEX(Partits!$C:$C,MATCH($A68&amp;"_"&amp;$D68,Partits!$D:$D,0)),""))</f>
        <v/>
      </c>
      <c r="J68" s="9" t="str">
        <f aca="false">IF($C68="","",IF(AND($I68="V",N($H68)&gt;0),1.2,1))</f>
        <v/>
      </c>
      <c r="K68" s="9" t="str">
        <f aca="false">IF($C68="","",N($H68)*$J68)</f>
        <v/>
      </c>
      <c r="L68" s="9" t="str">
        <f aca="false">IF($C68="","",IF($E68="SI",2,1))</f>
        <v/>
      </c>
      <c r="M68" s="9" t="str">
        <f aca="false">IF($C68="","",$K68*$L68)</f>
        <v/>
      </c>
    </row>
    <row r="69" customFormat="false" ht="15" hidden="false" customHeight="true" outlineLevel="0" collapsed="false">
      <c r="A69" s="9" t="str">
        <f aca="false">IF(Equips_usuari!A69="","",Equips_usuari!A69)</f>
        <v/>
      </c>
      <c r="B69" s="9" t="str">
        <f aca="false">IF(Equips_usuari!B69="","",Equips_usuari!B69)</f>
        <v/>
      </c>
      <c r="C69" s="9" t="str">
        <f aca="false">IF(Equips_usuari!C69="","",Equips_usuari!C69)</f>
        <v/>
      </c>
      <c r="D69" s="9" t="str">
        <f aca="false">IF(Equips_usuari!D69="","",Equips_usuari!D69)</f>
        <v/>
      </c>
      <c r="E69" s="9" t="str">
        <f aca="false">IF(Equips_usuari!F69="","",Equips_usuari!F69)</f>
        <v/>
      </c>
      <c r="F69" s="9" t="str">
        <f aca="false">IF($C69="","",SUMIFS(Resultats_jugadores!$C:$C,Resultats_jugadores!$A:$A,$A69,Resultats_jugadores!$B:$B,$C69))</f>
        <v/>
      </c>
      <c r="G69" s="9" t="str">
        <f aca="false">IF($C69="","",SUMIFS(Resultats_jugadores!$D:$D,Resultats_jugadores!$A:$A,$A69,Resultats_jugadores!$B:$B,$C69))</f>
        <v/>
      </c>
      <c r="H69" s="9" t="str">
        <f aca="false">IF($C69="","",N($F69)-N($G69))</f>
        <v/>
      </c>
      <c r="I69" s="9" t="str">
        <f aca="false">IF($C69="","",IFERROR(INDEX(Partits!$C:$C,MATCH($A69&amp;"_"&amp;$D69,Partits!$D:$D,0)),""))</f>
        <v/>
      </c>
      <c r="J69" s="9" t="str">
        <f aca="false">IF($C69="","",IF(AND($I69="V",N($H69)&gt;0),1.2,1))</f>
        <v/>
      </c>
      <c r="K69" s="9" t="str">
        <f aca="false">IF($C69="","",N($H69)*$J69)</f>
        <v/>
      </c>
      <c r="L69" s="9" t="str">
        <f aca="false">IF($C69="","",IF($E69="SI",2,1))</f>
        <v/>
      </c>
      <c r="M69" s="9" t="str">
        <f aca="false">IF($C69="","",$K69*$L69)</f>
        <v/>
      </c>
    </row>
    <row r="70" customFormat="false" ht="15" hidden="false" customHeight="true" outlineLevel="0" collapsed="false">
      <c r="A70" s="9" t="str">
        <f aca="false">IF(Equips_usuari!A70="","",Equips_usuari!A70)</f>
        <v/>
      </c>
      <c r="B70" s="9" t="str">
        <f aca="false">IF(Equips_usuari!B70="","",Equips_usuari!B70)</f>
        <v/>
      </c>
      <c r="C70" s="9" t="str">
        <f aca="false">IF(Equips_usuari!C70="","",Equips_usuari!C70)</f>
        <v/>
      </c>
      <c r="D70" s="9" t="str">
        <f aca="false">IF(Equips_usuari!D70="","",Equips_usuari!D70)</f>
        <v/>
      </c>
      <c r="E70" s="9" t="str">
        <f aca="false">IF(Equips_usuari!F70="","",Equips_usuari!F70)</f>
        <v/>
      </c>
      <c r="F70" s="9" t="str">
        <f aca="false">IF($C70="","",SUMIFS(Resultats_jugadores!$C:$C,Resultats_jugadores!$A:$A,$A70,Resultats_jugadores!$B:$B,$C70))</f>
        <v/>
      </c>
      <c r="G70" s="9" t="str">
        <f aca="false">IF($C70="","",SUMIFS(Resultats_jugadores!$D:$D,Resultats_jugadores!$A:$A,$A70,Resultats_jugadores!$B:$B,$C70))</f>
        <v/>
      </c>
      <c r="H70" s="9" t="str">
        <f aca="false">IF($C70="","",N($F70)-N($G70))</f>
        <v/>
      </c>
      <c r="I70" s="9" t="str">
        <f aca="false">IF($C70="","",IFERROR(INDEX(Partits!$C:$C,MATCH($A70&amp;"_"&amp;$D70,Partits!$D:$D,0)),""))</f>
        <v/>
      </c>
      <c r="J70" s="9" t="str">
        <f aca="false">IF($C70="","",IF(AND($I70="V",N($H70)&gt;0),1.2,1))</f>
        <v/>
      </c>
      <c r="K70" s="9" t="str">
        <f aca="false">IF($C70="","",N($H70)*$J70)</f>
        <v/>
      </c>
      <c r="L70" s="9" t="str">
        <f aca="false">IF($C70="","",IF($E70="SI",2,1))</f>
        <v/>
      </c>
      <c r="M70" s="9" t="str">
        <f aca="false">IF($C70="","",$K70*$L70)</f>
        <v/>
      </c>
    </row>
    <row r="71" customFormat="false" ht="15" hidden="false" customHeight="true" outlineLevel="0" collapsed="false">
      <c r="A71" s="9" t="str">
        <f aca="false">IF(Equips_usuari!A71="","",Equips_usuari!A71)</f>
        <v/>
      </c>
      <c r="B71" s="9" t="str">
        <f aca="false">IF(Equips_usuari!B71="","",Equips_usuari!B71)</f>
        <v/>
      </c>
      <c r="C71" s="9" t="str">
        <f aca="false">IF(Equips_usuari!C71="","",Equips_usuari!C71)</f>
        <v/>
      </c>
      <c r="D71" s="9" t="str">
        <f aca="false">IF(Equips_usuari!D71="","",Equips_usuari!D71)</f>
        <v/>
      </c>
      <c r="E71" s="9" t="str">
        <f aca="false">IF(Equips_usuari!F71="","",Equips_usuari!F71)</f>
        <v/>
      </c>
      <c r="F71" s="9" t="str">
        <f aca="false">IF($C71="","",SUMIFS(Resultats_jugadores!$C:$C,Resultats_jugadores!$A:$A,$A71,Resultats_jugadores!$B:$B,$C71))</f>
        <v/>
      </c>
      <c r="G71" s="9" t="str">
        <f aca="false">IF($C71="","",SUMIFS(Resultats_jugadores!$D:$D,Resultats_jugadores!$A:$A,$A71,Resultats_jugadores!$B:$B,$C71))</f>
        <v/>
      </c>
      <c r="H71" s="9" t="str">
        <f aca="false">IF($C71="","",N($F71)-N($G71))</f>
        <v/>
      </c>
      <c r="I71" s="9" t="str">
        <f aca="false">IF($C71="","",IFERROR(INDEX(Partits!$C:$C,MATCH($A71&amp;"_"&amp;$D71,Partits!$D:$D,0)),""))</f>
        <v/>
      </c>
      <c r="J71" s="9" t="str">
        <f aca="false">IF($C71="","",IF(AND($I71="V",N($H71)&gt;0),1.2,1))</f>
        <v/>
      </c>
      <c r="K71" s="9" t="str">
        <f aca="false">IF($C71="","",N($H71)*$J71)</f>
        <v/>
      </c>
      <c r="L71" s="9" t="str">
        <f aca="false">IF($C71="","",IF($E71="SI",2,1))</f>
        <v/>
      </c>
      <c r="M71" s="9" t="str">
        <f aca="false">IF($C71="","",$K71*$L71)</f>
        <v/>
      </c>
    </row>
    <row r="72" customFormat="false" ht="15" hidden="false" customHeight="true" outlineLevel="0" collapsed="false">
      <c r="A72" s="9" t="str">
        <f aca="false">IF(Equips_usuari!A72="","",Equips_usuari!A72)</f>
        <v/>
      </c>
      <c r="B72" s="9" t="str">
        <f aca="false">IF(Equips_usuari!B72="","",Equips_usuari!B72)</f>
        <v/>
      </c>
      <c r="C72" s="9" t="str">
        <f aca="false">IF(Equips_usuari!C72="","",Equips_usuari!C72)</f>
        <v/>
      </c>
      <c r="D72" s="9" t="str">
        <f aca="false">IF(Equips_usuari!D72="","",Equips_usuari!D72)</f>
        <v/>
      </c>
      <c r="E72" s="9" t="str">
        <f aca="false">IF(Equips_usuari!F72="","",Equips_usuari!F72)</f>
        <v/>
      </c>
      <c r="F72" s="9" t="str">
        <f aca="false">IF($C72="","",SUMIFS(Resultats_jugadores!$C:$C,Resultats_jugadores!$A:$A,$A72,Resultats_jugadores!$B:$B,$C72))</f>
        <v/>
      </c>
      <c r="G72" s="9" t="str">
        <f aca="false">IF($C72="","",SUMIFS(Resultats_jugadores!$D:$D,Resultats_jugadores!$A:$A,$A72,Resultats_jugadores!$B:$B,$C72))</f>
        <v/>
      </c>
      <c r="H72" s="9" t="str">
        <f aca="false">IF($C72="","",N($F72)-N($G72))</f>
        <v/>
      </c>
      <c r="I72" s="9" t="str">
        <f aca="false">IF($C72="","",IFERROR(INDEX(Partits!$C:$C,MATCH($A72&amp;"_"&amp;$D72,Partits!$D:$D,0)),""))</f>
        <v/>
      </c>
      <c r="J72" s="9" t="str">
        <f aca="false">IF($C72="","",IF(AND($I72="V",N($H72)&gt;0),1.2,1))</f>
        <v/>
      </c>
      <c r="K72" s="9" t="str">
        <f aca="false">IF($C72="","",N($H72)*$J72)</f>
        <v/>
      </c>
      <c r="L72" s="9" t="str">
        <f aca="false">IF($C72="","",IF($E72="SI",2,1))</f>
        <v/>
      </c>
      <c r="M72" s="9" t="str">
        <f aca="false">IF($C72="","",$K72*$L72)</f>
        <v/>
      </c>
    </row>
    <row r="73" customFormat="false" ht="15" hidden="false" customHeight="true" outlineLevel="0" collapsed="false">
      <c r="A73" s="9" t="str">
        <f aca="false">IF(Equips_usuari!A73="","",Equips_usuari!A73)</f>
        <v/>
      </c>
      <c r="B73" s="9" t="str">
        <f aca="false">IF(Equips_usuari!B73="","",Equips_usuari!B73)</f>
        <v/>
      </c>
      <c r="C73" s="9" t="str">
        <f aca="false">IF(Equips_usuari!C73="","",Equips_usuari!C73)</f>
        <v/>
      </c>
      <c r="D73" s="9" t="str">
        <f aca="false">IF(Equips_usuari!D73="","",Equips_usuari!D73)</f>
        <v/>
      </c>
      <c r="E73" s="9" t="str">
        <f aca="false">IF(Equips_usuari!F73="","",Equips_usuari!F73)</f>
        <v/>
      </c>
      <c r="F73" s="9" t="str">
        <f aca="false">IF($C73="","",SUMIFS(Resultats_jugadores!$C:$C,Resultats_jugadores!$A:$A,$A73,Resultats_jugadores!$B:$B,$C73))</f>
        <v/>
      </c>
      <c r="G73" s="9" t="str">
        <f aca="false">IF($C73="","",SUMIFS(Resultats_jugadores!$D:$D,Resultats_jugadores!$A:$A,$A73,Resultats_jugadores!$B:$B,$C73))</f>
        <v/>
      </c>
      <c r="H73" s="9" t="str">
        <f aca="false">IF($C73="","",N($F73)-N($G73))</f>
        <v/>
      </c>
      <c r="I73" s="9" t="str">
        <f aca="false">IF($C73="","",IFERROR(INDEX(Partits!$C:$C,MATCH($A73&amp;"_"&amp;$D73,Partits!$D:$D,0)),""))</f>
        <v/>
      </c>
      <c r="J73" s="9" t="str">
        <f aca="false">IF($C73="","",IF(AND($I73="V",N($H73)&gt;0),1.2,1))</f>
        <v/>
      </c>
      <c r="K73" s="9" t="str">
        <f aca="false">IF($C73="","",N($H73)*$J73)</f>
        <v/>
      </c>
      <c r="L73" s="9" t="str">
        <f aca="false">IF($C73="","",IF($E73="SI",2,1))</f>
        <v/>
      </c>
      <c r="M73" s="9" t="str">
        <f aca="false">IF($C73="","",$K73*$L73)</f>
        <v/>
      </c>
    </row>
    <row r="74" customFormat="false" ht="15" hidden="false" customHeight="true" outlineLevel="0" collapsed="false">
      <c r="A74" s="9" t="str">
        <f aca="false">IF(Equips_usuari!A74="","",Equips_usuari!A74)</f>
        <v/>
      </c>
      <c r="B74" s="9" t="str">
        <f aca="false">IF(Equips_usuari!B74="","",Equips_usuari!B74)</f>
        <v/>
      </c>
      <c r="C74" s="9" t="str">
        <f aca="false">IF(Equips_usuari!C74="","",Equips_usuari!C74)</f>
        <v/>
      </c>
      <c r="D74" s="9" t="str">
        <f aca="false">IF(Equips_usuari!D74="","",Equips_usuari!D74)</f>
        <v/>
      </c>
      <c r="E74" s="9" t="str">
        <f aca="false">IF(Equips_usuari!F74="","",Equips_usuari!F74)</f>
        <v/>
      </c>
      <c r="F74" s="9" t="str">
        <f aca="false">IF($C74="","",SUMIFS(Resultats_jugadores!$C:$C,Resultats_jugadores!$A:$A,$A74,Resultats_jugadores!$B:$B,$C74))</f>
        <v/>
      </c>
      <c r="G74" s="9" t="str">
        <f aca="false">IF($C74="","",SUMIFS(Resultats_jugadores!$D:$D,Resultats_jugadores!$A:$A,$A74,Resultats_jugadores!$B:$B,$C74))</f>
        <v/>
      </c>
      <c r="H74" s="9" t="str">
        <f aca="false">IF($C74="","",N($F74)-N($G74))</f>
        <v/>
      </c>
      <c r="I74" s="9" t="str">
        <f aca="false">IF($C74="","",IFERROR(INDEX(Partits!$C:$C,MATCH($A74&amp;"_"&amp;$D74,Partits!$D:$D,0)),""))</f>
        <v/>
      </c>
      <c r="J74" s="9" t="str">
        <f aca="false">IF($C74="","",IF(AND($I74="V",N($H74)&gt;0),1.2,1))</f>
        <v/>
      </c>
      <c r="K74" s="9" t="str">
        <f aca="false">IF($C74="","",N($H74)*$J74)</f>
        <v/>
      </c>
      <c r="L74" s="9" t="str">
        <f aca="false">IF($C74="","",IF($E74="SI",2,1))</f>
        <v/>
      </c>
      <c r="M74" s="9" t="str">
        <f aca="false">IF($C74="","",$K74*$L74)</f>
        <v/>
      </c>
    </row>
    <row r="75" customFormat="false" ht="15" hidden="false" customHeight="true" outlineLevel="0" collapsed="false">
      <c r="A75" s="9" t="str">
        <f aca="false">IF(Equips_usuari!A75="","",Equips_usuari!A75)</f>
        <v/>
      </c>
      <c r="B75" s="9" t="str">
        <f aca="false">IF(Equips_usuari!B75="","",Equips_usuari!B75)</f>
        <v/>
      </c>
      <c r="C75" s="9" t="str">
        <f aca="false">IF(Equips_usuari!C75="","",Equips_usuari!C75)</f>
        <v/>
      </c>
      <c r="D75" s="9" t="str">
        <f aca="false">IF(Equips_usuari!D75="","",Equips_usuari!D75)</f>
        <v/>
      </c>
      <c r="E75" s="9" t="str">
        <f aca="false">IF(Equips_usuari!F75="","",Equips_usuari!F75)</f>
        <v/>
      </c>
      <c r="F75" s="9" t="str">
        <f aca="false">IF($C75="","",SUMIFS(Resultats_jugadores!$C:$C,Resultats_jugadores!$A:$A,$A75,Resultats_jugadores!$B:$B,$C75))</f>
        <v/>
      </c>
      <c r="G75" s="9" t="str">
        <f aca="false">IF($C75="","",SUMIFS(Resultats_jugadores!$D:$D,Resultats_jugadores!$A:$A,$A75,Resultats_jugadores!$B:$B,$C75))</f>
        <v/>
      </c>
      <c r="H75" s="9" t="str">
        <f aca="false">IF($C75="","",N($F75)-N($G75))</f>
        <v/>
      </c>
      <c r="I75" s="9" t="str">
        <f aca="false">IF($C75="","",IFERROR(INDEX(Partits!$C:$C,MATCH($A75&amp;"_"&amp;$D75,Partits!$D:$D,0)),""))</f>
        <v/>
      </c>
      <c r="J75" s="9" t="str">
        <f aca="false">IF($C75="","",IF(AND($I75="V",N($H75)&gt;0),1.2,1))</f>
        <v/>
      </c>
      <c r="K75" s="9" t="str">
        <f aca="false">IF($C75="","",N($H75)*$J75)</f>
        <v/>
      </c>
      <c r="L75" s="9" t="str">
        <f aca="false">IF($C75="","",IF($E75="SI",2,1))</f>
        <v/>
      </c>
      <c r="M75" s="9" t="str">
        <f aca="false">IF($C75="","",$K75*$L75)</f>
        <v/>
      </c>
    </row>
    <row r="76" customFormat="false" ht="15" hidden="false" customHeight="true" outlineLevel="0" collapsed="false">
      <c r="A76" s="9" t="str">
        <f aca="false">IF(Equips_usuari!A76="","",Equips_usuari!A76)</f>
        <v/>
      </c>
      <c r="B76" s="9" t="str">
        <f aca="false">IF(Equips_usuari!B76="","",Equips_usuari!B76)</f>
        <v/>
      </c>
      <c r="C76" s="9" t="str">
        <f aca="false">IF(Equips_usuari!C76="","",Equips_usuari!C76)</f>
        <v/>
      </c>
      <c r="D76" s="9" t="str">
        <f aca="false">IF(Equips_usuari!D76="","",Equips_usuari!D76)</f>
        <v/>
      </c>
      <c r="E76" s="9" t="str">
        <f aca="false">IF(Equips_usuari!F76="","",Equips_usuari!F76)</f>
        <v/>
      </c>
      <c r="F76" s="9" t="str">
        <f aca="false">IF($C76="","",SUMIFS(Resultats_jugadores!$C:$C,Resultats_jugadores!$A:$A,$A76,Resultats_jugadores!$B:$B,$C76))</f>
        <v/>
      </c>
      <c r="G76" s="9" t="str">
        <f aca="false">IF($C76="","",SUMIFS(Resultats_jugadores!$D:$D,Resultats_jugadores!$A:$A,$A76,Resultats_jugadores!$B:$B,$C76))</f>
        <v/>
      </c>
      <c r="H76" s="9" t="str">
        <f aca="false">IF($C76="","",N($F76)-N($G76))</f>
        <v/>
      </c>
      <c r="I76" s="9" t="str">
        <f aca="false">IF($C76="","",IFERROR(INDEX(Partits!$C:$C,MATCH($A76&amp;"_"&amp;$D76,Partits!$D:$D,0)),""))</f>
        <v/>
      </c>
      <c r="J76" s="9" t="str">
        <f aca="false">IF($C76="","",IF(AND($I76="V",N($H76)&gt;0),1.2,1))</f>
        <v/>
      </c>
      <c r="K76" s="9" t="str">
        <f aca="false">IF($C76="","",N($H76)*$J76)</f>
        <v/>
      </c>
      <c r="L76" s="9" t="str">
        <f aca="false">IF($C76="","",IF($E76="SI",2,1))</f>
        <v/>
      </c>
      <c r="M76" s="9" t="str">
        <f aca="false">IF($C76="","",$K76*$L76)</f>
        <v/>
      </c>
    </row>
    <row r="77" customFormat="false" ht="15" hidden="false" customHeight="true" outlineLevel="0" collapsed="false">
      <c r="A77" s="9" t="str">
        <f aca="false">IF(Equips_usuari!A77="","",Equips_usuari!A77)</f>
        <v/>
      </c>
      <c r="B77" s="9" t="str">
        <f aca="false">IF(Equips_usuari!B77="","",Equips_usuari!B77)</f>
        <v/>
      </c>
      <c r="C77" s="9" t="str">
        <f aca="false">IF(Equips_usuari!C77="","",Equips_usuari!C77)</f>
        <v/>
      </c>
      <c r="D77" s="9" t="str">
        <f aca="false">IF(Equips_usuari!D77="","",Equips_usuari!D77)</f>
        <v/>
      </c>
      <c r="E77" s="9" t="str">
        <f aca="false">IF(Equips_usuari!F77="","",Equips_usuari!F77)</f>
        <v/>
      </c>
      <c r="F77" s="9" t="str">
        <f aca="false">IF($C77="","",SUMIFS(Resultats_jugadores!$C:$C,Resultats_jugadores!$A:$A,$A77,Resultats_jugadores!$B:$B,$C77))</f>
        <v/>
      </c>
      <c r="G77" s="9" t="str">
        <f aca="false">IF($C77="","",SUMIFS(Resultats_jugadores!$D:$D,Resultats_jugadores!$A:$A,$A77,Resultats_jugadores!$B:$B,$C77))</f>
        <v/>
      </c>
      <c r="H77" s="9" t="str">
        <f aca="false">IF($C77="","",N($F77)-N($G77))</f>
        <v/>
      </c>
      <c r="I77" s="9" t="str">
        <f aca="false">IF($C77="","",IFERROR(INDEX(Partits!$C:$C,MATCH($A77&amp;"_"&amp;$D77,Partits!$D:$D,0)),""))</f>
        <v/>
      </c>
      <c r="J77" s="9" t="str">
        <f aca="false">IF($C77="","",IF(AND($I77="V",N($H77)&gt;0),1.2,1))</f>
        <v/>
      </c>
      <c r="K77" s="9" t="str">
        <f aca="false">IF($C77="","",N($H77)*$J77)</f>
        <v/>
      </c>
      <c r="L77" s="9" t="str">
        <f aca="false">IF($C77="","",IF($E77="SI",2,1))</f>
        <v/>
      </c>
      <c r="M77" s="9" t="str">
        <f aca="false">IF($C77="","",$K77*$L77)</f>
        <v/>
      </c>
    </row>
    <row r="78" customFormat="false" ht="15" hidden="false" customHeight="true" outlineLevel="0" collapsed="false">
      <c r="A78" s="9" t="str">
        <f aca="false">IF(Equips_usuari!A78="","",Equips_usuari!A78)</f>
        <v/>
      </c>
      <c r="B78" s="9" t="str">
        <f aca="false">IF(Equips_usuari!B78="","",Equips_usuari!B78)</f>
        <v/>
      </c>
      <c r="C78" s="9" t="str">
        <f aca="false">IF(Equips_usuari!C78="","",Equips_usuari!C78)</f>
        <v/>
      </c>
      <c r="D78" s="9" t="str">
        <f aca="false">IF(Equips_usuari!D78="","",Equips_usuari!D78)</f>
        <v/>
      </c>
      <c r="E78" s="9" t="str">
        <f aca="false">IF(Equips_usuari!F78="","",Equips_usuari!F78)</f>
        <v/>
      </c>
      <c r="F78" s="9" t="str">
        <f aca="false">IF($C78="","",SUMIFS(Resultats_jugadores!$C:$C,Resultats_jugadores!$A:$A,$A78,Resultats_jugadores!$B:$B,$C78))</f>
        <v/>
      </c>
      <c r="G78" s="9" t="str">
        <f aca="false">IF($C78="","",SUMIFS(Resultats_jugadores!$D:$D,Resultats_jugadores!$A:$A,$A78,Resultats_jugadores!$B:$B,$C78))</f>
        <v/>
      </c>
      <c r="H78" s="9" t="str">
        <f aca="false">IF($C78="","",N($F78)-N($G78))</f>
        <v/>
      </c>
      <c r="I78" s="9" t="str">
        <f aca="false">IF($C78="","",IFERROR(INDEX(Partits!$C:$C,MATCH($A78&amp;"_"&amp;$D78,Partits!$D:$D,0)),""))</f>
        <v/>
      </c>
      <c r="J78" s="9" t="str">
        <f aca="false">IF($C78="","",IF(AND($I78="V",N($H78)&gt;0),1.2,1))</f>
        <v/>
      </c>
      <c r="K78" s="9" t="str">
        <f aca="false">IF($C78="","",N($H78)*$J78)</f>
        <v/>
      </c>
      <c r="L78" s="9" t="str">
        <f aca="false">IF($C78="","",IF($E78="SI",2,1))</f>
        <v/>
      </c>
      <c r="M78" s="9" t="str">
        <f aca="false">IF($C78="","",$K78*$L78)</f>
        <v/>
      </c>
    </row>
    <row r="79" customFormat="false" ht="15" hidden="false" customHeight="true" outlineLevel="0" collapsed="false">
      <c r="A79" s="9" t="str">
        <f aca="false">IF(Equips_usuari!A79="","",Equips_usuari!A79)</f>
        <v/>
      </c>
      <c r="B79" s="9" t="str">
        <f aca="false">IF(Equips_usuari!B79="","",Equips_usuari!B79)</f>
        <v/>
      </c>
      <c r="C79" s="9" t="str">
        <f aca="false">IF(Equips_usuari!C79="","",Equips_usuari!C79)</f>
        <v/>
      </c>
      <c r="D79" s="9" t="str">
        <f aca="false">IF(Equips_usuari!D79="","",Equips_usuari!D79)</f>
        <v/>
      </c>
      <c r="E79" s="9" t="str">
        <f aca="false">IF(Equips_usuari!F79="","",Equips_usuari!F79)</f>
        <v/>
      </c>
      <c r="F79" s="9" t="str">
        <f aca="false">IF($C79="","",SUMIFS(Resultats_jugadores!$C:$C,Resultats_jugadores!$A:$A,$A79,Resultats_jugadores!$B:$B,$C79))</f>
        <v/>
      </c>
      <c r="G79" s="9" t="str">
        <f aca="false">IF($C79="","",SUMIFS(Resultats_jugadores!$D:$D,Resultats_jugadores!$A:$A,$A79,Resultats_jugadores!$B:$B,$C79))</f>
        <v/>
      </c>
      <c r="H79" s="9" t="str">
        <f aca="false">IF($C79="","",N($F79)-N($G79))</f>
        <v/>
      </c>
      <c r="I79" s="9" t="str">
        <f aca="false">IF($C79="","",IFERROR(INDEX(Partits!$C:$C,MATCH($A79&amp;"_"&amp;$D79,Partits!$D:$D,0)),""))</f>
        <v/>
      </c>
      <c r="J79" s="9" t="str">
        <f aca="false">IF($C79="","",IF(AND($I79="V",N($H79)&gt;0),1.2,1))</f>
        <v/>
      </c>
      <c r="K79" s="9" t="str">
        <f aca="false">IF($C79="","",N($H79)*$J79)</f>
        <v/>
      </c>
      <c r="L79" s="9" t="str">
        <f aca="false">IF($C79="","",IF($E79="SI",2,1))</f>
        <v/>
      </c>
      <c r="M79" s="9" t="str">
        <f aca="false">IF($C79="","",$K79*$L79)</f>
        <v/>
      </c>
    </row>
    <row r="80" customFormat="false" ht="15" hidden="false" customHeight="true" outlineLevel="0" collapsed="false">
      <c r="A80" s="9" t="str">
        <f aca="false">IF(Equips_usuari!A80="","",Equips_usuari!A80)</f>
        <v/>
      </c>
      <c r="B80" s="9" t="str">
        <f aca="false">IF(Equips_usuari!B80="","",Equips_usuari!B80)</f>
        <v/>
      </c>
      <c r="C80" s="9" t="str">
        <f aca="false">IF(Equips_usuari!C80="","",Equips_usuari!C80)</f>
        <v/>
      </c>
      <c r="D80" s="9" t="str">
        <f aca="false">IF(Equips_usuari!D80="","",Equips_usuari!D80)</f>
        <v/>
      </c>
      <c r="E80" s="9" t="str">
        <f aca="false">IF(Equips_usuari!F80="","",Equips_usuari!F80)</f>
        <v/>
      </c>
      <c r="F80" s="9" t="str">
        <f aca="false">IF($C80="","",SUMIFS(Resultats_jugadores!$C:$C,Resultats_jugadores!$A:$A,$A80,Resultats_jugadores!$B:$B,$C80))</f>
        <v/>
      </c>
      <c r="G80" s="9" t="str">
        <f aca="false">IF($C80="","",SUMIFS(Resultats_jugadores!$D:$D,Resultats_jugadores!$A:$A,$A80,Resultats_jugadores!$B:$B,$C80))</f>
        <v/>
      </c>
      <c r="H80" s="9" t="str">
        <f aca="false">IF($C80="","",N($F80)-N($G80))</f>
        <v/>
      </c>
      <c r="I80" s="9" t="str">
        <f aca="false">IF($C80="","",IFERROR(INDEX(Partits!$C:$C,MATCH($A80&amp;"_"&amp;$D80,Partits!$D:$D,0)),""))</f>
        <v/>
      </c>
      <c r="J80" s="9" t="str">
        <f aca="false">IF($C80="","",IF(AND($I80="V",N($H80)&gt;0),1.2,1))</f>
        <v/>
      </c>
      <c r="K80" s="9" t="str">
        <f aca="false">IF($C80="","",N($H80)*$J80)</f>
        <v/>
      </c>
      <c r="L80" s="9" t="str">
        <f aca="false">IF($C80="","",IF($E80="SI",2,1))</f>
        <v/>
      </c>
      <c r="M80" s="9" t="str">
        <f aca="false">IF($C80="","",$K80*$L80)</f>
        <v/>
      </c>
    </row>
    <row r="81" customFormat="false" ht="15" hidden="false" customHeight="true" outlineLevel="0" collapsed="false">
      <c r="A81" s="9" t="str">
        <f aca="false">IF(Equips_usuari!A81="","",Equips_usuari!A81)</f>
        <v/>
      </c>
      <c r="B81" s="9" t="str">
        <f aca="false">IF(Equips_usuari!B81="","",Equips_usuari!B81)</f>
        <v/>
      </c>
      <c r="C81" s="9" t="str">
        <f aca="false">IF(Equips_usuari!C81="","",Equips_usuari!C81)</f>
        <v/>
      </c>
      <c r="D81" s="9" t="str">
        <f aca="false">IF(Equips_usuari!D81="","",Equips_usuari!D81)</f>
        <v/>
      </c>
      <c r="E81" s="9" t="str">
        <f aca="false">IF(Equips_usuari!F81="","",Equips_usuari!F81)</f>
        <v/>
      </c>
      <c r="F81" s="9" t="str">
        <f aca="false">IF($C81="","",SUMIFS(Resultats_jugadores!$C:$C,Resultats_jugadores!$A:$A,$A81,Resultats_jugadores!$B:$B,$C81))</f>
        <v/>
      </c>
      <c r="G81" s="9" t="str">
        <f aca="false">IF($C81="","",SUMIFS(Resultats_jugadores!$D:$D,Resultats_jugadores!$A:$A,$A81,Resultats_jugadores!$B:$B,$C81))</f>
        <v/>
      </c>
      <c r="H81" s="9" t="str">
        <f aca="false">IF($C81="","",N($F81)-N($G81))</f>
        <v/>
      </c>
      <c r="I81" s="9" t="str">
        <f aca="false">IF($C81="","",IFERROR(INDEX(Partits!$C:$C,MATCH($A81&amp;"_"&amp;$D81,Partits!$D:$D,0)),""))</f>
        <v/>
      </c>
      <c r="J81" s="9" t="str">
        <f aca="false">IF($C81="","",IF(AND($I81="V",N($H81)&gt;0),1.2,1))</f>
        <v/>
      </c>
      <c r="K81" s="9" t="str">
        <f aca="false">IF($C81="","",N($H81)*$J81)</f>
        <v/>
      </c>
      <c r="L81" s="9" t="str">
        <f aca="false">IF($C81="","",IF($E81="SI",2,1))</f>
        <v/>
      </c>
      <c r="M81" s="9" t="str">
        <f aca="false">IF($C81="","",$K81*$L81)</f>
        <v/>
      </c>
    </row>
    <row r="82" customFormat="false" ht="15" hidden="false" customHeight="true" outlineLevel="0" collapsed="false">
      <c r="A82" s="9" t="str">
        <f aca="false">IF(Equips_usuari!A82="","",Equips_usuari!A82)</f>
        <v/>
      </c>
      <c r="B82" s="9" t="str">
        <f aca="false">IF(Equips_usuari!B82="","",Equips_usuari!B82)</f>
        <v/>
      </c>
      <c r="C82" s="9" t="str">
        <f aca="false">IF(Equips_usuari!C82="","",Equips_usuari!C82)</f>
        <v/>
      </c>
      <c r="D82" s="9" t="str">
        <f aca="false">IF(Equips_usuari!D82="","",Equips_usuari!D82)</f>
        <v/>
      </c>
      <c r="E82" s="9" t="str">
        <f aca="false">IF(Equips_usuari!F82="","",Equips_usuari!F82)</f>
        <v/>
      </c>
      <c r="F82" s="9" t="str">
        <f aca="false">IF($C82="","",SUMIFS(Resultats_jugadores!$C:$C,Resultats_jugadores!$A:$A,$A82,Resultats_jugadores!$B:$B,$C82))</f>
        <v/>
      </c>
      <c r="G82" s="9" t="str">
        <f aca="false">IF($C82="","",SUMIFS(Resultats_jugadores!$D:$D,Resultats_jugadores!$A:$A,$A82,Resultats_jugadores!$B:$B,$C82))</f>
        <v/>
      </c>
      <c r="H82" s="9" t="str">
        <f aca="false">IF($C82="","",N($F82)-N($G82))</f>
        <v/>
      </c>
      <c r="I82" s="9" t="str">
        <f aca="false">IF($C82="","",IFERROR(INDEX(Partits!$C:$C,MATCH($A82&amp;"_"&amp;$D82,Partits!$D:$D,0)),""))</f>
        <v/>
      </c>
      <c r="J82" s="9" t="str">
        <f aca="false">IF($C82="","",IF(AND($I82="V",N($H82)&gt;0),1.2,1))</f>
        <v/>
      </c>
      <c r="K82" s="9" t="str">
        <f aca="false">IF($C82="","",N($H82)*$J82)</f>
        <v/>
      </c>
      <c r="L82" s="9" t="str">
        <f aca="false">IF($C82="","",IF($E82="SI",2,1))</f>
        <v/>
      </c>
      <c r="M82" s="9" t="str">
        <f aca="false">IF($C82="","",$K82*$L82)</f>
        <v/>
      </c>
    </row>
    <row r="83" customFormat="false" ht="15" hidden="false" customHeight="true" outlineLevel="0" collapsed="false">
      <c r="A83" s="9" t="str">
        <f aca="false">IF(Equips_usuari!A83="","",Equips_usuari!A83)</f>
        <v/>
      </c>
      <c r="B83" s="9" t="str">
        <f aca="false">IF(Equips_usuari!B83="","",Equips_usuari!B83)</f>
        <v/>
      </c>
      <c r="C83" s="9" t="str">
        <f aca="false">IF(Equips_usuari!C83="","",Equips_usuari!C83)</f>
        <v/>
      </c>
      <c r="D83" s="9" t="str">
        <f aca="false">IF(Equips_usuari!D83="","",Equips_usuari!D83)</f>
        <v/>
      </c>
      <c r="E83" s="9" t="str">
        <f aca="false">IF(Equips_usuari!F83="","",Equips_usuari!F83)</f>
        <v/>
      </c>
      <c r="F83" s="9" t="str">
        <f aca="false">IF($C83="","",SUMIFS(Resultats_jugadores!$C:$C,Resultats_jugadores!$A:$A,$A83,Resultats_jugadores!$B:$B,$C83))</f>
        <v/>
      </c>
      <c r="G83" s="9" t="str">
        <f aca="false">IF($C83="","",SUMIFS(Resultats_jugadores!$D:$D,Resultats_jugadores!$A:$A,$A83,Resultats_jugadores!$B:$B,$C83))</f>
        <v/>
      </c>
      <c r="H83" s="9" t="str">
        <f aca="false">IF($C83="","",N($F83)-N($G83))</f>
        <v/>
      </c>
      <c r="I83" s="9" t="str">
        <f aca="false">IF($C83="","",IFERROR(INDEX(Partits!$C:$C,MATCH($A83&amp;"_"&amp;$D83,Partits!$D:$D,0)),""))</f>
        <v/>
      </c>
      <c r="J83" s="9" t="str">
        <f aca="false">IF($C83="","",IF(AND($I83="V",N($H83)&gt;0),1.2,1))</f>
        <v/>
      </c>
      <c r="K83" s="9" t="str">
        <f aca="false">IF($C83="","",N($H83)*$J83)</f>
        <v/>
      </c>
      <c r="L83" s="9" t="str">
        <f aca="false">IF($C83="","",IF($E83="SI",2,1))</f>
        <v/>
      </c>
      <c r="M83" s="9" t="str">
        <f aca="false">IF($C83="","",$K83*$L83)</f>
        <v/>
      </c>
    </row>
    <row r="84" customFormat="false" ht="15" hidden="false" customHeight="true" outlineLevel="0" collapsed="false">
      <c r="A84" s="9" t="str">
        <f aca="false">IF(Equips_usuari!A84="","",Equips_usuari!A84)</f>
        <v/>
      </c>
      <c r="B84" s="9" t="str">
        <f aca="false">IF(Equips_usuari!B84="","",Equips_usuari!B84)</f>
        <v/>
      </c>
      <c r="C84" s="9" t="str">
        <f aca="false">IF(Equips_usuari!C84="","",Equips_usuari!C84)</f>
        <v/>
      </c>
      <c r="D84" s="9" t="str">
        <f aca="false">IF(Equips_usuari!D84="","",Equips_usuari!D84)</f>
        <v/>
      </c>
      <c r="E84" s="9" t="str">
        <f aca="false">IF(Equips_usuari!F84="","",Equips_usuari!F84)</f>
        <v/>
      </c>
      <c r="F84" s="9" t="str">
        <f aca="false">IF($C84="","",SUMIFS(Resultats_jugadores!$C:$C,Resultats_jugadores!$A:$A,$A84,Resultats_jugadores!$B:$B,$C84))</f>
        <v/>
      </c>
      <c r="G84" s="9" t="str">
        <f aca="false">IF($C84="","",SUMIFS(Resultats_jugadores!$D:$D,Resultats_jugadores!$A:$A,$A84,Resultats_jugadores!$B:$B,$C84))</f>
        <v/>
      </c>
      <c r="H84" s="9" t="str">
        <f aca="false">IF($C84="","",N($F84)-N($G84))</f>
        <v/>
      </c>
      <c r="I84" s="9" t="str">
        <f aca="false">IF($C84="","",IFERROR(INDEX(Partits!$C:$C,MATCH($A84&amp;"_"&amp;$D84,Partits!$D:$D,0)),""))</f>
        <v/>
      </c>
      <c r="J84" s="9" t="str">
        <f aca="false">IF($C84="","",IF(AND($I84="V",N($H84)&gt;0),1.2,1))</f>
        <v/>
      </c>
      <c r="K84" s="9" t="str">
        <f aca="false">IF($C84="","",N($H84)*$J84)</f>
        <v/>
      </c>
      <c r="L84" s="9" t="str">
        <f aca="false">IF($C84="","",IF($E84="SI",2,1))</f>
        <v/>
      </c>
      <c r="M84" s="9" t="str">
        <f aca="false">IF($C84="","",$K84*$L84)</f>
        <v/>
      </c>
    </row>
    <row r="85" customFormat="false" ht="15" hidden="false" customHeight="true" outlineLevel="0" collapsed="false">
      <c r="A85" s="9" t="str">
        <f aca="false">IF(Equips_usuari!A85="","",Equips_usuari!A85)</f>
        <v/>
      </c>
      <c r="B85" s="9" t="str">
        <f aca="false">IF(Equips_usuari!B85="","",Equips_usuari!B85)</f>
        <v/>
      </c>
      <c r="C85" s="9" t="str">
        <f aca="false">IF(Equips_usuari!C85="","",Equips_usuari!C85)</f>
        <v/>
      </c>
      <c r="D85" s="9" t="str">
        <f aca="false">IF(Equips_usuari!D85="","",Equips_usuari!D85)</f>
        <v/>
      </c>
      <c r="E85" s="9" t="str">
        <f aca="false">IF(Equips_usuari!F85="","",Equips_usuari!F85)</f>
        <v/>
      </c>
      <c r="F85" s="9" t="str">
        <f aca="false">IF($C85="","",SUMIFS(Resultats_jugadores!$C:$C,Resultats_jugadores!$A:$A,$A85,Resultats_jugadores!$B:$B,$C85))</f>
        <v/>
      </c>
      <c r="G85" s="9" t="str">
        <f aca="false">IF($C85="","",SUMIFS(Resultats_jugadores!$D:$D,Resultats_jugadores!$A:$A,$A85,Resultats_jugadores!$B:$B,$C85))</f>
        <v/>
      </c>
      <c r="H85" s="9" t="str">
        <f aca="false">IF($C85="","",N($F85)-N($G85))</f>
        <v/>
      </c>
      <c r="I85" s="9" t="str">
        <f aca="false">IF($C85="","",IFERROR(INDEX(Partits!$C:$C,MATCH($A85&amp;"_"&amp;$D85,Partits!$D:$D,0)),""))</f>
        <v/>
      </c>
      <c r="J85" s="9" t="str">
        <f aca="false">IF($C85="","",IF(AND($I85="V",N($H85)&gt;0),1.2,1))</f>
        <v/>
      </c>
      <c r="K85" s="9" t="str">
        <f aca="false">IF($C85="","",N($H85)*$J85)</f>
        <v/>
      </c>
      <c r="L85" s="9" t="str">
        <f aca="false">IF($C85="","",IF($E85="SI",2,1))</f>
        <v/>
      </c>
      <c r="M85" s="9" t="str">
        <f aca="false">IF($C85="","",$K85*$L85)</f>
        <v/>
      </c>
    </row>
    <row r="86" customFormat="false" ht="15" hidden="false" customHeight="true" outlineLevel="0" collapsed="false">
      <c r="A86" s="9" t="str">
        <f aca="false">IF(Equips_usuari!A86="","",Equips_usuari!A86)</f>
        <v/>
      </c>
      <c r="B86" s="9" t="str">
        <f aca="false">IF(Equips_usuari!B86="","",Equips_usuari!B86)</f>
        <v/>
      </c>
      <c r="C86" s="9" t="str">
        <f aca="false">IF(Equips_usuari!C86="","",Equips_usuari!C86)</f>
        <v/>
      </c>
      <c r="D86" s="9" t="str">
        <f aca="false">IF(Equips_usuari!D86="","",Equips_usuari!D86)</f>
        <v/>
      </c>
      <c r="E86" s="9" t="str">
        <f aca="false">IF(Equips_usuari!F86="","",Equips_usuari!F86)</f>
        <v/>
      </c>
      <c r="F86" s="9" t="str">
        <f aca="false">IF($C86="","",SUMIFS(Resultats_jugadores!$C:$C,Resultats_jugadores!$A:$A,$A86,Resultats_jugadores!$B:$B,$C86))</f>
        <v/>
      </c>
      <c r="G86" s="9" t="str">
        <f aca="false">IF($C86="","",SUMIFS(Resultats_jugadores!$D:$D,Resultats_jugadores!$A:$A,$A86,Resultats_jugadores!$B:$B,$C86))</f>
        <v/>
      </c>
      <c r="H86" s="9" t="str">
        <f aca="false">IF($C86="","",N($F86)-N($G86))</f>
        <v/>
      </c>
      <c r="I86" s="9" t="str">
        <f aca="false">IF($C86="","",IFERROR(INDEX(Partits!$C:$C,MATCH($A86&amp;"_"&amp;$D86,Partits!$D:$D,0)),""))</f>
        <v/>
      </c>
      <c r="J86" s="9" t="str">
        <f aca="false">IF($C86="","",IF(AND($I86="V",N($H86)&gt;0),1.2,1))</f>
        <v/>
      </c>
      <c r="K86" s="9" t="str">
        <f aca="false">IF($C86="","",N($H86)*$J86)</f>
        <v/>
      </c>
      <c r="L86" s="9" t="str">
        <f aca="false">IF($C86="","",IF($E86="SI",2,1))</f>
        <v/>
      </c>
      <c r="M86" s="9" t="str">
        <f aca="false">IF($C86="","",$K86*$L86)</f>
        <v/>
      </c>
    </row>
    <row r="87" customFormat="false" ht="15" hidden="false" customHeight="true" outlineLevel="0" collapsed="false">
      <c r="A87" s="9" t="str">
        <f aca="false">IF(Equips_usuari!A87="","",Equips_usuari!A87)</f>
        <v/>
      </c>
      <c r="B87" s="9" t="str">
        <f aca="false">IF(Equips_usuari!B87="","",Equips_usuari!B87)</f>
        <v/>
      </c>
      <c r="C87" s="9" t="str">
        <f aca="false">IF(Equips_usuari!C87="","",Equips_usuari!C87)</f>
        <v/>
      </c>
      <c r="D87" s="9" t="str">
        <f aca="false">IF(Equips_usuari!D87="","",Equips_usuari!D87)</f>
        <v/>
      </c>
      <c r="E87" s="9" t="str">
        <f aca="false">IF(Equips_usuari!F87="","",Equips_usuari!F87)</f>
        <v/>
      </c>
      <c r="F87" s="9" t="str">
        <f aca="false">IF($C87="","",SUMIFS(Resultats_jugadores!$C:$C,Resultats_jugadores!$A:$A,$A87,Resultats_jugadores!$B:$B,$C87))</f>
        <v/>
      </c>
      <c r="G87" s="9" t="str">
        <f aca="false">IF($C87="","",SUMIFS(Resultats_jugadores!$D:$D,Resultats_jugadores!$A:$A,$A87,Resultats_jugadores!$B:$B,$C87))</f>
        <v/>
      </c>
      <c r="H87" s="9" t="str">
        <f aca="false">IF($C87="","",N($F87)-N($G87))</f>
        <v/>
      </c>
      <c r="I87" s="9" t="str">
        <f aca="false">IF($C87="","",IFERROR(INDEX(Partits!$C:$C,MATCH($A87&amp;"_"&amp;$D87,Partits!$D:$D,0)),""))</f>
        <v/>
      </c>
      <c r="J87" s="9" t="str">
        <f aca="false">IF($C87="","",IF(AND($I87="V",N($H87)&gt;0),1.2,1))</f>
        <v/>
      </c>
      <c r="K87" s="9" t="str">
        <f aca="false">IF($C87="","",N($H87)*$J87)</f>
        <v/>
      </c>
      <c r="L87" s="9" t="str">
        <f aca="false">IF($C87="","",IF($E87="SI",2,1))</f>
        <v/>
      </c>
      <c r="M87" s="9" t="str">
        <f aca="false">IF($C87="","",$K87*$L87)</f>
        <v/>
      </c>
    </row>
    <row r="88" customFormat="false" ht="15" hidden="false" customHeight="true" outlineLevel="0" collapsed="false">
      <c r="A88" s="9" t="str">
        <f aca="false">IF(Equips_usuari!A88="","",Equips_usuari!A88)</f>
        <v/>
      </c>
      <c r="B88" s="9" t="str">
        <f aca="false">IF(Equips_usuari!B88="","",Equips_usuari!B88)</f>
        <v/>
      </c>
      <c r="C88" s="9" t="str">
        <f aca="false">IF(Equips_usuari!C88="","",Equips_usuari!C88)</f>
        <v/>
      </c>
      <c r="D88" s="9" t="str">
        <f aca="false">IF(Equips_usuari!D88="","",Equips_usuari!D88)</f>
        <v/>
      </c>
      <c r="E88" s="9" t="str">
        <f aca="false">IF(Equips_usuari!F88="","",Equips_usuari!F88)</f>
        <v/>
      </c>
      <c r="F88" s="9" t="str">
        <f aca="false">IF($C88="","",SUMIFS(Resultats_jugadores!$C:$C,Resultats_jugadores!$A:$A,$A88,Resultats_jugadores!$B:$B,$C88))</f>
        <v/>
      </c>
      <c r="G88" s="9" t="str">
        <f aca="false">IF($C88="","",SUMIFS(Resultats_jugadores!$D:$D,Resultats_jugadores!$A:$A,$A88,Resultats_jugadores!$B:$B,$C88))</f>
        <v/>
      </c>
      <c r="H88" s="9" t="str">
        <f aca="false">IF($C88="","",N($F88)-N($G88))</f>
        <v/>
      </c>
      <c r="I88" s="9" t="str">
        <f aca="false">IF($C88="","",IFERROR(INDEX(Partits!$C:$C,MATCH($A88&amp;"_"&amp;$D88,Partits!$D:$D,0)),""))</f>
        <v/>
      </c>
      <c r="J88" s="9" t="str">
        <f aca="false">IF($C88="","",IF(AND($I88="V",N($H88)&gt;0),1.2,1))</f>
        <v/>
      </c>
      <c r="K88" s="9" t="str">
        <f aca="false">IF($C88="","",N($H88)*$J88)</f>
        <v/>
      </c>
      <c r="L88" s="9" t="str">
        <f aca="false">IF($C88="","",IF($E88="SI",2,1))</f>
        <v/>
      </c>
      <c r="M88" s="9" t="str">
        <f aca="false">IF($C88="","",$K88*$L88)</f>
        <v/>
      </c>
    </row>
    <row r="89" customFormat="false" ht="15" hidden="false" customHeight="true" outlineLevel="0" collapsed="false">
      <c r="A89" s="9" t="str">
        <f aca="false">IF(Equips_usuari!A89="","",Equips_usuari!A89)</f>
        <v/>
      </c>
      <c r="B89" s="9" t="str">
        <f aca="false">IF(Equips_usuari!B89="","",Equips_usuari!B89)</f>
        <v/>
      </c>
      <c r="C89" s="9" t="str">
        <f aca="false">IF(Equips_usuari!C89="","",Equips_usuari!C89)</f>
        <v/>
      </c>
      <c r="D89" s="9" t="str">
        <f aca="false">IF(Equips_usuari!D89="","",Equips_usuari!D89)</f>
        <v/>
      </c>
      <c r="E89" s="9" t="str">
        <f aca="false">IF(Equips_usuari!F89="","",Equips_usuari!F89)</f>
        <v/>
      </c>
      <c r="F89" s="9" t="str">
        <f aca="false">IF($C89="","",SUMIFS(Resultats_jugadores!$C:$C,Resultats_jugadores!$A:$A,$A89,Resultats_jugadores!$B:$B,$C89))</f>
        <v/>
      </c>
      <c r="G89" s="9" t="str">
        <f aca="false">IF($C89="","",SUMIFS(Resultats_jugadores!$D:$D,Resultats_jugadores!$A:$A,$A89,Resultats_jugadores!$B:$B,$C89))</f>
        <v/>
      </c>
      <c r="H89" s="9" t="str">
        <f aca="false">IF($C89="","",N($F89)-N($G89))</f>
        <v/>
      </c>
      <c r="I89" s="9" t="str">
        <f aca="false">IF($C89="","",IFERROR(INDEX(Partits!$C:$C,MATCH($A89&amp;"_"&amp;$D89,Partits!$D:$D,0)),""))</f>
        <v/>
      </c>
      <c r="J89" s="9" t="str">
        <f aca="false">IF($C89="","",IF(AND($I89="V",N($H89)&gt;0),1.2,1))</f>
        <v/>
      </c>
      <c r="K89" s="9" t="str">
        <f aca="false">IF($C89="","",N($H89)*$J89)</f>
        <v/>
      </c>
      <c r="L89" s="9" t="str">
        <f aca="false">IF($C89="","",IF($E89="SI",2,1))</f>
        <v/>
      </c>
      <c r="M89" s="9" t="str">
        <f aca="false">IF($C89="","",$K89*$L89)</f>
        <v/>
      </c>
    </row>
    <row r="90" customFormat="false" ht="15" hidden="false" customHeight="true" outlineLevel="0" collapsed="false">
      <c r="A90" s="9" t="str">
        <f aca="false">IF(Equips_usuari!A90="","",Equips_usuari!A90)</f>
        <v/>
      </c>
      <c r="B90" s="9" t="str">
        <f aca="false">IF(Equips_usuari!B90="","",Equips_usuari!B90)</f>
        <v/>
      </c>
      <c r="C90" s="9" t="str">
        <f aca="false">IF(Equips_usuari!C90="","",Equips_usuari!C90)</f>
        <v/>
      </c>
      <c r="D90" s="9" t="str">
        <f aca="false">IF(Equips_usuari!D90="","",Equips_usuari!D90)</f>
        <v/>
      </c>
      <c r="E90" s="9" t="str">
        <f aca="false">IF(Equips_usuari!F90="","",Equips_usuari!F90)</f>
        <v/>
      </c>
      <c r="F90" s="9" t="str">
        <f aca="false">IF($C90="","",SUMIFS(Resultats_jugadores!$C:$C,Resultats_jugadores!$A:$A,$A90,Resultats_jugadores!$B:$B,$C90))</f>
        <v/>
      </c>
      <c r="G90" s="9" t="str">
        <f aca="false">IF($C90="","",SUMIFS(Resultats_jugadores!$D:$D,Resultats_jugadores!$A:$A,$A90,Resultats_jugadores!$B:$B,$C90))</f>
        <v/>
      </c>
      <c r="H90" s="9" t="str">
        <f aca="false">IF($C90="","",N($F90)-N($G90))</f>
        <v/>
      </c>
      <c r="I90" s="9" t="str">
        <f aca="false">IF($C90="","",IFERROR(INDEX(Partits!$C:$C,MATCH($A90&amp;"_"&amp;$D90,Partits!$D:$D,0)),""))</f>
        <v/>
      </c>
      <c r="J90" s="9" t="str">
        <f aca="false">IF($C90="","",IF(AND($I90="V",N($H90)&gt;0),1.2,1))</f>
        <v/>
      </c>
      <c r="K90" s="9" t="str">
        <f aca="false">IF($C90="","",N($H90)*$J90)</f>
        <v/>
      </c>
      <c r="L90" s="9" t="str">
        <f aca="false">IF($C90="","",IF($E90="SI",2,1))</f>
        <v/>
      </c>
      <c r="M90" s="9" t="str">
        <f aca="false">IF($C90="","",$K90*$L90)</f>
        <v/>
      </c>
    </row>
    <row r="91" customFormat="false" ht="15" hidden="false" customHeight="true" outlineLevel="0" collapsed="false">
      <c r="A91" s="9" t="str">
        <f aca="false">IF(Equips_usuari!A91="","",Equips_usuari!A91)</f>
        <v/>
      </c>
      <c r="B91" s="9" t="str">
        <f aca="false">IF(Equips_usuari!B91="","",Equips_usuari!B91)</f>
        <v/>
      </c>
      <c r="C91" s="9" t="str">
        <f aca="false">IF(Equips_usuari!C91="","",Equips_usuari!C91)</f>
        <v/>
      </c>
      <c r="D91" s="9" t="str">
        <f aca="false">IF(Equips_usuari!D91="","",Equips_usuari!D91)</f>
        <v/>
      </c>
      <c r="E91" s="9" t="str">
        <f aca="false">IF(Equips_usuari!F91="","",Equips_usuari!F91)</f>
        <v/>
      </c>
      <c r="F91" s="9" t="str">
        <f aca="false">IF($C91="","",SUMIFS(Resultats_jugadores!$C:$C,Resultats_jugadores!$A:$A,$A91,Resultats_jugadores!$B:$B,$C91))</f>
        <v/>
      </c>
      <c r="G91" s="9" t="str">
        <f aca="false">IF($C91="","",SUMIFS(Resultats_jugadores!$D:$D,Resultats_jugadores!$A:$A,$A91,Resultats_jugadores!$B:$B,$C91))</f>
        <v/>
      </c>
      <c r="H91" s="9" t="str">
        <f aca="false">IF($C91="","",N($F91)-N($G91))</f>
        <v/>
      </c>
      <c r="I91" s="9" t="str">
        <f aca="false">IF($C91="","",IFERROR(INDEX(Partits!$C:$C,MATCH($A91&amp;"_"&amp;$D91,Partits!$D:$D,0)),""))</f>
        <v/>
      </c>
      <c r="J91" s="9" t="str">
        <f aca="false">IF($C91="","",IF(AND($I91="V",N($H91)&gt;0),1.2,1))</f>
        <v/>
      </c>
      <c r="K91" s="9" t="str">
        <f aca="false">IF($C91="","",N($H91)*$J91)</f>
        <v/>
      </c>
      <c r="L91" s="9" t="str">
        <f aca="false">IF($C91="","",IF($E91="SI",2,1))</f>
        <v/>
      </c>
      <c r="M91" s="9" t="str">
        <f aca="false">IF($C91="","",$K91*$L91)</f>
        <v/>
      </c>
    </row>
    <row r="92" customFormat="false" ht="15" hidden="false" customHeight="true" outlineLevel="0" collapsed="false">
      <c r="A92" s="9" t="str">
        <f aca="false">IF(Equips_usuari!A92="","",Equips_usuari!A92)</f>
        <v/>
      </c>
      <c r="B92" s="9" t="str">
        <f aca="false">IF(Equips_usuari!B92="","",Equips_usuari!B92)</f>
        <v/>
      </c>
      <c r="C92" s="9" t="str">
        <f aca="false">IF(Equips_usuari!C92="","",Equips_usuari!C92)</f>
        <v/>
      </c>
      <c r="D92" s="9" t="str">
        <f aca="false">IF(Equips_usuari!D92="","",Equips_usuari!D92)</f>
        <v/>
      </c>
      <c r="E92" s="9" t="str">
        <f aca="false">IF(Equips_usuari!F92="","",Equips_usuari!F92)</f>
        <v/>
      </c>
      <c r="F92" s="9" t="str">
        <f aca="false">IF($C92="","",SUMIFS(Resultats_jugadores!$C:$C,Resultats_jugadores!$A:$A,$A92,Resultats_jugadores!$B:$B,$C92))</f>
        <v/>
      </c>
      <c r="G92" s="9" t="str">
        <f aca="false">IF($C92="","",SUMIFS(Resultats_jugadores!$D:$D,Resultats_jugadores!$A:$A,$A92,Resultats_jugadores!$B:$B,$C92))</f>
        <v/>
      </c>
      <c r="H92" s="9" t="str">
        <f aca="false">IF($C92="","",N($F92)-N($G92))</f>
        <v/>
      </c>
      <c r="I92" s="9" t="str">
        <f aca="false">IF($C92="","",IFERROR(INDEX(Partits!$C:$C,MATCH($A92&amp;"_"&amp;$D92,Partits!$D:$D,0)),""))</f>
        <v/>
      </c>
      <c r="J92" s="9" t="str">
        <f aca="false">IF($C92="","",IF(AND($I92="V",N($H92)&gt;0),1.2,1))</f>
        <v/>
      </c>
      <c r="K92" s="9" t="str">
        <f aca="false">IF($C92="","",N($H92)*$J92)</f>
        <v/>
      </c>
      <c r="L92" s="9" t="str">
        <f aca="false">IF($C92="","",IF($E92="SI",2,1))</f>
        <v/>
      </c>
      <c r="M92" s="9" t="str">
        <f aca="false">IF($C92="","",$K92*$L92)</f>
        <v/>
      </c>
    </row>
    <row r="93" customFormat="false" ht="15" hidden="false" customHeight="true" outlineLevel="0" collapsed="false">
      <c r="A93" s="9" t="str">
        <f aca="false">IF(Equips_usuari!A93="","",Equips_usuari!A93)</f>
        <v/>
      </c>
      <c r="B93" s="9" t="str">
        <f aca="false">IF(Equips_usuari!B93="","",Equips_usuari!B93)</f>
        <v/>
      </c>
      <c r="C93" s="9" t="str">
        <f aca="false">IF(Equips_usuari!C93="","",Equips_usuari!C93)</f>
        <v/>
      </c>
      <c r="D93" s="9" t="str">
        <f aca="false">IF(Equips_usuari!D93="","",Equips_usuari!D93)</f>
        <v/>
      </c>
      <c r="E93" s="9" t="str">
        <f aca="false">IF(Equips_usuari!F93="","",Equips_usuari!F93)</f>
        <v/>
      </c>
      <c r="F93" s="9" t="str">
        <f aca="false">IF($C93="","",SUMIFS(Resultats_jugadores!$C:$C,Resultats_jugadores!$A:$A,$A93,Resultats_jugadores!$B:$B,$C93))</f>
        <v/>
      </c>
      <c r="G93" s="9" t="str">
        <f aca="false">IF($C93="","",SUMIFS(Resultats_jugadores!$D:$D,Resultats_jugadores!$A:$A,$A93,Resultats_jugadores!$B:$B,$C93))</f>
        <v/>
      </c>
      <c r="H93" s="9" t="str">
        <f aca="false">IF($C93="","",N($F93)-N($G93))</f>
        <v/>
      </c>
      <c r="I93" s="9" t="str">
        <f aca="false">IF($C93="","",IFERROR(INDEX(Partits!$C:$C,MATCH($A93&amp;"_"&amp;$D93,Partits!$D:$D,0)),""))</f>
        <v/>
      </c>
      <c r="J93" s="9" t="str">
        <f aca="false">IF($C93="","",IF(AND($I93="V",N($H93)&gt;0),1.2,1))</f>
        <v/>
      </c>
      <c r="K93" s="9" t="str">
        <f aca="false">IF($C93="","",N($H93)*$J93)</f>
        <v/>
      </c>
      <c r="L93" s="9" t="str">
        <f aca="false">IF($C93="","",IF($E93="SI",2,1))</f>
        <v/>
      </c>
      <c r="M93" s="9" t="str">
        <f aca="false">IF($C93="","",$K93*$L93)</f>
        <v/>
      </c>
    </row>
    <row r="94" customFormat="false" ht="15" hidden="false" customHeight="true" outlineLevel="0" collapsed="false">
      <c r="A94" s="9" t="str">
        <f aca="false">IF(Equips_usuari!A94="","",Equips_usuari!A94)</f>
        <v/>
      </c>
      <c r="B94" s="9" t="str">
        <f aca="false">IF(Equips_usuari!B94="","",Equips_usuari!B94)</f>
        <v/>
      </c>
      <c r="C94" s="9" t="str">
        <f aca="false">IF(Equips_usuari!C94="","",Equips_usuari!C94)</f>
        <v/>
      </c>
      <c r="D94" s="9" t="str">
        <f aca="false">IF(Equips_usuari!D94="","",Equips_usuari!D94)</f>
        <v/>
      </c>
      <c r="E94" s="9" t="str">
        <f aca="false">IF(Equips_usuari!F94="","",Equips_usuari!F94)</f>
        <v/>
      </c>
      <c r="F94" s="9" t="str">
        <f aca="false">IF($C94="","",SUMIFS(Resultats_jugadores!$C:$C,Resultats_jugadores!$A:$A,$A94,Resultats_jugadores!$B:$B,$C94))</f>
        <v/>
      </c>
      <c r="G94" s="9" t="str">
        <f aca="false">IF($C94="","",SUMIFS(Resultats_jugadores!$D:$D,Resultats_jugadores!$A:$A,$A94,Resultats_jugadores!$B:$B,$C94))</f>
        <v/>
      </c>
      <c r="H94" s="9" t="str">
        <f aca="false">IF($C94="","",N($F94)-N($G94))</f>
        <v/>
      </c>
      <c r="I94" s="9" t="str">
        <f aca="false">IF($C94="","",IFERROR(INDEX(Partits!$C:$C,MATCH($A94&amp;"_"&amp;$D94,Partits!$D:$D,0)),""))</f>
        <v/>
      </c>
      <c r="J94" s="9" t="str">
        <f aca="false">IF($C94="","",IF(AND($I94="V",N($H94)&gt;0),1.2,1))</f>
        <v/>
      </c>
      <c r="K94" s="9" t="str">
        <f aca="false">IF($C94="","",N($H94)*$J94)</f>
        <v/>
      </c>
      <c r="L94" s="9" t="str">
        <f aca="false">IF($C94="","",IF($E94="SI",2,1))</f>
        <v/>
      </c>
      <c r="M94" s="9" t="str">
        <f aca="false">IF($C94="","",$K94*$L94)</f>
        <v/>
      </c>
    </row>
    <row r="95" customFormat="false" ht="15" hidden="false" customHeight="true" outlineLevel="0" collapsed="false">
      <c r="A95" s="9" t="str">
        <f aca="false">IF(Equips_usuari!A95="","",Equips_usuari!A95)</f>
        <v/>
      </c>
      <c r="B95" s="9" t="str">
        <f aca="false">IF(Equips_usuari!B95="","",Equips_usuari!B95)</f>
        <v/>
      </c>
      <c r="C95" s="9" t="str">
        <f aca="false">IF(Equips_usuari!C95="","",Equips_usuari!C95)</f>
        <v/>
      </c>
      <c r="D95" s="9" t="str">
        <f aca="false">IF(Equips_usuari!D95="","",Equips_usuari!D95)</f>
        <v/>
      </c>
      <c r="E95" s="9" t="str">
        <f aca="false">IF(Equips_usuari!F95="","",Equips_usuari!F95)</f>
        <v/>
      </c>
      <c r="F95" s="9" t="str">
        <f aca="false">IF($C95="","",SUMIFS(Resultats_jugadores!$C:$C,Resultats_jugadores!$A:$A,$A95,Resultats_jugadores!$B:$B,$C95))</f>
        <v/>
      </c>
      <c r="G95" s="9" t="str">
        <f aca="false">IF($C95="","",SUMIFS(Resultats_jugadores!$D:$D,Resultats_jugadores!$A:$A,$A95,Resultats_jugadores!$B:$B,$C95))</f>
        <v/>
      </c>
      <c r="H95" s="9" t="str">
        <f aca="false">IF($C95="","",N($F95)-N($G95))</f>
        <v/>
      </c>
      <c r="I95" s="9" t="str">
        <f aca="false">IF($C95="","",IFERROR(INDEX(Partits!$C:$C,MATCH($A95&amp;"_"&amp;$D95,Partits!$D:$D,0)),""))</f>
        <v/>
      </c>
      <c r="J95" s="9" t="str">
        <f aca="false">IF($C95="","",IF(AND($I95="V",N($H95)&gt;0),1.2,1))</f>
        <v/>
      </c>
      <c r="K95" s="9" t="str">
        <f aca="false">IF($C95="","",N($H95)*$J95)</f>
        <v/>
      </c>
      <c r="L95" s="9" t="str">
        <f aca="false">IF($C95="","",IF($E95="SI",2,1))</f>
        <v/>
      </c>
      <c r="M95" s="9" t="str">
        <f aca="false">IF($C95="","",$K95*$L95)</f>
        <v/>
      </c>
    </row>
    <row r="96" customFormat="false" ht="15" hidden="false" customHeight="true" outlineLevel="0" collapsed="false">
      <c r="A96" s="9" t="str">
        <f aca="false">IF(Equips_usuari!A96="","",Equips_usuari!A96)</f>
        <v/>
      </c>
      <c r="B96" s="9" t="str">
        <f aca="false">IF(Equips_usuari!B96="","",Equips_usuari!B96)</f>
        <v/>
      </c>
      <c r="C96" s="9" t="str">
        <f aca="false">IF(Equips_usuari!C96="","",Equips_usuari!C96)</f>
        <v/>
      </c>
      <c r="D96" s="9" t="str">
        <f aca="false">IF(Equips_usuari!D96="","",Equips_usuari!D96)</f>
        <v/>
      </c>
      <c r="E96" s="9" t="str">
        <f aca="false">IF(Equips_usuari!F96="","",Equips_usuari!F96)</f>
        <v/>
      </c>
      <c r="F96" s="9" t="str">
        <f aca="false">IF($C96="","",SUMIFS(Resultats_jugadores!$C:$C,Resultats_jugadores!$A:$A,$A96,Resultats_jugadores!$B:$B,$C96))</f>
        <v/>
      </c>
      <c r="G96" s="9" t="str">
        <f aca="false">IF($C96="","",SUMIFS(Resultats_jugadores!$D:$D,Resultats_jugadores!$A:$A,$A96,Resultats_jugadores!$B:$B,$C96))</f>
        <v/>
      </c>
      <c r="H96" s="9" t="str">
        <f aca="false">IF($C96="","",N($F96)-N($G96))</f>
        <v/>
      </c>
      <c r="I96" s="9" t="str">
        <f aca="false">IF($C96="","",IFERROR(INDEX(Partits!$C:$C,MATCH($A96&amp;"_"&amp;$D96,Partits!$D:$D,0)),""))</f>
        <v/>
      </c>
      <c r="J96" s="9" t="str">
        <f aca="false">IF($C96="","",IF(AND($I96="V",N($H96)&gt;0),1.2,1))</f>
        <v/>
      </c>
      <c r="K96" s="9" t="str">
        <f aca="false">IF($C96="","",N($H96)*$J96)</f>
        <v/>
      </c>
      <c r="L96" s="9" t="str">
        <f aca="false">IF($C96="","",IF($E96="SI",2,1))</f>
        <v/>
      </c>
      <c r="M96" s="9" t="str">
        <f aca="false">IF($C96="","",$K96*$L96)</f>
        <v/>
      </c>
    </row>
    <row r="97" customFormat="false" ht="15" hidden="false" customHeight="true" outlineLevel="0" collapsed="false">
      <c r="A97" s="9" t="str">
        <f aca="false">IF(Equips_usuari!A97="","",Equips_usuari!A97)</f>
        <v/>
      </c>
      <c r="B97" s="9" t="str">
        <f aca="false">IF(Equips_usuari!B97="","",Equips_usuari!B97)</f>
        <v/>
      </c>
      <c r="C97" s="9" t="str">
        <f aca="false">IF(Equips_usuari!C97="","",Equips_usuari!C97)</f>
        <v/>
      </c>
      <c r="D97" s="9" t="str">
        <f aca="false">IF(Equips_usuari!D97="","",Equips_usuari!D97)</f>
        <v/>
      </c>
      <c r="E97" s="9" t="str">
        <f aca="false">IF(Equips_usuari!F97="","",Equips_usuari!F97)</f>
        <v/>
      </c>
      <c r="F97" s="9" t="str">
        <f aca="false">IF($C97="","",SUMIFS(Resultats_jugadores!$C:$C,Resultats_jugadores!$A:$A,$A97,Resultats_jugadores!$B:$B,$C97))</f>
        <v/>
      </c>
      <c r="G97" s="9" t="str">
        <f aca="false">IF($C97="","",SUMIFS(Resultats_jugadores!$D:$D,Resultats_jugadores!$A:$A,$A97,Resultats_jugadores!$B:$B,$C97))</f>
        <v/>
      </c>
      <c r="H97" s="9" t="str">
        <f aca="false">IF($C97="","",N($F97)-N($G97))</f>
        <v/>
      </c>
      <c r="I97" s="9" t="str">
        <f aca="false">IF($C97="","",IFERROR(INDEX(Partits!$C:$C,MATCH($A97&amp;"_"&amp;$D97,Partits!$D:$D,0)),""))</f>
        <v/>
      </c>
      <c r="J97" s="9" t="str">
        <f aca="false">IF($C97="","",IF(AND($I97="V",N($H97)&gt;0),1.2,1))</f>
        <v/>
      </c>
      <c r="K97" s="9" t="str">
        <f aca="false">IF($C97="","",N($H97)*$J97)</f>
        <v/>
      </c>
      <c r="L97" s="9" t="str">
        <f aca="false">IF($C97="","",IF($E97="SI",2,1))</f>
        <v/>
      </c>
      <c r="M97" s="9" t="str">
        <f aca="false">IF($C97="","",$K97*$L97)</f>
        <v/>
      </c>
    </row>
    <row r="98" customFormat="false" ht="15" hidden="false" customHeight="true" outlineLevel="0" collapsed="false">
      <c r="A98" s="9" t="str">
        <f aca="false">IF(Equips_usuari!A98="","",Equips_usuari!A98)</f>
        <v/>
      </c>
      <c r="B98" s="9" t="str">
        <f aca="false">IF(Equips_usuari!B98="","",Equips_usuari!B98)</f>
        <v/>
      </c>
      <c r="C98" s="9" t="str">
        <f aca="false">IF(Equips_usuari!C98="","",Equips_usuari!C98)</f>
        <v/>
      </c>
      <c r="D98" s="9" t="str">
        <f aca="false">IF(Equips_usuari!D98="","",Equips_usuari!D98)</f>
        <v/>
      </c>
      <c r="E98" s="9" t="str">
        <f aca="false">IF(Equips_usuari!F98="","",Equips_usuari!F98)</f>
        <v/>
      </c>
      <c r="F98" s="9" t="str">
        <f aca="false">IF($C98="","",SUMIFS(Resultats_jugadores!$C:$C,Resultats_jugadores!$A:$A,$A98,Resultats_jugadores!$B:$B,$C98))</f>
        <v/>
      </c>
      <c r="G98" s="9" t="str">
        <f aca="false">IF($C98="","",SUMIFS(Resultats_jugadores!$D:$D,Resultats_jugadores!$A:$A,$A98,Resultats_jugadores!$B:$B,$C98))</f>
        <v/>
      </c>
      <c r="H98" s="9" t="str">
        <f aca="false">IF($C98="","",N($F98)-N($G98))</f>
        <v/>
      </c>
      <c r="I98" s="9" t="str">
        <f aca="false">IF($C98="","",IFERROR(INDEX(Partits!$C:$C,MATCH($A98&amp;"_"&amp;$D98,Partits!$D:$D,0)),""))</f>
        <v/>
      </c>
      <c r="J98" s="9" t="str">
        <f aca="false">IF($C98="","",IF(AND($I98="V",N($H98)&gt;0),1.2,1))</f>
        <v/>
      </c>
      <c r="K98" s="9" t="str">
        <f aca="false">IF($C98="","",N($H98)*$J98)</f>
        <v/>
      </c>
      <c r="L98" s="9" t="str">
        <f aca="false">IF($C98="","",IF($E98="SI",2,1))</f>
        <v/>
      </c>
      <c r="M98" s="9" t="str">
        <f aca="false">IF($C98="","",$K98*$L98)</f>
        <v/>
      </c>
    </row>
    <row r="99" customFormat="false" ht="15" hidden="false" customHeight="true" outlineLevel="0" collapsed="false">
      <c r="A99" s="9" t="str">
        <f aca="false">IF(Equips_usuari!A99="","",Equips_usuari!A99)</f>
        <v/>
      </c>
      <c r="B99" s="9" t="str">
        <f aca="false">IF(Equips_usuari!B99="","",Equips_usuari!B99)</f>
        <v/>
      </c>
      <c r="C99" s="9" t="str">
        <f aca="false">IF(Equips_usuari!C99="","",Equips_usuari!C99)</f>
        <v/>
      </c>
      <c r="D99" s="9" t="str">
        <f aca="false">IF(Equips_usuari!D99="","",Equips_usuari!D99)</f>
        <v/>
      </c>
      <c r="E99" s="9" t="str">
        <f aca="false">IF(Equips_usuari!F99="","",Equips_usuari!F99)</f>
        <v/>
      </c>
      <c r="F99" s="9" t="str">
        <f aca="false">IF($C99="","",SUMIFS(Resultats_jugadores!$C:$C,Resultats_jugadores!$A:$A,$A99,Resultats_jugadores!$B:$B,$C99))</f>
        <v/>
      </c>
      <c r="G99" s="9" t="str">
        <f aca="false">IF($C99="","",SUMIFS(Resultats_jugadores!$D:$D,Resultats_jugadores!$A:$A,$A99,Resultats_jugadores!$B:$B,$C99))</f>
        <v/>
      </c>
      <c r="H99" s="9" t="str">
        <f aca="false">IF($C99="","",N($F99)-N($G99))</f>
        <v/>
      </c>
      <c r="I99" s="9" t="str">
        <f aca="false">IF($C99="","",IFERROR(INDEX(Partits!$C:$C,MATCH($A99&amp;"_"&amp;$D99,Partits!$D:$D,0)),""))</f>
        <v/>
      </c>
      <c r="J99" s="9" t="str">
        <f aca="false">IF($C99="","",IF(AND($I99="V",N($H99)&gt;0),1.2,1))</f>
        <v/>
      </c>
      <c r="K99" s="9" t="str">
        <f aca="false">IF($C99="","",N($H99)*$J99)</f>
        <v/>
      </c>
      <c r="L99" s="9" t="str">
        <f aca="false">IF($C99="","",IF($E99="SI",2,1))</f>
        <v/>
      </c>
      <c r="M99" s="9" t="str">
        <f aca="false">IF($C99="","",$K99*$L99)</f>
        <v/>
      </c>
    </row>
    <row r="100" customFormat="false" ht="15" hidden="false" customHeight="true" outlineLevel="0" collapsed="false">
      <c r="A100" s="9" t="str">
        <f aca="false">IF(Equips_usuari!A100="","",Equips_usuari!A100)</f>
        <v/>
      </c>
      <c r="B100" s="9" t="str">
        <f aca="false">IF(Equips_usuari!B100="","",Equips_usuari!B100)</f>
        <v/>
      </c>
      <c r="C100" s="9" t="str">
        <f aca="false">IF(Equips_usuari!C100="","",Equips_usuari!C100)</f>
        <v/>
      </c>
      <c r="D100" s="9" t="str">
        <f aca="false">IF(Equips_usuari!D100="","",Equips_usuari!D100)</f>
        <v/>
      </c>
      <c r="E100" s="9" t="str">
        <f aca="false">IF(Equips_usuari!F100="","",Equips_usuari!F100)</f>
        <v/>
      </c>
      <c r="F100" s="9" t="str">
        <f aca="false">IF($C100="","",SUMIFS(Resultats_jugadores!$C:$C,Resultats_jugadores!$A:$A,$A100,Resultats_jugadores!$B:$B,$C100))</f>
        <v/>
      </c>
      <c r="G100" s="9" t="str">
        <f aca="false">IF($C100="","",SUMIFS(Resultats_jugadores!$D:$D,Resultats_jugadores!$A:$A,$A100,Resultats_jugadores!$B:$B,$C100))</f>
        <v/>
      </c>
      <c r="H100" s="9" t="str">
        <f aca="false">IF($C100="","",N($F100)-N($G100))</f>
        <v/>
      </c>
      <c r="I100" s="9" t="str">
        <f aca="false">IF($C100="","",IFERROR(INDEX(Partits!$C:$C,MATCH($A100&amp;"_"&amp;$D100,Partits!$D:$D,0)),""))</f>
        <v/>
      </c>
      <c r="J100" s="9" t="str">
        <f aca="false">IF($C100="","",IF(AND($I100="V",N($H100)&gt;0),1.2,1))</f>
        <v/>
      </c>
      <c r="K100" s="9" t="str">
        <f aca="false">IF($C100="","",N($H100)*$J100)</f>
        <v/>
      </c>
      <c r="L100" s="9" t="str">
        <f aca="false">IF($C100="","",IF($E100="SI",2,1))</f>
        <v/>
      </c>
      <c r="M100" s="9" t="str">
        <f aca="false">IF($C100="","",$K100*$L100)</f>
        <v/>
      </c>
    </row>
    <row r="101" customFormat="false" ht="15" hidden="false" customHeight="true" outlineLevel="0" collapsed="false">
      <c r="A101" s="9" t="str">
        <f aca="false">IF(Equips_usuari!A101="","",Equips_usuari!A101)</f>
        <v/>
      </c>
      <c r="B101" s="9" t="str">
        <f aca="false">IF(Equips_usuari!B101="","",Equips_usuari!B101)</f>
        <v/>
      </c>
      <c r="C101" s="9" t="str">
        <f aca="false">IF(Equips_usuari!C101="","",Equips_usuari!C101)</f>
        <v/>
      </c>
      <c r="D101" s="9" t="str">
        <f aca="false">IF(Equips_usuari!D101="","",Equips_usuari!D101)</f>
        <v/>
      </c>
      <c r="E101" s="9" t="str">
        <f aca="false">IF(Equips_usuari!F101="","",Equips_usuari!F101)</f>
        <v/>
      </c>
      <c r="F101" s="9" t="str">
        <f aca="false">IF($C101="","",SUMIFS(Resultats_jugadores!$C:$C,Resultats_jugadores!$A:$A,$A101,Resultats_jugadores!$B:$B,$C101))</f>
        <v/>
      </c>
      <c r="G101" s="9" t="str">
        <f aca="false">IF($C101="","",SUMIFS(Resultats_jugadores!$D:$D,Resultats_jugadores!$A:$A,$A101,Resultats_jugadores!$B:$B,$C101))</f>
        <v/>
      </c>
      <c r="H101" s="9" t="str">
        <f aca="false">IF($C101="","",N($F101)-N($G101))</f>
        <v/>
      </c>
      <c r="I101" s="9" t="str">
        <f aca="false">IF($C101="","",IFERROR(INDEX(Partits!$C:$C,MATCH($A101&amp;"_"&amp;$D101,Partits!$D:$D,0)),""))</f>
        <v/>
      </c>
      <c r="J101" s="9" t="str">
        <f aca="false">IF($C101="","",IF(AND($I101="V",N($H101)&gt;0),1.2,1))</f>
        <v/>
      </c>
      <c r="K101" s="9" t="str">
        <f aca="false">IF($C101="","",N($H101)*$J101)</f>
        <v/>
      </c>
      <c r="L101" s="9" t="str">
        <f aca="false">IF($C101="","",IF($E101="SI",2,1))</f>
        <v/>
      </c>
      <c r="M101" s="9" t="str">
        <f aca="false">IF($C101="","",$K101*$L101)</f>
        <v/>
      </c>
    </row>
    <row r="102" customFormat="false" ht="15" hidden="false" customHeight="true" outlineLevel="0" collapsed="false">
      <c r="A102" s="9" t="str">
        <f aca="false">IF(Equips_usuari!A102="","",Equips_usuari!A102)</f>
        <v/>
      </c>
      <c r="B102" s="9" t="str">
        <f aca="false">IF(Equips_usuari!B102="","",Equips_usuari!B102)</f>
        <v/>
      </c>
      <c r="C102" s="9" t="str">
        <f aca="false">IF(Equips_usuari!C102="","",Equips_usuari!C102)</f>
        <v/>
      </c>
      <c r="D102" s="9" t="str">
        <f aca="false">IF(Equips_usuari!D102="","",Equips_usuari!D102)</f>
        <v/>
      </c>
      <c r="E102" s="9" t="str">
        <f aca="false">IF(Equips_usuari!F102="","",Equips_usuari!F102)</f>
        <v/>
      </c>
      <c r="F102" s="9" t="str">
        <f aca="false">IF($C102="","",SUMIFS(Resultats_jugadores!$C:$C,Resultats_jugadores!$A:$A,$A102,Resultats_jugadores!$B:$B,$C102))</f>
        <v/>
      </c>
      <c r="G102" s="9" t="str">
        <f aca="false">IF($C102="","",SUMIFS(Resultats_jugadores!$D:$D,Resultats_jugadores!$A:$A,$A102,Resultats_jugadores!$B:$B,$C102))</f>
        <v/>
      </c>
      <c r="H102" s="9" t="str">
        <f aca="false">IF($C102="","",N($F102)-N($G102))</f>
        <v/>
      </c>
      <c r="I102" s="9" t="str">
        <f aca="false">IF($C102="","",IFERROR(INDEX(Partits!$C:$C,MATCH($A102&amp;"_"&amp;$D102,Partits!$D:$D,0)),""))</f>
        <v/>
      </c>
      <c r="J102" s="9" t="str">
        <f aca="false">IF($C102="","",IF(AND($I102="V",N($H102)&gt;0),1.2,1))</f>
        <v/>
      </c>
      <c r="K102" s="9" t="str">
        <f aca="false">IF($C102="","",N($H102)*$J102)</f>
        <v/>
      </c>
      <c r="L102" s="9" t="str">
        <f aca="false">IF($C102="","",IF($E102="SI",2,1))</f>
        <v/>
      </c>
      <c r="M102" s="9" t="str">
        <f aca="false">IF($C102="","",$K102*$L102)</f>
        <v/>
      </c>
    </row>
    <row r="103" customFormat="false" ht="15" hidden="false" customHeight="true" outlineLevel="0" collapsed="false">
      <c r="A103" s="9" t="str">
        <f aca="false">IF(Equips_usuari!A103="","",Equips_usuari!A103)</f>
        <v/>
      </c>
      <c r="B103" s="9" t="str">
        <f aca="false">IF(Equips_usuari!B103="","",Equips_usuari!B103)</f>
        <v/>
      </c>
      <c r="C103" s="9" t="str">
        <f aca="false">IF(Equips_usuari!C103="","",Equips_usuari!C103)</f>
        <v/>
      </c>
      <c r="D103" s="9" t="str">
        <f aca="false">IF(Equips_usuari!D103="","",Equips_usuari!D103)</f>
        <v/>
      </c>
      <c r="E103" s="9" t="str">
        <f aca="false">IF(Equips_usuari!F103="","",Equips_usuari!F103)</f>
        <v/>
      </c>
      <c r="F103" s="9" t="str">
        <f aca="false">IF($C103="","",SUMIFS(Resultats_jugadores!$C:$C,Resultats_jugadores!$A:$A,$A103,Resultats_jugadores!$B:$B,$C103))</f>
        <v/>
      </c>
      <c r="G103" s="9" t="str">
        <f aca="false">IF($C103="","",SUMIFS(Resultats_jugadores!$D:$D,Resultats_jugadores!$A:$A,$A103,Resultats_jugadores!$B:$B,$C103))</f>
        <v/>
      </c>
      <c r="H103" s="9" t="str">
        <f aca="false">IF($C103="","",N($F103)-N($G103))</f>
        <v/>
      </c>
      <c r="I103" s="9" t="str">
        <f aca="false">IF($C103="","",IFERROR(INDEX(Partits!$C:$C,MATCH($A103&amp;"_"&amp;$D103,Partits!$D:$D,0)),""))</f>
        <v/>
      </c>
      <c r="J103" s="9" t="str">
        <f aca="false">IF($C103="","",IF(AND($I103="V",N($H103)&gt;0),1.2,1))</f>
        <v/>
      </c>
      <c r="K103" s="9" t="str">
        <f aca="false">IF($C103="","",N($H103)*$J103)</f>
        <v/>
      </c>
      <c r="L103" s="9" t="str">
        <f aca="false">IF($C103="","",IF($E103="SI",2,1))</f>
        <v/>
      </c>
      <c r="M103" s="9" t="str">
        <f aca="false">IF($C103="","",$K103*$L103)</f>
        <v/>
      </c>
    </row>
    <row r="104" customFormat="false" ht="15" hidden="false" customHeight="true" outlineLevel="0" collapsed="false">
      <c r="A104" s="9" t="str">
        <f aca="false">IF(Equips_usuari!A104="","",Equips_usuari!A104)</f>
        <v/>
      </c>
      <c r="B104" s="9" t="str">
        <f aca="false">IF(Equips_usuari!B104="","",Equips_usuari!B104)</f>
        <v/>
      </c>
      <c r="C104" s="9" t="str">
        <f aca="false">IF(Equips_usuari!C104="","",Equips_usuari!C104)</f>
        <v/>
      </c>
      <c r="D104" s="9" t="str">
        <f aca="false">IF(Equips_usuari!D104="","",Equips_usuari!D104)</f>
        <v/>
      </c>
      <c r="E104" s="9" t="str">
        <f aca="false">IF(Equips_usuari!F104="","",Equips_usuari!F104)</f>
        <v/>
      </c>
      <c r="F104" s="9" t="str">
        <f aca="false">IF($C104="","",SUMIFS(Resultats_jugadores!$C:$C,Resultats_jugadores!$A:$A,$A104,Resultats_jugadores!$B:$B,$C104))</f>
        <v/>
      </c>
      <c r="G104" s="9" t="str">
        <f aca="false">IF($C104="","",SUMIFS(Resultats_jugadores!$D:$D,Resultats_jugadores!$A:$A,$A104,Resultats_jugadores!$B:$B,$C104))</f>
        <v/>
      </c>
      <c r="H104" s="9" t="str">
        <f aca="false">IF($C104="","",N($F104)-N($G104))</f>
        <v/>
      </c>
      <c r="I104" s="9" t="str">
        <f aca="false">IF($C104="","",IFERROR(INDEX(Partits!$C:$C,MATCH($A104&amp;"_"&amp;$D104,Partits!$D:$D,0)),""))</f>
        <v/>
      </c>
      <c r="J104" s="9" t="str">
        <f aca="false">IF($C104="","",IF(AND($I104="V",N($H104)&gt;0),1.2,1))</f>
        <v/>
      </c>
      <c r="K104" s="9" t="str">
        <f aca="false">IF($C104="","",N($H104)*$J104)</f>
        <v/>
      </c>
      <c r="L104" s="9" t="str">
        <f aca="false">IF($C104="","",IF($E104="SI",2,1))</f>
        <v/>
      </c>
      <c r="M104" s="9" t="str">
        <f aca="false">IF($C104="","",$K104*$L104)</f>
        <v/>
      </c>
    </row>
    <row r="105" customFormat="false" ht="15" hidden="false" customHeight="true" outlineLevel="0" collapsed="false">
      <c r="A105" s="9" t="str">
        <f aca="false">IF(Equips_usuari!A105="","",Equips_usuari!A105)</f>
        <v/>
      </c>
      <c r="B105" s="9" t="str">
        <f aca="false">IF(Equips_usuari!B105="","",Equips_usuari!B105)</f>
        <v/>
      </c>
      <c r="C105" s="9" t="str">
        <f aca="false">IF(Equips_usuari!C105="","",Equips_usuari!C105)</f>
        <v/>
      </c>
      <c r="D105" s="9" t="str">
        <f aca="false">IF(Equips_usuari!D105="","",Equips_usuari!D105)</f>
        <v/>
      </c>
      <c r="E105" s="9" t="str">
        <f aca="false">IF(Equips_usuari!F105="","",Equips_usuari!F105)</f>
        <v/>
      </c>
      <c r="F105" s="9" t="str">
        <f aca="false">IF($C105="","",SUMIFS(Resultats_jugadores!$C:$C,Resultats_jugadores!$A:$A,$A105,Resultats_jugadores!$B:$B,$C105))</f>
        <v/>
      </c>
      <c r="G105" s="9" t="str">
        <f aca="false">IF($C105="","",SUMIFS(Resultats_jugadores!$D:$D,Resultats_jugadores!$A:$A,$A105,Resultats_jugadores!$B:$B,$C105))</f>
        <v/>
      </c>
      <c r="H105" s="9" t="str">
        <f aca="false">IF($C105="","",N($F105)-N($G105))</f>
        <v/>
      </c>
      <c r="I105" s="9" t="str">
        <f aca="false">IF($C105="","",IFERROR(INDEX(Partits!$C:$C,MATCH($A105&amp;"_"&amp;$D105,Partits!$D:$D,0)),""))</f>
        <v/>
      </c>
      <c r="J105" s="9" t="str">
        <f aca="false">IF($C105="","",IF(AND($I105="V",N($H105)&gt;0),1.2,1))</f>
        <v/>
      </c>
      <c r="K105" s="9" t="str">
        <f aca="false">IF($C105="","",N($H105)*$J105)</f>
        <v/>
      </c>
      <c r="L105" s="9" t="str">
        <f aca="false">IF($C105="","",IF($E105="SI",2,1))</f>
        <v/>
      </c>
      <c r="M105" s="9" t="str">
        <f aca="false">IF($C105="","",$K105*$L105)</f>
        <v/>
      </c>
    </row>
    <row r="106" customFormat="false" ht="15" hidden="false" customHeight="true" outlineLevel="0" collapsed="false">
      <c r="A106" s="9" t="str">
        <f aca="false">IF(Equips_usuari!A106="","",Equips_usuari!A106)</f>
        <v/>
      </c>
      <c r="B106" s="9" t="str">
        <f aca="false">IF(Equips_usuari!B106="","",Equips_usuari!B106)</f>
        <v/>
      </c>
      <c r="C106" s="9" t="str">
        <f aca="false">IF(Equips_usuari!C106="","",Equips_usuari!C106)</f>
        <v/>
      </c>
      <c r="D106" s="9" t="str">
        <f aca="false">IF(Equips_usuari!D106="","",Equips_usuari!D106)</f>
        <v/>
      </c>
      <c r="E106" s="9" t="str">
        <f aca="false">IF(Equips_usuari!F106="","",Equips_usuari!F106)</f>
        <v/>
      </c>
      <c r="F106" s="9" t="str">
        <f aca="false">IF($C106="","",SUMIFS(Resultats_jugadores!$C:$C,Resultats_jugadores!$A:$A,$A106,Resultats_jugadores!$B:$B,$C106))</f>
        <v/>
      </c>
      <c r="G106" s="9" t="str">
        <f aca="false">IF($C106="","",SUMIFS(Resultats_jugadores!$D:$D,Resultats_jugadores!$A:$A,$A106,Resultats_jugadores!$B:$B,$C106))</f>
        <v/>
      </c>
      <c r="H106" s="9" t="str">
        <f aca="false">IF($C106="","",N($F106)-N($G106))</f>
        <v/>
      </c>
      <c r="I106" s="9" t="str">
        <f aca="false">IF($C106="","",IFERROR(INDEX(Partits!$C:$C,MATCH($A106&amp;"_"&amp;$D106,Partits!$D:$D,0)),""))</f>
        <v/>
      </c>
      <c r="J106" s="9" t="str">
        <f aca="false">IF($C106="","",IF(AND($I106="V",N($H106)&gt;0),1.2,1))</f>
        <v/>
      </c>
      <c r="K106" s="9" t="str">
        <f aca="false">IF($C106="","",N($H106)*$J106)</f>
        <v/>
      </c>
      <c r="L106" s="9" t="str">
        <f aca="false">IF($C106="","",IF($E106="SI",2,1))</f>
        <v/>
      </c>
      <c r="M106" s="9" t="str">
        <f aca="false">IF($C106="","",$K106*$L106)</f>
        <v/>
      </c>
    </row>
    <row r="107" customFormat="false" ht="15" hidden="false" customHeight="true" outlineLevel="0" collapsed="false">
      <c r="A107" s="9" t="str">
        <f aca="false">IF(Equips_usuari!A107="","",Equips_usuari!A107)</f>
        <v/>
      </c>
      <c r="B107" s="9" t="str">
        <f aca="false">IF(Equips_usuari!B107="","",Equips_usuari!B107)</f>
        <v/>
      </c>
      <c r="C107" s="9" t="str">
        <f aca="false">IF(Equips_usuari!C107="","",Equips_usuari!C107)</f>
        <v/>
      </c>
      <c r="D107" s="9" t="str">
        <f aca="false">IF(Equips_usuari!D107="","",Equips_usuari!D107)</f>
        <v/>
      </c>
      <c r="E107" s="9" t="str">
        <f aca="false">IF(Equips_usuari!F107="","",Equips_usuari!F107)</f>
        <v/>
      </c>
      <c r="F107" s="9" t="str">
        <f aca="false">IF($C107="","",SUMIFS(Resultats_jugadores!$C:$C,Resultats_jugadores!$A:$A,$A107,Resultats_jugadores!$B:$B,$C107))</f>
        <v/>
      </c>
      <c r="G107" s="9" t="str">
        <f aca="false">IF($C107="","",SUMIFS(Resultats_jugadores!$D:$D,Resultats_jugadores!$A:$A,$A107,Resultats_jugadores!$B:$B,$C107))</f>
        <v/>
      </c>
      <c r="H107" s="9" t="str">
        <f aca="false">IF($C107="","",N($F107)-N($G107))</f>
        <v/>
      </c>
      <c r="I107" s="9" t="str">
        <f aca="false">IF($C107="","",IFERROR(INDEX(Partits!$C:$C,MATCH($A107&amp;"_"&amp;$D107,Partits!$D:$D,0)),""))</f>
        <v/>
      </c>
      <c r="J107" s="9" t="str">
        <f aca="false">IF($C107="","",IF(AND($I107="V",N($H107)&gt;0),1.2,1))</f>
        <v/>
      </c>
      <c r="K107" s="9" t="str">
        <f aca="false">IF($C107="","",N($H107)*$J107)</f>
        <v/>
      </c>
      <c r="L107" s="9" t="str">
        <f aca="false">IF($C107="","",IF($E107="SI",2,1))</f>
        <v/>
      </c>
      <c r="M107" s="9" t="str">
        <f aca="false">IF($C107="","",$K107*$L107)</f>
        <v/>
      </c>
    </row>
    <row r="108" customFormat="false" ht="15" hidden="false" customHeight="true" outlineLevel="0" collapsed="false">
      <c r="A108" s="9" t="str">
        <f aca="false">IF(Equips_usuari!A108="","",Equips_usuari!A108)</f>
        <v/>
      </c>
      <c r="B108" s="9" t="str">
        <f aca="false">IF(Equips_usuari!B108="","",Equips_usuari!B108)</f>
        <v/>
      </c>
      <c r="C108" s="9" t="str">
        <f aca="false">IF(Equips_usuari!C108="","",Equips_usuari!C108)</f>
        <v/>
      </c>
      <c r="D108" s="9" t="str">
        <f aca="false">IF(Equips_usuari!D108="","",Equips_usuari!D108)</f>
        <v/>
      </c>
      <c r="E108" s="9" t="str">
        <f aca="false">IF(Equips_usuari!F108="","",Equips_usuari!F108)</f>
        <v/>
      </c>
      <c r="F108" s="9" t="str">
        <f aca="false">IF($C108="","",SUMIFS(Resultats_jugadores!$C:$C,Resultats_jugadores!$A:$A,$A108,Resultats_jugadores!$B:$B,$C108))</f>
        <v/>
      </c>
      <c r="G108" s="9" t="str">
        <f aca="false">IF($C108="","",SUMIFS(Resultats_jugadores!$D:$D,Resultats_jugadores!$A:$A,$A108,Resultats_jugadores!$B:$B,$C108))</f>
        <v/>
      </c>
      <c r="H108" s="9" t="str">
        <f aca="false">IF($C108="","",N($F108)-N($G108))</f>
        <v/>
      </c>
      <c r="I108" s="9" t="str">
        <f aca="false">IF($C108="","",IFERROR(INDEX(Partits!$C:$C,MATCH($A108&amp;"_"&amp;$D108,Partits!$D:$D,0)),""))</f>
        <v/>
      </c>
      <c r="J108" s="9" t="str">
        <f aca="false">IF($C108="","",IF(AND($I108="V",N($H108)&gt;0),1.2,1))</f>
        <v/>
      </c>
      <c r="K108" s="9" t="str">
        <f aca="false">IF($C108="","",N($H108)*$J108)</f>
        <v/>
      </c>
      <c r="L108" s="9" t="str">
        <f aca="false">IF($C108="","",IF($E108="SI",2,1))</f>
        <v/>
      </c>
      <c r="M108" s="9" t="str">
        <f aca="false">IF($C108="","",$K108*$L108)</f>
        <v/>
      </c>
    </row>
    <row r="109" customFormat="false" ht="15" hidden="false" customHeight="true" outlineLevel="0" collapsed="false">
      <c r="A109" s="9" t="str">
        <f aca="false">IF(Equips_usuari!A109="","",Equips_usuari!A109)</f>
        <v/>
      </c>
      <c r="B109" s="9" t="str">
        <f aca="false">IF(Equips_usuari!B109="","",Equips_usuari!B109)</f>
        <v/>
      </c>
      <c r="C109" s="9" t="str">
        <f aca="false">IF(Equips_usuari!C109="","",Equips_usuari!C109)</f>
        <v/>
      </c>
      <c r="D109" s="9" t="str">
        <f aca="false">IF(Equips_usuari!D109="","",Equips_usuari!D109)</f>
        <v/>
      </c>
      <c r="E109" s="9" t="str">
        <f aca="false">IF(Equips_usuari!F109="","",Equips_usuari!F109)</f>
        <v/>
      </c>
      <c r="F109" s="9" t="str">
        <f aca="false">IF($C109="","",SUMIFS(Resultats_jugadores!$C:$C,Resultats_jugadores!$A:$A,$A109,Resultats_jugadores!$B:$B,$C109))</f>
        <v/>
      </c>
      <c r="G109" s="9" t="str">
        <f aca="false">IF($C109="","",SUMIFS(Resultats_jugadores!$D:$D,Resultats_jugadores!$A:$A,$A109,Resultats_jugadores!$B:$B,$C109))</f>
        <v/>
      </c>
      <c r="H109" s="9" t="str">
        <f aca="false">IF($C109="","",N($F109)-N($G109))</f>
        <v/>
      </c>
      <c r="I109" s="9" t="str">
        <f aca="false">IF($C109="","",IFERROR(INDEX(Partits!$C:$C,MATCH($A109&amp;"_"&amp;$D109,Partits!$D:$D,0)),""))</f>
        <v/>
      </c>
      <c r="J109" s="9" t="str">
        <f aca="false">IF($C109="","",IF(AND($I109="V",N($H109)&gt;0),1.2,1))</f>
        <v/>
      </c>
      <c r="K109" s="9" t="str">
        <f aca="false">IF($C109="","",N($H109)*$J109)</f>
        <v/>
      </c>
      <c r="L109" s="9" t="str">
        <f aca="false">IF($C109="","",IF($E109="SI",2,1))</f>
        <v/>
      </c>
      <c r="M109" s="9" t="str">
        <f aca="false">IF($C109="","",$K109*$L109)</f>
        <v/>
      </c>
    </row>
    <row r="110" customFormat="false" ht="15" hidden="false" customHeight="true" outlineLevel="0" collapsed="false">
      <c r="A110" s="9" t="str">
        <f aca="false">IF(Equips_usuari!A110="","",Equips_usuari!A110)</f>
        <v/>
      </c>
      <c r="B110" s="9" t="str">
        <f aca="false">IF(Equips_usuari!B110="","",Equips_usuari!B110)</f>
        <v/>
      </c>
      <c r="C110" s="9" t="str">
        <f aca="false">IF(Equips_usuari!C110="","",Equips_usuari!C110)</f>
        <v/>
      </c>
      <c r="D110" s="9" t="str">
        <f aca="false">IF(Equips_usuari!D110="","",Equips_usuari!D110)</f>
        <v/>
      </c>
      <c r="E110" s="9" t="str">
        <f aca="false">IF(Equips_usuari!F110="","",Equips_usuari!F110)</f>
        <v/>
      </c>
      <c r="F110" s="9" t="str">
        <f aca="false">IF($C110="","",SUMIFS(Resultats_jugadores!$C:$C,Resultats_jugadores!$A:$A,$A110,Resultats_jugadores!$B:$B,$C110))</f>
        <v/>
      </c>
      <c r="G110" s="9" t="str">
        <f aca="false">IF($C110="","",SUMIFS(Resultats_jugadores!$D:$D,Resultats_jugadores!$A:$A,$A110,Resultats_jugadores!$B:$B,$C110))</f>
        <v/>
      </c>
      <c r="H110" s="9" t="str">
        <f aca="false">IF($C110="","",N($F110)-N($G110))</f>
        <v/>
      </c>
      <c r="I110" s="9" t="str">
        <f aca="false">IF($C110="","",IFERROR(INDEX(Partits!$C:$C,MATCH($A110&amp;"_"&amp;$D110,Partits!$D:$D,0)),""))</f>
        <v/>
      </c>
      <c r="J110" s="9" t="str">
        <f aca="false">IF($C110="","",IF(AND($I110="V",N($H110)&gt;0),1.2,1))</f>
        <v/>
      </c>
      <c r="K110" s="9" t="str">
        <f aca="false">IF($C110="","",N($H110)*$J110)</f>
        <v/>
      </c>
      <c r="L110" s="9" t="str">
        <f aca="false">IF($C110="","",IF($E110="SI",2,1))</f>
        <v/>
      </c>
      <c r="M110" s="9" t="str">
        <f aca="false">IF($C110="","",$K110*$L110)</f>
        <v/>
      </c>
    </row>
    <row r="111" customFormat="false" ht="15" hidden="false" customHeight="true" outlineLevel="0" collapsed="false">
      <c r="A111" s="9" t="str">
        <f aca="false">IF(Equips_usuari!A111="","",Equips_usuari!A111)</f>
        <v/>
      </c>
      <c r="B111" s="9" t="str">
        <f aca="false">IF(Equips_usuari!B111="","",Equips_usuari!B111)</f>
        <v/>
      </c>
      <c r="C111" s="9" t="str">
        <f aca="false">IF(Equips_usuari!C111="","",Equips_usuari!C111)</f>
        <v/>
      </c>
      <c r="D111" s="9" t="str">
        <f aca="false">IF(Equips_usuari!D111="","",Equips_usuari!D111)</f>
        <v/>
      </c>
      <c r="E111" s="9" t="str">
        <f aca="false">IF(Equips_usuari!F111="","",Equips_usuari!F111)</f>
        <v/>
      </c>
      <c r="F111" s="9" t="str">
        <f aca="false">IF($C111="","",SUMIFS(Resultats_jugadores!$C:$C,Resultats_jugadores!$A:$A,$A111,Resultats_jugadores!$B:$B,$C111))</f>
        <v/>
      </c>
      <c r="G111" s="9" t="str">
        <f aca="false">IF($C111="","",SUMIFS(Resultats_jugadores!$D:$D,Resultats_jugadores!$A:$A,$A111,Resultats_jugadores!$B:$B,$C111))</f>
        <v/>
      </c>
      <c r="H111" s="9" t="str">
        <f aca="false">IF($C111="","",N($F111)-N($G111))</f>
        <v/>
      </c>
      <c r="I111" s="9" t="str">
        <f aca="false">IF($C111="","",IFERROR(INDEX(Partits!$C:$C,MATCH($A111&amp;"_"&amp;$D111,Partits!$D:$D,0)),""))</f>
        <v/>
      </c>
      <c r="J111" s="9" t="str">
        <f aca="false">IF($C111="","",IF(AND($I111="V",N($H111)&gt;0),1.2,1))</f>
        <v/>
      </c>
      <c r="K111" s="9" t="str">
        <f aca="false">IF($C111="","",N($H111)*$J111)</f>
        <v/>
      </c>
      <c r="L111" s="9" t="str">
        <f aca="false">IF($C111="","",IF($E111="SI",2,1))</f>
        <v/>
      </c>
      <c r="M111" s="9" t="str">
        <f aca="false">IF($C111="","",$K111*$L111)</f>
        <v/>
      </c>
    </row>
    <row r="112" customFormat="false" ht="15" hidden="false" customHeight="true" outlineLevel="0" collapsed="false">
      <c r="A112" s="9" t="str">
        <f aca="false">IF(Equips_usuari!A112="","",Equips_usuari!A112)</f>
        <v/>
      </c>
      <c r="B112" s="9" t="str">
        <f aca="false">IF(Equips_usuari!B112="","",Equips_usuari!B112)</f>
        <v/>
      </c>
      <c r="C112" s="9" t="str">
        <f aca="false">IF(Equips_usuari!C112="","",Equips_usuari!C112)</f>
        <v/>
      </c>
      <c r="D112" s="9" t="str">
        <f aca="false">IF(Equips_usuari!D112="","",Equips_usuari!D112)</f>
        <v/>
      </c>
      <c r="E112" s="9" t="str">
        <f aca="false">IF(Equips_usuari!F112="","",Equips_usuari!F112)</f>
        <v/>
      </c>
      <c r="F112" s="9" t="str">
        <f aca="false">IF($C112="","",SUMIFS(Resultats_jugadores!$C:$C,Resultats_jugadores!$A:$A,$A112,Resultats_jugadores!$B:$B,$C112))</f>
        <v/>
      </c>
      <c r="G112" s="9" t="str">
        <f aca="false">IF($C112="","",SUMIFS(Resultats_jugadores!$D:$D,Resultats_jugadores!$A:$A,$A112,Resultats_jugadores!$B:$B,$C112))</f>
        <v/>
      </c>
      <c r="H112" s="9" t="str">
        <f aca="false">IF($C112="","",N($F112)-N($G112))</f>
        <v/>
      </c>
      <c r="I112" s="9" t="str">
        <f aca="false">IF($C112="","",IFERROR(INDEX(Partits!$C:$C,MATCH($A112&amp;"_"&amp;$D112,Partits!$D:$D,0)),""))</f>
        <v/>
      </c>
      <c r="J112" s="9" t="str">
        <f aca="false">IF($C112="","",IF(AND($I112="V",N($H112)&gt;0),1.2,1))</f>
        <v/>
      </c>
      <c r="K112" s="9" t="str">
        <f aca="false">IF($C112="","",N($H112)*$J112)</f>
        <v/>
      </c>
      <c r="L112" s="9" t="str">
        <f aca="false">IF($C112="","",IF($E112="SI",2,1))</f>
        <v/>
      </c>
      <c r="M112" s="9" t="str">
        <f aca="false">IF($C112="","",$K112*$L112)</f>
        <v/>
      </c>
    </row>
    <row r="113" customFormat="false" ht="15" hidden="false" customHeight="true" outlineLevel="0" collapsed="false">
      <c r="A113" s="9" t="str">
        <f aca="false">IF(Equips_usuari!A113="","",Equips_usuari!A113)</f>
        <v/>
      </c>
      <c r="B113" s="9" t="str">
        <f aca="false">IF(Equips_usuari!B113="","",Equips_usuari!B113)</f>
        <v/>
      </c>
      <c r="C113" s="9" t="str">
        <f aca="false">IF(Equips_usuari!C113="","",Equips_usuari!C113)</f>
        <v/>
      </c>
      <c r="D113" s="9" t="str">
        <f aca="false">IF(Equips_usuari!D113="","",Equips_usuari!D113)</f>
        <v/>
      </c>
      <c r="E113" s="9" t="str">
        <f aca="false">IF(Equips_usuari!F113="","",Equips_usuari!F113)</f>
        <v/>
      </c>
      <c r="F113" s="9" t="str">
        <f aca="false">IF($C113="","",SUMIFS(Resultats_jugadores!$C:$C,Resultats_jugadores!$A:$A,$A113,Resultats_jugadores!$B:$B,$C113))</f>
        <v/>
      </c>
      <c r="G113" s="9" t="str">
        <f aca="false">IF($C113="","",SUMIFS(Resultats_jugadores!$D:$D,Resultats_jugadores!$A:$A,$A113,Resultats_jugadores!$B:$B,$C113))</f>
        <v/>
      </c>
      <c r="H113" s="9" t="str">
        <f aca="false">IF($C113="","",N($F113)-N($G113))</f>
        <v/>
      </c>
      <c r="I113" s="9" t="str">
        <f aca="false">IF($C113="","",IFERROR(INDEX(Partits!$C:$C,MATCH($A113&amp;"_"&amp;$D113,Partits!$D:$D,0)),""))</f>
        <v/>
      </c>
      <c r="J113" s="9" t="str">
        <f aca="false">IF($C113="","",IF(AND($I113="V",N($H113)&gt;0),1.2,1))</f>
        <v/>
      </c>
      <c r="K113" s="9" t="str">
        <f aca="false">IF($C113="","",N($H113)*$J113)</f>
        <v/>
      </c>
      <c r="L113" s="9" t="str">
        <f aca="false">IF($C113="","",IF($E113="SI",2,1))</f>
        <v/>
      </c>
      <c r="M113" s="9" t="str">
        <f aca="false">IF($C113="","",$K113*$L113)</f>
        <v/>
      </c>
    </row>
    <row r="114" customFormat="false" ht="15" hidden="false" customHeight="true" outlineLevel="0" collapsed="false">
      <c r="A114" s="9" t="str">
        <f aca="false">IF(Equips_usuari!A114="","",Equips_usuari!A114)</f>
        <v/>
      </c>
      <c r="B114" s="9" t="str">
        <f aca="false">IF(Equips_usuari!B114="","",Equips_usuari!B114)</f>
        <v/>
      </c>
      <c r="C114" s="9" t="str">
        <f aca="false">IF(Equips_usuari!C114="","",Equips_usuari!C114)</f>
        <v/>
      </c>
      <c r="D114" s="9" t="str">
        <f aca="false">IF(Equips_usuari!D114="","",Equips_usuari!D114)</f>
        <v/>
      </c>
      <c r="E114" s="9" t="str">
        <f aca="false">IF(Equips_usuari!F114="","",Equips_usuari!F114)</f>
        <v/>
      </c>
      <c r="F114" s="9" t="str">
        <f aca="false">IF($C114="","",SUMIFS(Resultats_jugadores!$C:$C,Resultats_jugadores!$A:$A,$A114,Resultats_jugadores!$B:$B,$C114))</f>
        <v/>
      </c>
      <c r="G114" s="9" t="str">
        <f aca="false">IF($C114="","",SUMIFS(Resultats_jugadores!$D:$D,Resultats_jugadores!$A:$A,$A114,Resultats_jugadores!$B:$B,$C114))</f>
        <v/>
      </c>
      <c r="H114" s="9" t="str">
        <f aca="false">IF($C114="","",N($F114)-N($G114))</f>
        <v/>
      </c>
      <c r="I114" s="9" t="str">
        <f aca="false">IF($C114="","",IFERROR(INDEX(Partits!$C:$C,MATCH($A114&amp;"_"&amp;$D114,Partits!$D:$D,0)),""))</f>
        <v/>
      </c>
      <c r="J114" s="9" t="str">
        <f aca="false">IF($C114="","",IF(AND($I114="V",N($H114)&gt;0),1.2,1))</f>
        <v/>
      </c>
      <c r="K114" s="9" t="str">
        <f aca="false">IF($C114="","",N($H114)*$J114)</f>
        <v/>
      </c>
      <c r="L114" s="9" t="str">
        <f aca="false">IF($C114="","",IF($E114="SI",2,1))</f>
        <v/>
      </c>
      <c r="M114" s="9" t="str">
        <f aca="false">IF($C114="","",$K114*$L114)</f>
        <v/>
      </c>
    </row>
    <row r="115" customFormat="false" ht="15" hidden="false" customHeight="true" outlineLevel="0" collapsed="false">
      <c r="A115" s="9" t="str">
        <f aca="false">IF(Equips_usuari!A115="","",Equips_usuari!A115)</f>
        <v/>
      </c>
      <c r="B115" s="9" t="str">
        <f aca="false">IF(Equips_usuari!B115="","",Equips_usuari!B115)</f>
        <v/>
      </c>
      <c r="C115" s="9" t="str">
        <f aca="false">IF(Equips_usuari!C115="","",Equips_usuari!C115)</f>
        <v/>
      </c>
      <c r="D115" s="9" t="str">
        <f aca="false">IF(Equips_usuari!D115="","",Equips_usuari!D115)</f>
        <v/>
      </c>
      <c r="E115" s="9" t="str">
        <f aca="false">IF(Equips_usuari!F115="","",Equips_usuari!F115)</f>
        <v/>
      </c>
      <c r="F115" s="9" t="str">
        <f aca="false">IF($C115="","",SUMIFS(Resultats_jugadores!$C:$C,Resultats_jugadores!$A:$A,$A115,Resultats_jugadores!$B:$B,$C115))</f>
        <v/>
      </c>
      <c r="G115" s="9" t="str">
        <f aca="false">IF($C115="","",SUMIFS(Resultats_jugadores!$D:$D,Resultats_jugadores!$A:$A,$A115,Resultats_jugadores!$B:$B,$C115))</f>
        <v/>
      </c>
      <c r="H115" s="9" t="str">
        <f aca="false">IF($C115="","",N($F115)-N($G115))</f>
        <v/>
      </c>
      <c r="I115" s="9" t="str">
        <f aca="false">IF($C115="","",IFERROR(INDEX(Partits!$C:$C,MATCH($A115&amp;"_"&amp;$D115,Partits!$D:$D,0)),""))</f>
        <v/>
      </c>
      <c r="J115" s="9" t="str">
        <f aca="false">IF($C115="","",IF(AND($I115="V",N($H115)&gt;0),1.2,1))</f>
        <v/>
      </c>
      <c r="K115" s="9" t="str">
        <f aca="false">IF($C115="","",N($H115)*$J115)</f>
        <v/>
      </c>
      <c r="L115" s="9" t="str">
        <f aca="false">IF($C115="","",IF($E115="SI",2,1))</f>
        <v/>
      </c>
      <c r="M115" s="9" t="str">
        <f aca="false">IF($C115="","",$K115*$L115)</f>
        <v/>
      </c>
    </row>
    <row r="116" customFormat="false" ht="15" hidden="false" customHeight="true" outlineLevel="0" collapsed="false">
      <c r="A116" s="9" t="str">
        <f aca="false">IF(Equips_usuari!A116="","",Equips_usuari!A116)</f>
        <v/>
      </c>
      <c r="B116" s="9" t="str">
        <f aca="false">IF(Equips_usuari!B116="","",Equips_usuari!B116)</f>
        <v/>
      </c>
      <c r="C116" s="9" t="str">
        <f aca="false">IF(Equips_usuari!C116="","",Equips_usuari!C116)</f>
        <v/>
      </c>
      <c r="D116" s="9" t="str">
        <f aca="false">IF(Equips_usuari!D116="","",Equips_usuari!D116)</f>
        <v/>
      </c>
      <c r="E116" s="9" t="str">
        <f aca="false">IF(Equips_usuari!F116="","",Equips_usuari!F116)</f>
        <v/>
      </c>
      <c r="F116" s="9" t="str">
        <f aca="false">IF($C116="","",SUMIFS(Resultats_jugadores!$C:$C,Resultats_jugadores!$A:$A,$A116,Resultats_jugadores!$B:$B,$C116))</f>
        <v/>
      </c>
      <c r="G116" s="9" t="str">
        <f aca="false">IF($C116="","",SUMIFS(Resultats_jugadores!$D:$D,Resultats_jugadores!$A:$A,$A116,Resultats_jugadores!$B:$B,$C116))</f>
        <v/>
      </c>
      <c r="H116" s="9" t="str">
        <f aca="false">IF($C116="","",N($F116)-N($G116))</f>
        <v/>
      </c>
      <c r="I116" s="9" t="str">
        <f aca="false">IF($C116="","",IFERROR(INDEX(Partits!$C:$C,MATCH($A116&amp;"_"&amp;$D116,Partits!$D:$D,0)),""))</f>
        <v/>
      </c>
      <c r="J116" s="9" t="str">
        <f aca="false">IF($C116="","",IF(AND($I116="V",N($H116)&gt;0),1.2,1))</f>
        <v/>
      </c>
      <c r="K116" s="9" t="str">
        <f aca="false">IF($C116="","",N($H116)*$J116)</f>
        <v/>
      </c>
      <c r="L116" s="9" t="str">
        <f aca="false">IF($C116="","",IF($E116="SI",2,1))</f>
        <v/>
      </c>
      <c r="M116" s="9" t="str">
        <f aca="false">IF($C116="","",$K116*$L116)</f>
        <v/>
      </c>
    </row>
    <row r="117" customFormat="false" ht="15" hidden="false" customHeight="true" outlineLevel="0" collapsed="false">
      <c r="A117" s="9" t="str">
        <f aca="false">IF(Equips_usuari!A117="","",Equips_usuari!A117)</f>
        <v/>
      </c>
      <c r="B117" s="9" t="str">
        <f aca="false">IF(Equips_usuari!B117="","",Equips_usuari!B117)</f>
        <v/>
      </c>
      <c r="C117" s="9" t="str">
        <f aca="false">IF(Equips_usuari!C117="","",Equips_usuari!C117)</f>
        <v/>
      </c>
      <c r="D117" s="9" t="str">
        <f aca="false">IF(Equips_usuari!D117="","",Equips_usuari!D117)</f>
        <v/>
      </c>
      <c r="E117" s="9" t="str">
        <f aca="false">IF(Equips_usuari!F117="","",Equips_usuari!F117)</f>
        <v/>
      </c>
      <c r="F117" s="9" t="str">
        <f aca="false">IF($C117="","",SUMIFS(Resultats_jugadores!$C:$C,Resultats_jugadores!$A:$A,$A117,Resultats_jugadores!$B:$B,$C117))</f>
        <v/>
      </c>
      <c r="G117" s="9" t="str">
        <f aca="false">IF($C117="","",SUMIFS(Resultats_jugadores!$D:$D,Resultats_jugadores!$A:$A,$A117,Resultats_jugadores!$B:$B,$C117))</f>
        <v/>
      </c>
      <c r="H117" s="9" t="str">
        <f aca="false">IF($C117="","",N($F117)-N($G117))</f>
        <v/>
      </c>
      <c r="I117" s="9" t="str">
        <f aca="false">IF($C117="","",IFERROR(INDEX(Partits!$C:$C,MATCH($A117&amp;"_"&amp;$D117,Partits!$D:$D,0)),""))</f>
        <v/>
      </c>
      <c r="J117" s="9" t="str">
        <f aca="false">IF($C117="","",IF(AND($I117="V",N($H117)&gt;0),1.2,1))</f>
        <v/>
      </c>
      <c r="K117" s="9" t="str">
        <f aca="false">IF($C117="","",N($H117)*$J117)</f>
        <v/>
      </c>
      <c r="L117" s="9" t="str">
        <f aca="false">IF($C117="","",IF($E117="SI",2,1))</f>
        <v/>
      </c>
      <c r="M117" s="9" t="str">
        <f aca="false">IF($C117="","",$K117*$L117)</f>
        <v/>
      </c>
    </row>
    <row r="118" customFormat="false" ht="15" hidden="false" customHeight="true" outlineLevel="0" collapsed="false">
      <c r="A118" s="9" t="str">
        <f aca="false">IF(Equips_usuari!A118="","",Equips_usuari!A118)</f>
        <v/>
      </c>
      <c r="B118" s="9" t="str">
        <f aca="false">IF(Equips_usuari!B118="","",Equips_usuari!B118)</f>
        <v/>
      </c>
      <c r="C118" s="9" t="str">
        <f aca="false">IF(Equips_usuari!C118="","",Equips_usuari!C118)</f>
        <v/>
      </c>
      <c r="D118" s="9" t="str">
        <f aca="false">IF(Equips_usuari!D118="","",Equips_usuari!D118)</f>
        <v/>
      </c>
      <c r="E118" s="9" t="str">
        <f aca="false">IF(Equips_usuari!F118="","",Equips_usuari!F118)</f>
        <v/>
      </c>
      <c r="F118" s="9" t="str">
        <f aca="false">IF($C118="","",SUMIFS(Resultats_jugadores!$C:$C,Resultats_jugadores!$A:$A,$A118,Resultats_jugadores!$B:$B,$C118))</f>
        <v/>
      </c>
      <c r="G118" s="9" t="str">
        <f aca="false">IF($C118="","",SUMIFS(Resultats_jugadores!$D:$D,Resultats_jugadores!$A:$A,$A118,Resultats_jugadores!$B:$B,$C118))</f>
        <v/>
      </c>
      <c r="H118" s="9" t="str">
        <f aca="false">IF($C118="","",N($F118)-N($G118))</f>
        <v/>
      </c>
      <c r="I118" s="9" t="str">
        <f aca="false">IF($C118="","",IFERROR(INDEX(Partits!$C:$C,MATCH($A118&amp;"_"&amp;$D118,Partits!$D:$D,0)),""))</f>
        <v/>
      </c>
      <c r="J118" s="9" t="str">
        <f aca="false">IF($C118="","",IF(AND($I118="V",N($H118)&gt;0),1.2,1))</f>
        <v/>
      </c>
      <c r="K118" s="9" t="str">
        <f aca="false">IF($C118="","",N($H118)*$J118)</f>
        <v/>
      </c>
      <c r="L118" s="9" t="str">
        <f aca="false">IF($C118="","",IF($E118="SI",2,1))</f>
        <v/>
      </c>
      <c r="M118" s="9" t="str">
        <f aca="false">IF($C118="","",$K118*$L118)</f>
        <v/>
      </c>
    </row>
    <row r="119" customFormat="false" ht="15" hidden="false" customHeight="true" outlineLevel="0" collapsed="false">
      <c r="A119" s="9" t="str">
        <f aca="false">IF(Equips_usuari!A119="","",Equips_usuari!A119)</f>
        <v/>
      </c>
      <c r="B119" s="9" t="str">
        <f aca="false">IF(Equips_usuari!B119="","",Equips_usuari!B119)</f>
        <v/>
      </c>
      <c r="C119" s="9" t="str">
        <f aca="false">IF(Equips_usuari!C119="","",Equips_usuari!C119)</f>
        <v/>
      </c>
      <c r="D119" s="9" t="str">
        <f aca="false">IF(Equips_usuari!D119="","",Equips_usuari!D119)</f>
        <v/>
      </c>
      <c r="E119" s="9" t="str">
        <f aca="false">IF(Equips_usuari!F119="","",Equips_usuari!F119)</f>
        <v/>
      </c>
      <c r="F119" s="9" t="str">
        <f aca="false">IF($C119="","",SUMIFS(Resultats_jugadores!$C:$C,Resultats_jugadores!$A:$A,$A119,Resultats_jugadores!$B:$B,$C119))</f>
        <v/>
      </c>
      <c r="G119" s="9" t="str">
        <f aca="false">IF($C119="","",SUMIFS(Resultats_jugadores!$D:$D,Resultats_jugadores!$A:$A,$A119,Resultats_jugadores!$B:$B,$C119))</f>
        <v/>
      </c>
      <c r="H119" s="9" t="str">
        <f aca="false">IF($C119="","",N($F119)-N($G119))</f>
        <v/>
      </c>
      <c r="I119" s="9" t="str">
        <f aca="false">IF($C119="","",IFERROR(INDEX(Partits!$C:$C,MATCH($A119&amp;"_"&amp;$D119,Partits!$D:$D,0)),""))</f>
        <v/>
      </c>
      <c r="J119" s="9" t="str">
        <f aca="false">IF($C119="","",IF(AND($I119="V",N($H119)&gt;0),1.2,1))</f>
        <v/>
      </c>
      <c r="K119" s="9" t="str">
        <f aca="false">IF($C119="","",N($H119)*$J119)</f>
        <v/>
      </c>
      <c r="L119" s="9" t="str">
        <f aca="false">IF($C119="","",IF($E119="SI",2,1))</f>
        <v/>
      </c>
      <c r="M119" s="9" t="str">
        <f aca="false">IF($C119="","",$K119*$L119)</f>
        <v/>
      </c>
    </row>
    <row r="120" customFormat="false" ht="15" hidden="false" customHeight="true" outlineLevel="0" collapsed="false">
      <c r="A120" s="9" t="str">
        <f aca="false">IF(Equips_usuari!A120="","",Equips_usuari!A120)</f>
        <v/>
      </c>
      <c r="B120" s="9" t="str">
        <f aca="false">IF(Equips_usuari!B120="","",Equips_usuari!B120)</f>
        <v/>
      </c>
      <c r="C120" s="9" t="str">
        <f aca="false">IF(Equips_usuari!C120="","",Equips_usuari!C120)</f>
        <v/>
      </c>
      <c r="D120" s="9" t="str">
        <f aca="false">IF(Equips_usuari!D120="","",Equips_usuari!D120)</f>
        <v/>
      </c>
      <c r="E120" s="9" t="str">
        <f aca="false">IF(Equips_usuari!F120="","",Equips_usuari!F120)</f>
        <v/>
      </c>
      <c r="F120" s="9" t="str">
        <f aca="false">IF($C120="","",SUMIFS(Resultats_jugadores!$C:$C,Resultats_jugadores!$A:$A,$A120,Resultats_jugadores!$B:$B,$C120))</f>
        <v/>
      </c>
      <c r="G120" s="9" t="str">
        <f aca="false">IF($C120="","",SUMIFS(Resultats_jugadores!$D:$D,Resultats_jugadores!$A:$A,$A120,Resultats_jugadores!$B:$B,$C120))</f>
        <v/>
      </c>
      <c r="H120" s="9" t="str">
        <f aca="false">IF($C120="","",N($F120)-N($G120))</f>
        <v/>
      </c>
      <c r="I120" s="9" t="str">
        <f aca="false">IF($C120="","",IFERROR(INDEX(Partits!$C:$C,MATCH($A120&amp;"_"&amp;$D120,Partits!$D:$D,0)),""))</f>
        <v/>
      </c>
      <c r="J120" s="9" t="str">
        <f aca="false">IF($C120="","",IF(AND($I120="V",N($H120)&gt;0),1.2,1))</f>
        <v/>
      </c>
      <c r="K120" s="9" t="str">
        <f aca="false">IF($C120="","",N($H120)*$J120)</f>
        <v/>
      </c>
      <c r="L120" s="9" t="str">
        <f aca="false">IF($C120="","",IF($E120="SI",2,1))</f>
        <v/>
      </c>
      <c r="M120" s="9" t="str">
        <f aca="false">IF($C120="","",$K120*$L120)</f>
        <v/>
      </c>
    </row>
    <row r="121" customFormat="false" ht="15" hidden="false" customHeight="true" outlineLevel="0" collapsed="false">
      <c r="A121" s="9" t="str">
        <f aca="false">IF(Equips_usuari!A121="","",Equips_usuari!A121)</f>
        <v/>
      </c>
      <c r="B121" s="9" t="str">
        <f aca="false">IF(Equips_usuari!B121="","",Equips_usuari!B121)</f>
        <v/>
      </c>
      <c r="C121" s="9" t="str">
        <f aca="false">IF(Equips_usuari!C121="","",Equips_usuari!C121)</f>
        <v/>
      </c>
      <c r="D121" s="9" t="str">
        <f aca="false">IF(Equips_usuari!D121="","",Equips_usuari!D121)</f>
        <v/>
      </c>
      <c r="E121" s="9" t="str">
        <f aca="false">IF(Equips_usuari!F121="","",Equips_usuari!F121)</f>
        <v/>
      </c>
      <c r="F121" s="9" t="str">
        <f aca="false">IF($C121="","",SUMIFS(Resultats_jugadores!$C:$C,Resultats_jugadores!$A:$A,$A121,Resultats_jugadores!$B:$B,$C121))</f>
        <v/>
      </c>
      <c r="G121" s="9" t="str">
        <f aca="false">IF($C121="","",SUMIFS(Resultats_jugadores!$D:$D,Resultats_jugadores!$A:$A,$A121,Resultats_jugadores!$B:$B,$C121))</f>
        <v/>
      </c>
      <c r="H121" s="9" t="str">
        <f aca="false">IF($C121="","",N($F121)-N($G121))</f>
        <v/>
      </c>
      <c r="I121" s="9" t="str">
        <f aca="false">IF($C121="","",IFERROR(INDEX(Partits!$C:$C,MATCH($A121&amp;"_"&amp;$D121,Partits!$D:$D,0)),""))</f>
        <v/>
      </c>
      <c r="J121" s="9" t="str">
        <f aca="false">IF($C121="","",IF(AND($I121="V",N($H121)&gt;0),1.2,1))</f>
        <v/>
      </c>
      <c r="K121" s="9" t="str">
        <f aca="false">IF($C121="","",N($H121)*$J121)</f>
        <v/>
      </c>
      <c r="L121" s="9" t="str">
        <f aca="false">IF($C121="","",IF($E121="SI",2,1))</f>
        <v/>
      </c>
      <c r="M121" s="9" t="str">
        <f aca="false">IF($C121="","",$K121*$L121)</f>
        <v/>
      </c>
    </row>
    <row r="122" customFormat="false" ht="15" hidden="false" customHeight="true" outlineLevel="0" collapsed="false">
      <c r="A122" s="9" t="str">
        <f aca="false">IF(Equips_usuari!A122="","",Equips_usuari!A122)</f>
        <v/>
      </c>
      <c r="B122" s="9" t="str">
        <f aca="false">IF(Equips_usuari!B122="","",Equips_usuari!B122)</f>
        <v/>
      </c>
      <c r="C122" s="9" t="str">
        <f aca="false">IF(Equips_usuari!C122="","",Equips_usuari!C122)</f>
        <v/>
      </c>
      <c r="D122" s="9" t="str">
        <f aca="false">IF(Equips_usuari!D122="","",Equips_usuari!D122)</f>
        <v/>
      </c>
      <c r="E122" s="9" t="str">
        <f aca="false">IF(Equips_usuari!F122="","",Equips_usuari!F122)</f>
        <v/>
      </c>
      <c r="F122" s="9" t="str">
        <f aca="false">IF($C122="","",SUMIFS(Resultats_jugadores!$C:$C,Resultats_jugadores!$A:$A,$A122,Resultats_jugadores!$B:$B,$C122))</f>
        <v/>
      </c>
      <c r="G122" s="9" t="str">
        <f aca="false">IF($C122="","",SUMIFS(Resultats_jugadores!$D:$D,Resultats_jugadores!$A:$A,$A122,Resultats_jugadores!$B:$B,$C122))</f>
        <v/>
      </c>
      <c r="H122" s="9" t="str">
        <f aca="false">IF($C122="","",N($F122)-N($G122))</f>
        <v/>
      </c>
      <c r="I122" s="9" t="str">
        <f aca="false">IF($C122="","",IFERROR(INDEX(Partits!$C:$C,MATCH($A122&amp;"_"&amp;$D122,Partits!$D:$D,0)),""))</f>
        <v/>
      </c>
      <c r="J122" s="9" t="str">
        <f aca="false">IF($C122="","",IF(AND($I122="V",N($H122)&gt;0),1.2,1))</f>
        <v/>
      </c>
      <c r="K122" s="9" t="str">
        <f aca="false">IF($C122="","",N($H122)*$J122)</f>
        <v/>
      </c>
      <c r="L122" s="9" t="str">
        <f aca="false">IF($C122="","",IF($E122="SI",2,1))</f>
        <v/>
      </c>
      <c r="M122" s="9" t="str">
        <f aca="false">IF($C122="","",$K122*$L122)</f>
        <v/>
      </c>
    </row>
    <row r="123" customFormat="false" ht="15" hidden="false" customHeight="true" outlineLevel="0" collapsed="false">
      <c r="A123" s="9" t="str">
        <f aca="false">IF(Equips_usuari!A123="","",Equips_usuari!A123)</f>
        <v/>
      </c>
      <c r="B123" s="9" t="str">
        <f aca="false">IF(Equips_usuari!B123="","",Equips_usuari!B123)</f>
        <v/>
      </c>
      <c r="C123" s="9" t="str">
        <f aca="false">IF(Equips_usuari!C123="","",Equips_usuari!C123)</f>
        <v/>
      </c>
      <c r="D123" s="9" t="str">
        <f aca="false">IF(Equips_usuari!D123="","",Equips_usuari!D123)</f>
        <v/>
      </c>
      <c r="E123" s="9" t="str">
        <f aca="false">IF(Equips_usuari!F123="","",Equips_usuari!F123)</f>
        <v/>
      </c>
      <c r="F123" s="9" t="str">
        <f aca="false">IF($C123="","",SUMIFS(Resultats_jugadores!$C:$C,Resultats_jugadores!$A:$A,$A123,Resultats_jugadores!$B:$B,$C123))</f>
        <v/>
      </c>
      <c r="G123" s="9" t="str">
        <f aca="false">IF($C123="","",SUMIFS(Resultats_jugadores!$D:$D,Resultats_jugadores!$A:$A,$A123,Resultats_jugadores!$B:$B,$C123))</f>
        <v/>
      </c>
      <c r="H123" s="9" t="str">
        <f aca="false">IF($C123="","",N($F123)-N($G123))</f>
        <v/>
      </c>
      <c r="I123" s="9" t="str">
        <f aca="false">IF($C123="","",IFERROR(INDEX(Partits!$C:$C,MATCH($A123&amp;"_"&amp;$D123,Partits!$D:$D,0)),""))</f>
        <v/>
      </c>
      <c r="J123" s="9" t="str">
        <f aca="false">IF($C123="","",IF(AND($I123="V",N($H123)&gt;0),1.2,1))</f>
        <v/>
      </c>
      <c r="K123" s="9" t="str">
        <f aca="false">IF($C123="","",N($H123)*$J123)</f>
        <v/>
      </c>
      <c r="L123" s="9" t="str">
        <f aca="false">IF($C123="","",IF($E123="SI",2,1))</f>
        <v/>
      </c>
      <c r="M123" s="9" t="str">
        <f aca="false">IF($C123="","",$K123*$L123)</f>
        <v/>
      </c>
    </row>
    <row r="124" customFormat="false" ht="15" hidden="false" customHeight="true" outlineLevel="0" collapsed="false">
      <c r="A124" s="9" t="str">
        <f aca="false">IF(Equips_usuari!A124="","",Equips_usuari!A124)</f>
        <v/>
      </c>
      <c r="B124" s="9" t="str">
        <f aca="false">IF(Equips_usuari!B124="","",Equips_usuari!B124)</f>
        <v/>
      </c>
      <c r="C124" s="9" t="str">
        <f aca="false">IF(Equips_usuari!C124="","",Equips_usuari!C124)</f>
        <v/>
      </c>
      <c r="D124" s="9" t="str">
        <f aca="false">IF(Equips_usuari!D124="","",Equips_usuari!D124)</f>
        <v/>
      </c>
      <c r="E124" s="9" t="str">
        <f aca="false">IF(Equips_usuari!F124="","",Equips_usuari!F124)</f>
        <v/>
      </c>
      <c r="F124" s="9" t="str">
        <f aca="false">IF($C124="","",SUMIFS(Resultats_jugadores!$C:$C,Resultats_jugadores!$A:$A,$A124,Resultats_jugadores!$B:$B,$C124))</f>
        <v/>
      </c>
      <c r="G124" s="9" t="str">
        <f aca="false">IF($C124="","",SUMIFS(Resultats_jugadores!$D:$D,Resultats_jugadores!$A:$A,$A124,Resultats_jugadores!$B:$B,$C124))</f>
        <v/>
      </c>
      <c r="H124" s="9" t="str">
        <f aca="false">IF($C124="","",N($F124)-N($G124))</f>
        <v/>
      </c>
      <c r="I124" s="9" t="str">
        <f aca="false">IF($C124="","",IFERROR(INDEX(Partits!$C:$C,MATCH($A124&amp;"_"&amp;$D124,Partits!$D:$D,0)),""))</f>
        <v/>
      </c>
      <c r="J124" s="9" t="str">
        <f aca="false">IF($C124="","",IF(AND($I124="V",N($H124)&gt;0),1.2,1))</f>
        <v/>
      </c>
      <c r="K124" s="9" t="str">
        <f aca="false">IF($C124="","",N($H124)*$J124)</f>
        <v/>
      </c>
      <c r="L124" s="9" t="str">
        <f aca="false">IF($C124="","",IF($E124="SI",2,1))</f>
        <v/>
      </c>
      <c r="M124" s="9" t="str">
        <f aca="false">IF($C124="","",$K124*$L124)</f>
        <v/>
      </c>
    </row>
    <row r="125" customFormat="false" ht="15" hidden="false" customHeight="true" outlineLevel="0" collapsed="false">
      <c r="A125" s="9" t="str">
        <f aca="false">IF(Equips_usuari!A125="","",Equips_usuari!A125)</f>
        <v/>
      </c>
      <c r="B125" s="9" t="str">
        <f aca="false">IF(Equips_usuari!B125="","",Equips_usuari!B125)</f>
        <v/>
      </c>
      <c r="C125" s="9" t="str">
        <f aca="false">IF(Equips_usuari!C125="","",Equips_usuari!C125)</f>
        <v/>
      </c>
      <c r="D125" s="9" t="str">
        <f aca="false">IF(Equips_usuari!D125="","",Equips_usuari!D125)</f>
        <v/>
      </c>
      <c r="E125" s="9" t="str">
        <f aca="false">IF(Equips_usuari!F125="","",Equips_usuari!F125)</f>
        <v/>
      </c>
      <c r="F125" s="9" t="str">
        <f aca="false">IF($C125="","",SUMIFS(Resultats_jugadores!$C:$C,Resultats_jugadores!$A:$A,$A125,Resultats_jugadores!$B:$B,$C125))</f>
        <v/>
      </c>
      <c r="G125" s="9" t="str">
        <f aca="false">IF($C125="","",SUMIFS(Resultats_jugadores!$D:$D,Resultats_jugadores!$A:$A,$A125,Resultats_jugadores!$B:$B,$C125))</f>
        <v/>
      </c>
      <c r="H125" s="9" t="str">
        <f aca="false">IF($C125="","",N($F125)-N($G125))</f>
        <v/>
      </c>
      <c r="I125" s="9" t="str">
        <f aca="false">IF($C125="","",IFERROR(INDEX(Partits!$C:$C,MATCH($A125&amp;"_"&amp;$D125,Partits!$D:$D,0)),""))</f>
        <v/>
      </c>
      <c r="J125" s="9" t="str">
        <f aca="false">IF($C125="","",IF(AND($I125="V",N($H125)&gt;0),1.2,1))</f>
        <v/>
      </c>
      <c r="K125" s="9" t="str">
        <f aca="false">IF($C125="","",N($H125)*$J125)</f>
        <v/>
      </c>
      <c r="L125" s="9" t="str">
        <f aca="false">IF($C125="","",IF($E125="SI",2,1))</f>
        <v/>
      </c>
      <c r="M125" s="9" t="str">
        <f aca="false">IF($C125="","",$K125*$L125)</f>
        <v/>
      </c>
    </row>
    <row r="126" customFormat="false" ht="15" hidden="false" customHeight="true" outlineLevel="0" collapsed="false">
      <c r="A126" s="9" t="str">
        <f aca="false">IF(Equips_usuari!A126="","",Equips_usuari!A126)</f>
        <v/>
      </c>
      <c r="B126" s="9" t="str">
        <f aca="false">IF(Equips_usuari!B126="","",Equips_usuari!B126)</f>
        <v/>
      </c>
      <c r="C126" s="9" t="str">
        <f aca="false">IF(Equips_usuari!C126="","",Equips_usuari!C126)</f>
        <v/>
      </c>
      <c r="D126" s="9" t="str">
        <f aca="false">IF(Equips_usuari!D126="","",Equips_usuari!D126)</f>
        <v/>
      </c>
      <c r="E126" s="9" t="str">
        <f aca="false">IF(Equips_usuari!F126="","",Equips_usuari!F126)</f>
        <v/>
      </c>
      <c r="F126" s="9" t="str">
        <f aca="false">IF($C126="","",SUMIFS(Resultats_jugadores!$C:$C,Resultats_jugadores!$A:$A,$A126,Resultats_jugadores!$B:$B,$C126))</f>
        <v/>
      </c>
      <c r="G126" s="9" t="str">
        <f aca="false">IF($C126="","",SUMIFS(Resultats_jugadores!$D:$D,Resultats_jugadores!$A:$A,$A126,Resultats_jugadores!$B:$B,$C126))</f>
        <v/>
      </c>
      <c r="H126" s="9" t="str">
        <f aca="false">IF($C126="","",N($F126)-N($G126))</f>
        <v/>
      </c>
      <c r="I126" s="9" t="str">
        <f aca="false">IF($C126="","",IFERROR(INDEX(Partits!$C:$C,MATCH($A126&amp;"_"&amp;$D126,Partits!$D:$D,0)),""))</f>
        <v/>
      </c>
      <c r="J126" s="9" t="str">
        <f aca="false">IF($C126="","",IF(AND($I126="V",N($H126)&gt;0),1.2,1))</f>
        <v/>
      </c>
      <c r="K126" s="9" t="str">
        <f aca="false">IF($C126="","",N($H126)*$J126)</f>
        <v/>
      </c>
      <c r="L126" s="9" t="str">
        <f aca="false">IF($C126="","",IF($E126="SI",2,1))</f>
        <v/>
      </c>
      <c r="M126" s="9" t="str">
        <f aca="false">IF($C126="","",$K126*$L126)</f>
        <v/>
      </c>
    </row>
    <row r="127" customFormat="false" ht="15" hidden="false" customHeight="true" outlineLevel="0" collapsed="false">
      <c r="A127" s="9" t="str">
        <f aca="false">IF(Equips_usuari!A127="","",Equips_usuari!A127)</f>
        <v/>
      </c>
      <c r="B127" s="9" t="str">
        <f aca="false">IF(Equips_usuari!B127="","",Equips_usuari!B127)</f>
        <v/>
      </c>
      <c r="C127" s="9" t="str">
        <f aca="false">IF(Equips_usuari!C127="","",Equips_usuari!C127)</f>
        <v/>
      </c>
      <c r="D127" s="9" t="str">
        <f aca="false">IF(Equips_usuari!D127="","",Equips_usuari!D127)</f>
        <v/>
      </c>
      <c r="E127" s="9" t="str">
        <f aca="false">IF(Equips_usuari!F127="","",Equips_usuari!F127)</f>
        <v/>
      </c>
      <c r="F127" s="9" t="str">
        <f aca="false">IF($C127="","",SUMIFS(Resultats_jugadores!$C:$C,Resultats_jugadores!$A:$A,$A127,Resultats_jugadores!$B:$B,$C127))</f>
        <v/>
      </c>
      <c r="G127" s="9" t="str">
        <f aca="false">IF($C127="","",SUMIFS(Resultats_jugadores!$D:$D,Resultats_jugadores!$A:$A,$A127,Resultats_jugadores!$B:$B,$C127))</f>
        <v/>
      </c>
      <c r="H127" s="9" t="str">
        <f aca="false">IF($C127="","",N($F127)-N($G127))</f>
        <v/>
      </c>
      <c r="I127" s="9" t="str">
        <f aca="false">IF($C127="","",IFERROR(INDEX(Partits!$C:$C,MATCH($A127&amp;"_"&amp;$D127,Partits!$D:$D,0)),""))</f>
        <v/>
      </c>
      <c r="J127" s="9" t="str">
        <f aca="false">IF($C127="","",IF(AND($I127="V",N($H127)&gt;0),1.2,1))</f>
        <v/>
      </c>
      <c r="K127" s="9" t="str">
        <f aca="false">IF($C127="","",N($H127)*$J127)</f>
        <v/>
      </c>
      <c r="L127" s="9" t="str">
        <f aca="false">IF($C127="","",IF($E127="SI",2,1))</f>
        <v/>
      </c>
      <c r="M127" s="9" t="str">
        <f aca="false">IF($C127="","",$K127*$L127)</f>
        <v/>
      </c>
    </row>
    <row r="128" customFormat="false" ht="15" hidden="false" customHeight="true" outlineLevel="0" collapsed="false">
      <c r="A128" s="9" t="str">
        <f aca="false">IF(Equips_usuari!A128="","",Equips_usuari!A128)</f>
        <v/>
      </c>
      <c r="B128" s="9" t="str">
        <f aca="false">IF(Equips_usuari!B128="","",Equips_usuari!B128)</f>
        <v/>
      </c>
      <c r="C128" s="9" t="str">
        <f aca="false">IF(Equips_usuari!C128="","",Equips_usuari!C128)</f>
        <v/>
      </c>
      <c r="D128" s="9" t="str">
        <f aca="false">IF(Equips_usuari!D128="","",Equips_usuari!D128)</f>
        <v/>
      </c>
      <c r="E128" s="9" t="str">
        <f aca="false">IF(Equips_usuari!F128="","",Equips_usuari!F128)</f>
        <v/>
      </c>
      <c r="F128" s="9" t="str">
        <f aca="false">IF($C128="","",SUMIFS(Resultats_jugadores!$C:$C,Resultats_jugadores!$A:$A,$A128,Resultats_jugadores!$B:$B,$C128))</f>
        <v/>
      </c>
      <c r="G128" s="9" t="str">
        <f aca="false">IF($C128="","",SUMIFS(Resultats_jugadores!$D:$D,Resultats_jugadores!$A:$A,$A128,Resultats_jugadores!$B:$B,$C128))</f>
        <v/>
      </c>
      <c r="H128" s="9" t="str">
        <f aca="false">IF($C128="","",N($F128)-N($G128))</f>
        <v/>
      </c>
      <c r="I128" s="9" t="str">
        <f aca="false">IF($C128="","",IFERROR(INDEX(Partits!$C:$C,MATCH($A128&amp;"_"&amp;$D128,Partits!$D:$D,0)),""))</f>
        <v/>
      </c>
      <c r="J128" s="9" t="str">
        <f aca="false">IF($C128="","",IF(AND($I128="V",N($H128)&gt;0),1.2,1))</f>
        <v/>
      </c>
      <c r="K128" s="9" t="str">
        <f aca="false">IF($C128="","",N($H128)*$J128)</f>
        <v/>
      </c>
      <c r="L128" s="9" t="str">
        <f aca="false">IF($C128="","",IF($E128="SI",2,1))</f>
        <v/>
      </c>
      <c r="M128" s="9" t="str">
        <f aca="false">IF($C128="","",$K128*$L128)</f>
        <v/>
      </c>
    </row>
    <row r="129" customFormat="false" ht="15" hidden="false" customHeight="true" outlineLevel="0" collapsed="false">
      <c r="A129" s="9" t="str">
        <f aca="false">IF(Equips_usuari!A129="","",Equips_usuari!A129)</f>
        <v/>
      </c>
      <c r="B129" s="9" t="str">
        <f aca="false">IF(Equips_usuari!B129="","",Equips_usuari!B129)</f>
        <v/>
      </c>
      <c r="C129" s="9" t="str">
        <f aca="false">IF(Equips_usuari!C129="","",Equips_usuari!C129)</f>
        <v/>
      </c>
      <c r="D129" s="9" t="str">
        <f aca="false">IF(Equips_usuari!D129="","",Equips_usuari!D129)</f>
        <v/>
      </c>
      <c r="E129" s="9" t="str">
        <f aca="false">IF(Equips_usuari!F129="","",Equips_usuari!F129)</f>
        <v/>
      </c>
      <c r="F129" s="9" t="str">
        <f aca="false">IF($C129="","",SUMIFS(Resultats_jugadores!$C:$C,Resultats_jugadores!$A:$A,$A129,Resultats_jugadores!$B:$B,$C129))</f>
        <v/>
      </c>
      <c r="G129" s="9" t="str">
        <f aca="false">IF($C129="","",SUMIFS(Resultats_jugadores!$D:$D,Resultats_jugadores!$A:$A,$A129,Resultats_jugadores!$B:$B,$C129))</f>
        <v/>
      </c>
      <c r="H129" s="9" t="str">
        <f aca="false">IF($C129="","",N($F129)-N($G129))</f>
        <v/>
      </c>
      <c r="I129" s="9" t="str">
        <f aca="false">IF($C129="","",IFERROR(INDEX(Partits!$C:$C,MATCH($A129&amp;"_"&amp;$D129,Partits!$D:$D,0)),""))</f>
        <v/>
      </c>
      <c r="J129" s="9" t="str">
        <f aca="false">IF($C129="","",IF(AND($I129="V",N($H129)&gt;0),1.2,1))</f>
        <v/>
      </c>
      <c r="K129" s="9" t="str">
        <f aca="false">IF($C129="","",N($H129)*$J129)</f>
        <v/>
      </c>
      <c r="L129" s="9" t="str">
        <f aca="false">IF($C129="","",IF($E129="SI",2,1))</f>
        <v/>
      </c>
      <c r="M129" s="9" t="str">
        <f aca="false">IF($C129="","",$K129*$L129)</f>
        <v/>
      </c>
    </row>
    <row r="130" customFormat="false" ht="15" hidden="false" customHeight="true" outlineLevel="0" collapsed="false">
      <c r="A130" s="9" t="str">
        <f aca="false">IF(Equips_usuari!A130="","",Equips_usuari!A130)</f>
        <v/>
      </c>
      <c r="B130" s="9" t="str">
        <f aca="false">IF(Equips_usuari!B130="","",Equips_usuari!B130)</f>
        <v/>
      </c>
      <c r="C130" s="9" t="str">
        <f aca="false">IF(Equips_usuari!C130="","",Equips_usuari!C130)</f>
        <v/>
      </c>
      <c r="D130" s="9" t="str">
        <f aca="false">IF(Equips_usuari!D130="","",Equips_usuari!D130)</f>
        <v/>
      </c>
      <c r="E130" s="9" t="str">
        <f aca="false">IF(Equips_usuari!F130="","",Equips_usuari!F130)</f>
        <v/>
      </c>
      <c r="F130" s="9" t="str">
        <f aca="false">IF($C130="","",SUMIFS(Resultats_jugadores!$C:$C,Resultats_jugadores!$A:$A,$A130,Resultats_jugadores!$B:$B,$C130))</f>
        <v/>
      </c>
      <c r="G130" s="9" t="str">
        <f aca="false">IF($C130="","",SUMIFS(Resultats_jugadores!$D:$D,Resultats_jugadores!$A:$A,$A130,Resultats_jugadores!$B:$B,$C130))</f>
        <v/>
      </c>
      <c r="H130" s="9" t="str">
        <f aca="false">IF($C130="","",N($F130)-N($G130))</f>
        <v/>
      </c>
      <c r="I130" s="9" t="str">
        <f aca="false">IF($C130="","",IFERROR(INDEX(Partits!$C:$C,MATCH($A130&amp;"_"&amp;$D130,Partits!$D:$D,0)),""))</f>
        <v/>
      </c>
      <c r="J130" s="9" t="str">
        <f aca="false">IF($C130="","",IF(AND($I130="V",N($H130)&gt;0),1.2,1))</f>
        <v/>
      </c>
      <c r="K130" s="9" t="str">
        <f aca="false">IF($C130="","",N($H130)*$J130)</f>
        <v/>
      </c>
      <c r="L130" s="9" t="str">
        <f aca="false">IF($C130="","",IF($E130="SI",2,1))</f>
        <v/>
      </c>
      <c r="M130" s="9" t="str">
        <f aca="false">IF($C130="","",$K130*$L130)</f>
        <v/>
      </c>
    </row>
    <row r="131" customFormat="false" ht="15" hidden="false" customHeight="true" outlineLevel="0" collapsed="false">
      <c r="A131" s="9" t="str">
        <f aca="false">IF(Equips_usuari!A131="","",Equips_usuari!A131)</f>
        <v/>
      </c>
      <c r="B131" s="9" t="str">
        <f aca="false">IF(Equips_usuari!B131="","",Equips_usuari!B131)</f>
        <v/>
      </c>
      <c r="C131" s="9" t="str">
        <f aca="false">IF(Equips_usuari!C131="","",Equips_usuari!C131)</f>
        <v/>
      </c>
      <c r="D131" s="9" t="str">
        <f aca="false">IF(Equips_usuari!D131="","",Equips_usuari!D131)</f>
        <v/>
      </c>
      <c r="E131" s="9" t="str">
        <f aca="false">IF(Equips_usuari!F131="","",Equips_usuari!F131)</f>
        <v/>
      </c>
      <c r="F131" s="9" t="str">
        <f aca="false">IF($C131="","",SUMIFS(Resultats_jugadores!$C:$C,Resultats_jugadores!$A:$A,$A131,Resultats_jugadores!$B:$B,$C131))</f>
        <v/>
      </c>
      <c r="G131" s="9" t="str">
        <f aca="false">IF($C131="","",SUMIFS(Resultats_jugadores!$D:$D,Resultats_jugadores!$A:$A,$A131,Resultats_jugadores!$B:$B,$C131))</f>
        <v/>
      </c>
      <c r="H131" s="9" t="str">
        <f aca="false">IF($C131="","",N($F131)-N($G131))</f>
        <v/>
      </c>
      <c r="I131" s="9" t="str">
        <f aca="false">IF($C131="","",IFERROR(INDEX(Partits!$C:$C,MATCH($A131&amp;"_"&amp;$D131,Partits!$D:$D,0)),""))</f>
        <v/>
      </c>
      <c r="J131" s="9" t="str">
        <f aca="false">IF($C131="","",IF(AND($I131="V",N($H131)&gt;0),1.2,1))</f>
        <v/>
      </c>
      <c r="K131" s="9" t="str">
        <f aca="false">IF($C131="","",N($H131)*$J131)</f>
        <v/>
      </c>
      <c r="L131" s="9" t="str">
        <f aca="false">IF($C131="","",IF($E131="SI",2,1))</f>
        <v/>
      </c>
      <c r="M131" s="9" t="str">
        <f aca="false">IF($C131="","",$K131*$L131)</f>
        <v/>
      </c>
    </row>
    <row r="132" customFormat="false" ht="15" hidden="false" customHeight="true" outlineLevel="0" collapsed="false">
      <c r="A132" s="9" t="str">
        <f aca="false">IF(Equips_usuari!A132="","",Equips_usuari!A132)</f>
        <v/>
      </c>
      <c r="B132" s="9" t="str">
        <f aca="false">IF(Equips_usuari!B132="","",Equips_usuari!B132)</f>
        <v/>
      </c>
      <c r="C132" s="9" t="str">
        <f aca="false">IF(Equips_usuari!C132="","",Equips_usuari!C132)</f>
        <v/>
      </c>
      <c r="D132" s="9" t="str">
        <f aca="false">IF(Equips_usuari!D132="","",Equips_usuari!D132)</f>
        <v/>
      </c>
      <c r="E132" s="9" t="str">
        <f aca="false">IF(Equips_usuari!F132="","",Equips_usuari!F132)</f>
        <v/>
      </c>
      <c r="F132" s="9" t="str">
        <f aca="false">IF($C132="","",SUMIFS(Resultats_jugadores!$C:$C,Resultats_jugadores!$A:$A,$A132,Resultats_jugadores!$B:$B,$C132))</f>
        <v/>
      </c>
      <c r="G132" s="9" t="str">
        <f aca="false">IF($C132="","",SUMIFS(Resultats_jugadores!$D:$D,Resultats_jugadores!$A:$A,$A132,Resultats_jugadores!$B:$B,$C132))</f>
        <v/>
      </c>
      <c r="H132" s="9" t="str">
        <f aca="false">IF($C132="","",N($F132)-N($G132))</f>
        <v/>
      </c>
      <c r="I132" s="9" t="str">
        <f aca="false">IF($C132="","",IFERROR(INDEX(Partits!$C:$C,MATCH($A132&amp;"_"&amp;$D132,Partits!$D:$D,0)),""))</f>
        <v/>
      </c>
      <c r="J132" s="9" t="str">
        <f aca="false">IF($C132="","",IF(AND($I132="V",N($H132)&gt;0),1.2,1))</f>
        <v/>
      </c>
      <c r="K132" s="9" t="str">
        <f aca="false">IF($C132="","",N($H132)*$J132)</f>
        <v/>
      </c>
      <c r="L132" s="9" t="str">
        <f aca="false">IF($C132="","",IF($E132="SI",2,1))</f>
        <v/>
      </c>
      <c r="M132" s="9" t="str">
        <f aca="false">IF($C132="","",$K132*$L132)</f>
        <v/>
      </c>
    </row>
    <row r="133" customFormat="false" ht="15" hidden="false" customHeight="true" outlineLevel="0" collapsed="false">
      <c r="A133" s="9" t="str">
        <f aca="false">IF(Equips_usuari!A133="","",Equips_usuari!A133)</f>
        <v/>
      </c>
      <c r="B133" s="9" t="str">
        <f aca="false">IF(Equips_usuari!B133="","",Equips_usuari!B133)</f>
        <v/>
      </c>
      <c r="C133" s="9" t="str">
        <f aca="false">IF(Equips_usuari!C133="","",Equips_usuari!C133)</f>
        <v/>
      </c>
      <c r="D133" s="9" t="str">
        <f aca="false">IF(Equips_usuari!D133="","",Equips_usuari!D133)</f>
        <v/>
      </c>
      <c r="E133" s="9" t="str">
        <f aca="false">IF(Equips_usuari!F133="","",Equips_usuari!F133)</f>
        <v/>
      </c>
      <c r="F133" s="9" t="str">
        <f aca="false">IF($C133="","",SUMIFS(Resultats_jugadores!$C:$C,Resultats_jugadores!$A:$A,$A133,Resultats_jugadores!$B:$B,$C133))</f>
        <v/>
      </c>
      <c r="G133" s="9" t="str">
        <f aca="false">IF($C133="","",SUMIFS(Resultats_jugadores!$D:$D,Resultats_jugadores!$A:$A,$A133,Resultats_jugadores!$B:$B,$C133))</f>
        <v/>
      </c>
      <c r="H133" s="9" t="str">
        <f aca="false">IF($C133="","",N($F133)-N($G133))</f>
        <v/>
      </c>
      <c r="I133" s="9" t="str">
        <f aca="false">IF($C133="","",IFERROR(INDEX(Partits!$C:$C,MATCH($A133&amp;"_"&amp;$D133,Partits!$D:$D,0)),""))</f>
        <v/>
      </c>
      <c r="J133" s="9" t="str">
        <f aca="false">IF($C133="","",IF(AND($I133="V",N($H133)&gt;0),1.2,1))</f>
        <v/>
      </c>
      <c r="K133" s="9" t="str">
        <f aca="false">IF($C133="","",N($H133)*$J133)</f>
        <v/>
      </c>
      <c r="L133" s="9" t="str">
        <f aca="false">IF($C133="","",IF($E133="SI",2,1))</f>
        <v/>
      </c>
      <c r="M133" s="9" t="str">
        <f aca="false">IF($C133="","",$K133*$L133)</f>
        <v/>
      </c>
    </row>
    <row r="134" customFormat="false" ht="15" hidden="false" customHeight="true" outlineLevel="0" collapsed="false">
      <c r="A134" s="9" t="str">
        <f aca="false">IF(Equips_usuari!A134="","",Equips_usuari!A134)</f>
        <v/>
      </c>
      <c r="B134" s="9" t="str">
        <f aca="false">IF(Equips_usuari!B134="","",Equips_usuari!B134)</f>
        <v/>
      </c>
      <c r="C134" s="9" t="str">
        <f aca="false">IF(Equips_usuari!C134="","",Equips_usuari!C134)</f>
        <v/>
      </c>
      <c r="D134" s="9" t="str">
        <f aca="false">IF(Equips_usuari!D134="","",Equips_usuari!D134)</f>
        <v/>
      </c>
      <c r="E134" s="9" t="str">
        <f aca="false">IF(Equips_usuari!F134="","",Equips_usuari!F134)</f>
        <v/>
      </c>
      <c r="F134" s="9" t="str">
        <f aca="false">IF($C134="","",SUMIFS(Resultats_jugadores!$C:$C,Resultats_jugadores!$A:$A,$A134,Resultats_jugadores!$B:$B,$C134))</f>
        <v/>
      </c>
      <c r="G134" s="9" t="str">
        <f aca="false">IF($C134="","",SUMIFS(Resultats_jugadores!$D:$D,Resultats_jugadores!$A:$A,$A134,Resultats_jugadores!$B:$B,$C134))</f>
        <v/>
      </c>
      <c r="H134" s="9" t="str">
        <f aca="false">IF($C134="","",N($F134)-N($G134))</f>
        <v/>
      </c>
      <c r="I134" s="9" t="str">
        <f aca="false">IF($C134="","",IFERROR(INDEX(Partits!$C:$C,MATCH($A134&amp;"_"&amp;$D134,Partits!$D:$D,0)),""))</f>
        <v/>
      </c>
      <c r="J134" s="9" t="str">
        <f aca="false">IF($C134="","",IF(AND($I134="V",N($H134)&gt;0),1.2,1))</f>
        <v/>
      </c>
      <c r="K134" s="9" t="str">
        <f aca="false">IF($C134="","",N($H134)*$J134)</f>
        <v/>
      </c>
      <c r="L134" s="9" t="str">
        <f aca="false">IF($C134="","",IF($E134="SI",2,1))</f>
        <v/>
      </c>
      <c r="M134" s="9" t="str">
        <f aca="false">IF($C134="","",$K134*$L134)</f>
        <v/>
      </c>
    </row>
    <row r="135" customFormat="false" ht="15" hidden="false" customHeight="true" outlineLevel="0" collapsed="false">
      <c r="A135" s="9" t="str">
        <f aca="false">IF(Equips_usuari!A135="","",Equips_usuari!A135)</f>
        <v/>
      </c>
      <c r="B135" s="9" t="str">
        <f aca="false">IF(Equips_usuari!B135="","",Equips_usuari!B135)</f>
        <v/>
      </c>
      <c r="C135" s="9" t="str">
        <f aca="false">IF(Equips_usuari!C135="","",Equips_usuari!C135)</f>
        <v/>
      </c>
      <c r="D135" s="9" t="str">
        <f aca="false">IF(Equips_usuari!D135="","",Equips_usuari!D135)</f>
        <v/>
      </c>
      <c r="E135" s="9" t="str">
        <f aca="false">IF(Equips_usuari!F135="","",Equips_usuari!F135)</f>
        <v/>
      </c>
      <c r="F135" s="9" t="str">
        <f aca="false">IF($C135="","",SUMIFS(Resultats_jugadores!$C:$C,Resultats_jugadores!$A:$A,$A135,Resultats_jugadores!$B:$B,$C135))</f>
        <v/>
      </c>
      <c r="G135" s="9" t="str">
        <f aca="false">IF($C135="","",SUMIFS(Resultats_jugadores!$D:$D,Resultats_jugadores!$A:$A,$A135,Resultats_jugadores!$B:$B,$C135))</f>
        <v/>
      </c>
      <c r="H135" s="9" t="str">
        <f aca="false">IF($C135="","",N($F135)-N($G135))</f>
        <v/>
      </c>
      <c r="I135" s="9" t="str">
        <f aca="false">IF($C135="","",IFERROR(INDEX(Partits!$C:$C,MATCH($A135&amp;"_"&amp;$D135,Partits!$D:$D,0)),""))</f>
        <v/>
      </c>
      <c r="J135" s="9" t="str">
        <f aca="false">IF($C135="","",IF(AND($I135="V",N($H135)&gt;0),1.2,1))</f>
        <v/>
      </c>
      <c r="K135" s="9" t="str">
        <f aca="false">IF($C135="","",N($H135)*$J135)</f>
        <v/>
      </c>
      <c r="L135" s="9" t="str">
        <f aca="false">IF($C135="","",IF($E135="SI",2,1))</f>
        <v/>
      </c>
      <c r="M135" s="9" t="str">
        <f aca="false">IF($C135="","",$K135*$L135)</f>
        <v/>
      </c>
    </row>
    <row r="136" customFormat="false" ht="15" hidden="false" customHeight="true" outlineLevel="0" collapsed="false">
      <c r="A136" s="9" t="str">
        <f aca="false">IF(Equips_usuari!A136="","",Equips_usuari!A136)</f>
        <v/>
      </c>
      <c r="B136" s="9" t="str">
        <f aca="false">IF(Equips_usuari!B136="","",Equips_usuari!B136)</f>
        <v/>
      </c>
      <c r="C136" s="9" t="str">
        <f aca="false">IF(Equips_usuari!C136="","",Equips_usuari!C136)</f>
        <v/>
      </c>
      <c r="D136" s="9" t="str">
        <f aca="false">IF(Equips_usuari!D136="","",Equips_usuari!D136)</f>
        <v/>
      </c>
      <c r="E136" s="9" t="str">
        <f aca="false">IF(Equips_usuari!F136="","",Equips_usuari!F136)</f>
        <v/>
      </c>
      <c r="F136" s="9" t="str">
        <f aca="false">IF($C136="","",SUMIFS(Resultats_jugadores!$C:$C,Resultats_jugadores!$A:$A,$A136,Resultats_jugadores!$B:$B,$C136))</f>
        <v/>
      </c>
      <c r="G136" s="9" t="str">
        <f aca="false">IF($C136="","",SUMIFS(Resultats_jugadores!$D:$D,Resultats_jugadores!$A:$A,$A136,Resultats_jugadores!$B:$B,$C136))</f>
        <v/>
      </c>
      <c r="H136" s="9" t="str">
        <f aca="false">IF($C136="","",N($F136)-N($G136))</f>
        <v/>
      </c>
      <c r="I136" s="9" t="str">
        <f aca="false">IF($C136="","",IFERROR(INDEX(Partits!$C:$C,MATCH($A136&amp;"_"&amp;$D136,Partits!$D:$D,0)),""))</f>
        <v/>
      </c>
      <c r="J136" s="9" t="str">
        <f aca="false">IF($C136="","",IF(AND($I136="V",N($H136)&gt;0),1.2,1))</f>
        <v/>
      </c>
      <c r="K136" s="9" t="str">
        <f aca="false">IF($C136="","",N($H136)*$J136)</f>
        <v/>
      </c>
      <c r="L136" s="9" t="str">
        <f aca="false">IF($C136="","",IF($E136="SI",2,1))</f>
        <v/>
      </c>
      <c r="M136" s="9" t="str">
        <f aca="false">IF($C136="","",$K136*$L136)</f>
        <v/>
      </c>
    </row>
    <row r="137" customFormat="false" ht="15" hidden="false" customHeight="true" outlineLevel="0" collapsed="false">
      <c r="A137" s="9" t="str">
        <f aca="false">IF(Equips_usuari!A137="","",Equips_usuari!A137)</f>
        <v/>
      </c>
      <c r="B137" s="9" t="str">
        <f aca="false">IF(Equips_usuari!B137="","",Equips_usuari!B137)</f>
        <v/>
      </c>
      <c r="C137" s="9" t="str">
        <f aca="false">IF(Equips_usuari!C137="","",Equips_usuari!C137)</f>
        <v/>
      </c>
      <c r="D137" s="9" t="str">
        <f aca="false">IF(Equips_usuari!D137="","",Equips_usuari!D137)</f>
        <v/>
      </c>
      <c r="E137" s="9" t="str">
        <f aca="false">IF(Equips_usuari!F137="","",Equips_usuari!F137)</f>
        <v/>
      </c>
      <c r="F137" s="9" t="str">
        <f aca="false">IF($C137="","",SUMIFS(Resultats_jugadores!$C:$C,Resultats_jugadores!$A:$A,$A137,Resultats_jugadores!$B:$B,$C137))</f>
        <v/>
      </c>
      <c r="G137" s="9" t="str">
        <f aca="false">IF($C137="","",SUMIFS(Resultats_jugadores!$D:$D,Resultats_jugadores!$A:$A,$A137,Resultats_jugadores!$B:$B,$C137))</f>
        <v/>
      </c>
      <c r="H137" s="9" t="str">
        <f aca="false">IF($C137="","",N($F137)-N($G137))</f>
        <v/>
      </c>
      <c r="I137" s="9" t="str">
        <f aca="false">IF($C137="","",IFERROR(INDEX(Partits!$C:$C,MATCH($A137&amp;"_"&amp;$D137,Partits!$D:$D,0)),""))</f>
        <v/>
      </c>
      <c r="J137" s="9" t="str">
        <f aca="false">IF($C137="","",IF(AND($I137="V",N($H137)&gt;0),1.2,1))</f>
        <v/>
      </c>
      <c r="K137" s="9" t="str">
        <f aca="false">IF($C137="","",N($H137)*$J137)</f>
        <v/>
      </c>
      <c r="L137" s="9" t="str">
        <f aca="false">IF($C137="","",IF($E137="SI",2,1))</f>
        <v/>
      </c>
      <c r="M137" s="9" t="str">
        <f aca="false">IF($C137="","",$K137*$L137)</f>
        <v/>
      </c>
    </row>
    <row r="138" customFormat="false" ht="15" hidden="false" customHeight="true" outlineLevel="0" collapsed="false">
      <c r="A138" s="9" t="str">
        <f aca="false">IF(Equips_usuari!A138="","",Equips_usuari!A138)</f>
        <v/>
      </c>
      <c r="B138" s="9" t="str">
        <f aca="false">IF(Equips_usuari!B138="","",Equips_usuari!B138)</f>
        <v/>
      </c>
      <c r="C138" s="9" t="str">
        <f aca="false">IF(Equips_usuari!C138="","",Equips_usuari!C138)</f>
        <v/>
      </c>
      <c r="D138" s="9" t="str">
        <f aca="false">IF(Equips_usuari!D138="","",Equips_usuari!D138)</f>
        <v/>
      </c>
      <c r="E138" s="9" t="str">
        <f aca="false">IF(Equips_usuari!F138="","",Equips_usuari!F138)</f>
        <v/>
      </c>
      <c r="F138" s="9" t="str">
        <f aca="false">IF($C138="","",SUMIFS(Resultats_jugadores!$C:$C,Resultats_jugadores!$A:$A,$A138,Resultats_jugadores!$B:$B,$C138))</f>
        <v/>
      </c>
      <c r="G138" s="9" t="str">
        <f aca="false">IF($C138="","",SUMIFS(Resultats_jugadores!$D:$D,Resultats_jugadores!$A:$A,$A138,Resultats_jugadores!$B:$B,$C138))</f>
        <v/>
      </c>
      <c r="H138" s="9" t="str">
        <f aca="false">IF($C138="","",N($F138)-N($G138))</f>
        <v/>
      </c>
      <c r="I138" s="9" t="str">
        <f aca="false">IF($C138="","",IFERROR(INDEX(Partits!$C:$C,MATCH($A138&amp;"_"&amp;$D138,Partits!$D:$D,0)),""))</f>
        <v/>
      </c>
      <c r="J138" s="9" t="str">
        <f aca="false">IF($C138="","",IF(AND($I138="V",N($H138)&gt;0),1.2,1))</f>
        <v/>
      </c>
      <c r="K138" s="9" t="str">
        <f aca="false">IF($C138="","",N($H138)*$J138)</f>
        <v/>
      </c>
      <c r="L138" s="9" t="str">
        <f aca="false">IF($C138="","",IF($E138="SI",2,1))</f>
        <v/>
      </c>
      <c r="M138" s="9" t="str">
        <f aca="false">IF($C138="","",$K138*$L138)</f>
        <v/>
      </c>
    </row>
    <row r="139" customFormat="false" ht="15" hidden="false" customHeight="true" outlineLevel="0" collapsed="false">
      <c r="A139" s="9" t="str">
        <f aca="false">IF(Equips_usuari!A139="","",Equips_usuari!A139)</f>
        <v/>
      </c>
      <c r="B139" s="9" t="str">
        <f aca="false">IF(Equips_usuari!B139="","",Equips_usuari!B139)</f>
        <v/>
      </c>
      <c r="C139" s="9" t="str">
        <f aca="false">IF(Equips_usuari!C139="","",Equips_usuari!C139)</f>
        <v/>
      </c>
      <c r="D139" s="9" t="str">
        <f aca="false">IF(Equips_usuari!D139="","",Equips_usuari!D139)</f>
        <v/>
      </c>
      <c r="E139" s="9" t="str">
        <f aca="false">IF(Equips_usuari!F139="","",Equips_usuari!F139)</f>
        <v/>
      </c>
      <c r="F139" s="9" t="str">
        <f aca="false">IF($C139="","",SUMIFS(Resultats_jugadores!$C:$C,Resultats_jugadores!$A:$A,$A139,Resultats_jugadores!$B:$B,$C139))</f>
        <v/>
      </c>
      <c r="G139" s="9" t="str">
        <f aca="false">IF($C139="","",SUMIFS(Resultats_jugadores!$D:$D,Resultats_jugadores!$A:$A,$A139,Resultats_jugadores!$B:$B,$C139))</f>
        <v/>
      </c>
      <c r="H139" s="9" t="str">
        <f aca="false">IF($C139="","",N($F139)-N($G139))</f>
        <v/>
      </c>
      <c r="I139" s="9" t="str">
        <f aca="false">IF($C139="","",IFERROR(INDEX(Partits!$C:$C,MATCH($A139&amp;"_"&amp;$D139,Partits!$D:$D,0)),""))</f>
        <v/>
      </c>
      <c r="J139" s="9" t="str">
        <f aca="false">IF($C139="","",IF(AND($I139="V",N($H139)&gt;0),1.2,1))</f>
        <v/>
      </c>
      <c r="K139" s="9" t="str">
        <f aca="false">IF($C139="","",N($H139)*$J139)</f>
        <v/>
      </c>
      <c r="L139" s="9" t="str">
        <f aca="false">IF($C139="","",IF($E139="SI",2,1))</f>
        <v/>
      </c>
      <c r="M139" s="9" t="str">
        <f aca="false">IF($C139="","",$K139*$L139)</f>
        <v/>
      </c>
    </row>
    <row r="140" customFormat="false" ht="15" hidden="false" customHeight="true" outlineLevel="0" collapsed="false">
      <c r="A140" s="9" t="str">
        <f aca="false">IF(Equips_usuari!A140="","",Equips_usuari!A140)</f>
        <v/>
      </c>
      <c r="B140" s="9" t="str">
        <f aca="false">IF(Equips_usuari!B140="","",Equips_usuari!B140)</f>
        <v/>
      </c>
      <c r="C140" s="9" t="str">
        <f aca="false">IF(Equips_usuari!C140="","",Equips_usuari!C140)</f>
        <v/>
      </c>
      <c r="D140" s="9" t="str">
        <f aca="false">IF(Equips_usuari!D140="","",Equips_usuari!D140)</f>
        <v/>
      </c>
      <c r="E140" s="9" t="str">
        <f aca="false">IF(Equips_usuari!F140="","",Equips_usuari!F140)</f>
        <v/>
      </c>
      <c r="F140" s="9" t="str">
        <f aca="false">IF($C140="","",SUMIFS(Resultats_jugadores!$C:$C,Resultats_jugadores!$A:$A,$A140,Resultats_jugadores!$B:$B,$C140))</f>
        <v/>
      </c>
      <c r="G140" s="9" t="str">
        <f aca="false">IF($C140="","",SUMIFS(Resultats_jugadores!$D:$D,Resultats_jugadores!$A:$A,$A140,Resultats_jugadores!$B:$B,$C140))</f>
        <v/>
      </c>
      <c r="H140" s="9" t="str">
        <f aca="false">IF($C140="","",N($F140)-N($G140))</f>
        <v/>
      </c>
      <c r="I140" s="9" t="str">
        <f aca="false">IF($C140="","",IFERROR(INDEX(Partits!$C:$C,MATCH($A140&amp;"_"&amp;$D140,Partits!$D:$D,0)),""))</f>
        <v/>
      </c>
      <c r="J140" s="9" t="str">
        <f aca="false">IF($C140="","",IF(AND($I140="V",N($H140)&gt;0),1.2,1))</f>
        <v/>
      </c>
      <c r="K140" s="9" t="str">
        <f aca="false">IF($C140="","",N($H140)*$J140)</f>
        <v/>
      </c>
      <c r="L140" s="9" t="str">
        <f aca="false">IF($C140="","",IF($E140="SI",2,1))</f>
        <v/>
      </c>
      <c r="M140" s="9" t="str">
        <f aca="false">IF($C140="","",$K140*$L140)</f>
        <v/>
      </c>
    </row>
    <row r="141" customFormat="false" ht="15" hidden="false" customHeight="true" outlineLevel="0" collapsed="false">
      <c r="A141" s="9" t="str">
        <f aca="false">IF(Equips_usuari!A141="","",Equips_usuari!A141)</f>
        <v/>
      </c>
      <c r="B141" s="9" t="str">
        <f aca="false">IF(Equips_usuari!B141="","",Equips_usuari!B141)</f>
        <v/>
      </c>
      <c r="C141" s="9" t="str">
        <f aca="false">IF(Equips_usuari!C141="","",Equips_usuari!C141)</f>
        <v/>
      </c>
      <c r="D141" s="9" t="str">
        <f aca="false">IF(Equips_usuari!D141="","",Equips_usuari!D141)</f>
        <v/>
      </c>
      <c r="E141" s="9" t="str">
        <f aca="false">IF(Equips_usuari!F141="","",Equips_usuari!F141)</f>
        <v/>
      </c>
      <c r="F141" s="9" t="str">
        <f aca="false">IF($C141="","",SUMIFS(Resultats_jugadores!$C:$C,Resultats_jugadores!$A:$A,$A141,Resultats_jugadores!$B:$B,$C141))</f>
        <v/>
      </c>
      <c r="G141" s="9" t="str">
        <f aca="false">IF($C141="","",SUMIFS(Resultats_jugadores!$D:$D,Resultats_jugadores!$A:$A,$A141,Resultats_jugadores!$B:$B,$C141))</f>
        <v/>
      </c>
      <c r="H141" s="9" t="str">
        <f aca="false">IF($C141="","",N($F141)-N($G141))</f>
        <v/>
      </c>
      <c r="I141" s="9" t="str">
        <f aca="false">IF($C141="","",IFERROR(INDEX(Partits!$C:$C,MATCH($A141&amp;"_"&amp;$D141,Partits!$D:$D,0)),""))</f>
        <v/>
      </c>
      <c r="J141" s="9" t="str">
        <f aca="false">IF($C141="","",IF(AND($I141="V",N($H141)&gt;0),1.2,1))</f>
        <v/>
      </c>
      <c r="K141" s="9" t="str">
        <f aca="false">IF($C141="","",N($H141)*$J141)</f>
        <v/>
      </c>
      <c r="L141" s="9" t="str">
        <f aca="false">IF($C141="","",IF($E141="SI",2,1))</f>
        <v/>
      </c>
      <c r="M141" s="9" t="str">
        <f aca="false">IF($C141="","",$K141*$L141)</f>
        <v/>
      </c>
    </row>
    <row r="142" customFormat="false" ht="15" hidden="false" customHeight="true" outlineLevel="0" collapsed="false">
      <c r="A142" s="9" t="str">
        <f aca="false">IF(Equips_usuari!A142="","",Equips_usuari!A142)</f>
        <v/>
      </c>
      <c r="B142" s="9" t="str">
        <f aca="false">IF(Equips_usuari!B142="","",Equips_usuari!B142)</f>
        <v/>
      </c>
      <c r="C142" s="9" t="str">
        <f aca="false">IF(Equips_usuari!C142="","",Equips_usuari!C142)</f>
        <v/>
      </c>
      <c r="D142" s="9" t="str">
        <f aca="false">IF(Equips_usuari!D142="","",Equips_usuari!D142)</f>
        <v/>
      </c>
      <c r="E142" s="9" t="str">
        <f aca="false">IF(Equips_usuari!F142="","",Equips_usuari!F142)</f>
        <v/>
      </c>
      <c r="F142" s="9" t="str">
        <f aca="false">IF($C142="","",SUMIFS(Resultats_jugadores!$C:$C,Resultats_jugadores!$A:$A,$A142,Resultats_jugadores!$B:$B,$C142))</f>
        <v/>
      </c>
      <c r="G142" s="9" t="str">
        <f aca="false">IF($C142="","",SUMIFS(Resultats_jugadores!$D:$D,Resultats_jugadores!$A:$A,$A142,Resultats_jugadores!$B:$B,$C142))</f>
        <v/>
      </c>
      <c r="H142" s="9" t="str">
        <f aca="false">IF($C142="","",N($F142)-N($G142))</f>
        <v/>
      </c>
      <c r="I142" s="9" t="str">
        <f aca="false">IF($C142="","",IFERROR(INDEX(Partits!$C:$C,MATCH($A142&amp;"_"&amp;$D142,Partits!$D:$D,0)),""))</f>
        <v/>
      </c>
      <c r="J142" s="9" t="str">
        <f aca="false">IF($C142="","",IF(AND($I142="V",N($H142)&gt;0),1.2,1))</f>
        <v/>
      </c>
      <c r="K142" s="9" t="str">
        <f aca="false">IF($C142="","",N($H142)*$J142)</f>
        <v/>
      </c>
      <c r="L142" s="9" t="str">
        <f aca="false">IF($C142="","",IF($E142="SI",2,1))</f>
        <v/>
      </c>
      <c r="M142" s="9" t="str">
        <f aca="false">IF($C142="","",$K142*$L142)</f>
        <v/>
      </c>
    </row>
    <row r="143" customFormat="false" ht="15" hidden="false" customHeight="true" outlineLevel="0" collapsed="false">
      <c r="A143" s="9" t="str">
        <f aca="false">IF(Equips_usuari!A143="","",Equips_usuari!A143)</f>
        <v/>
      </c>
      <c r="B143" s="9" t="str">
        <f aca="false">IF(Equips_usuari!B143="","",Equips_usuari!B143)</f>
        <v/>
      </c>
      <c r="C143" s="9" t="str">
        <f aca="false">IF(Equips_usuari!C143="","",Equips_usuari!C143)</f>
        <v/>
      </c>
      <c r="D143" s="9" t="str">
        <f aca="false">IF(Equips_usuari!D143="","",Equips_usuari!D143)</f>
        <v/>
      </c>
      <c r="E143" s="9" t="str">
        <f aca="false">IF(Equips_usuari!F143="","",Equips_usuari!F143)</f>
        <v/>
      </c>
      <c r="F143" s="9" t="str">
        <f aca="false">IF($C143="","",SUMIFS(Resultats_jugadores!$C:$C,Resultats_jugadores!$A:$A,$A143,Resultats_jugadores!$B:$B,$C143))</f>
        <v/>
      </c>
      <c r="G143" s="9" t="str">
        <f aca="false">IF($C143="","",SUMIFS(Resultats_jugadores!$D:$D,Resultats_jugadores!$A:$A,$A143,Resultats_jugadores!$B:$B,$C143))</f>
        <v/>
      </c>
      <c r="H143" s="9" t="str">
        <f aca="false">IF($C143="","",N($F143)-N($G143))</f>
        <v/>
      </c>
      <c r="I143" s="9" t="str">
        <f aca="false">IF($C143="","",IFERROR(INDEX(Partits!$C:$C,MATCH($A143&amp;"_"&amp;$D143,Partits!$D:$D,0)),""))</f>
        <v/>
      </c>
      <c r="J143" s="9" t="str">
        <f aca="false">IF($C143="","",IF(AND($I143="V",N($H143)&gt;0),1.2,1))</f>
        <v/>
      </c>
      <c r="K143" s="9" t="str">
        <f aca="false">IF($C143="","",N($H143)*$J143)</f>
        <v/>
      </c>
      <c r="L143" s="9" t="str">
        <f aca="false">IF($C143="","",IF($E143="SI",2,1))</f>
        <v/>
      </c>
      <c r="M143" s="9" t="str">
        <f aca="false">IF($C143="","",$K143*$L143)</f>
        <v/>
      </c>
    </row>
    <row r="144" customFormat="false" ht="15" hidden="false" customHeight="true" outlineLevel="0" collapsed="false">
      <c r="A144" s="9" t="str">
        <f aca="false">IF(Equips_usuari!A144="","",Equips_usuari!A144)</f>
        <v/>
      </c>
      <c r="B144" s="9" t="str">
        <f aca="false">IF(Equips_usuari!B144="","",Equips_usuari!B144)</f>
        <v/>
      </c>
      <c r="C144" s="9" t="str">
        <f aca="false">IF(Equips_usuari!C144="","",Equips_usuari!C144)</f>
        <v/>
      </c>
      <c r="D144" s="9" t="str">
        <f aca="false">IF(Equips_usuari!D144="","",Equips_usuari!D144)</f>
        <v/>
      </c>
      <c r="E144" s="9" t="str">
        <f aca="false">IF(Equips_usuari!F144="","",Equips_usuari!F144)</f>
        <v/>
      </c>
      <c r="F144" s="9" t="str">
        <f aca="false">IF($C144="","",SUMIFS(Resultats_jugadores!$C:$C,Resultats_jugadores!$A:$A,$A144,Resultats_jugadores!$B:$B,$C144))</f>
        <v/>
      </c>
      <c r="G144" s="9" t="str">
        <f aca="false">IF($C144="","",SUMIFS(Resultats_jugadores!$D:$D,Resultats_jugadores!$A:$A,$A144,Resultats_jugadores!$B:$B,$C144))</f>
        <v/>
      </c>
      <c r="H144" s="9" t="str">
        <f aca="false">IF($C144="","",N($F144)-N($G144))</f>
        <v/>
      </c>
      <c r="I144" s="9" t="str">
        <f aca="false">IF($C144="","",IFERROR(INDEX(Partits!$C:$C,MATCH($A144&amp;"_"&amp;$D144,Partits!$D:$D,0)),""))</f>
        <v/>
      </c>
      <c r="J144" s="9" t="str">
        <f aca="false">IF($C144="","",IF(AND($I144="V",N($H144)&gt;0),1.2,1))</f>
        <v/>
      </c>
      <c r="K144" s="9" t="str">
        <f aca="false">IF($C144="","",N($H144)*$J144)</f>
        <v/>
      </c>
      <c r="L144" s="9" t="str">
        <f aca="false">IF($C144="","",IF($E144="SI",2,1))</f>
        <v/>
      </c>
      <c r="M144" s="9" t="str">
        <f aca="false">IF($C144="","",$K144*$L144)</f>
        <v/>
      </c>
    </row>
    <row r="145" customFormat="false" ht="15" hidden="false" customHeight="true" outlineLevel="0" collapsed="false">
      <c r="A145" s="9" t="str">
        <f aca="false">IF(Equips_usuari!A145="","",Equips_usuari!A145)</f>
        <v/>
      </c>
      <c r="B145" s="9" t="str">
        <f aca="false">IF(Equips_usuari!B145="","",Equips_usuari!B145)</f>
        <v/>
      </c>
      <c r="C145" s="9" t="str">
        <f aca="false">IF(Equips_usuari!C145="","",Equips_usuari!C145)</f>
        <v/>
      </c>
      <c r="D145" s="9" t="str">
        <f aca="false">IF(Equips_usuari!D145="","",Equips_usuari!D145)</f>
        <v/>
      </c>
      <c r="E145" s="9" t="str">
        <f aca="false">IF(Equips_usuari!F145="","",Equips_usuari!F145)</f>
        <v/>
      </c>
      <c r="F145" s="9" t="str">
        <f aca="false">IF($C145="","",SUMIFS(Resultats_jugadores!$C:$C,Resultats_jugadores!$A:$A,$A145,Resultats_jugadores!$B:$B,$C145))</f>
        <v/>
      </c>
      <c r="G145" s="9" t="str">
        <f aca="false">IF($C145="","",SUMIFS(Resultats_jugadores!$D:$D,Resultats_jugadores!$A:$A,$A145,Resultats_jugadores!$B:$B,$C145))</f>
        <v/>
      </c>
      <c r="H145" s="9" t="str">
        <f aca="false">IF($C145="","",N($F145)-N($G145))</f>
        <v/>
      </c>
      <c r="I145" s="9" t="str">
        <f aca="false">IF($C145="","",IFERROR(INDEX(Partits!$C:$C,MATCH($A145&amp;"_"&amp;$D145,Partits!$D:$D,0)),""))</f>
        <v/>
      </c>
      <c r="J145" s="9" t="str">
        <f aca="false">IF($C145="","",IF(AND($I145="V",N($H145)&gt;0),1.2,1))</f>
        <v/>
      </c>
      <c r="K145" s="9" t="str">
        <f aca="false">IF($C145="","",N($H145)*$J145)</f>
        <v/>
      </c>
      <c r="L145" s="9" t="str">
        <f aca="false">IF($C145="","",IF($E145="SI",2,1))</f>
        <v/>
      </c>
      <c r="M145" s="9" t="str">
        <f aca="false">IF($C145="","",$K145*$L145)</f>
        <v/>
      </c>
    </row>
    <row r="146" customFormat="false" ht="15" hidden="false" customHeight="true" outlineLevel="0" collapsed="false">
      <c r="A146" s="9" t="str">
        <f aca="false">IF(Equips_usuari!A146="","",Equips_usuari!A146)</f>
        <v/>
      </c>
      <c r="B146" s="9" t="str">
        <f aca="false">IF(Equips_usuari!B146="","",Equips_usuari!B146)</f>
        <v/>
      </c>
      <c r="C146" s="9" t="str">
        <f aca="false">IF(Equips_usuari!C146="","",Equips_usuari!C146)</f>
        <v/>
      </c>
      <c r="D146" s="9" t="str">
        <f aca="false">IF(Equips_usuari!D146="","",Equips_usuari!D146)</f>
        <v/>
      </c>
      <c r="E146" s="9" t="str">
        <f aca="false">IF(Equips_usuari!F146="","",Equips_usuari!F146)</f>
        <v/>
      </c>
      <c r="F146" s="9" t="str">
        <f aca="false">IF($C146="","",SUMIFS(Resultats_jugadores!$C:$C,Resultats_jugadores!$A:$A,$A146,Resultats_jugadores!$B:$B,$C146))</f>
        <v/>
      </c>
      <c r="G146" s="9" t="str">
        <f aca="false">IF($C146="","",SUMIFS(Resultats_jugadores!$D:$D,Resultats_jugadores!$A:$A,$A146,Resultats_jugadores!$B:$B,$C146))</f>
        <v/>
      </c>
      <c r="H146" s="9" t="str">
        <f aca="false">IF($C146="","",N($F146)-N($G146))</f>
        <v/>
      </c>
      <c r="I146" s="9" t="str">
        <f aca="false">IF($C146="","",IFERROR(INDEX(Partits!$C:$C,MATCH($A146&amp;"_"&amp;$D146,Partits!$D:$D,0)),""))</f>
        <v/>
      </c>
      <c r="J146" s="9" t="str">
        <f aca="false">IF($C146="","",IF(AND($I146="V",N($H146)&gt;0),1.2,1))</f>
        <v/>
      </c>
      <c r="K146" s="9" t="str">
        <f aca="false">IF($C146="","",N($H146)*$J146)</f>
        <v/>
      </c>
      <c r="L146" s="9" t="str">
        <f aca="false">IF($C146="","",IF($E146="SI",2,1))</f>
        <v/>
      </c>
      <c r="M146" s="9" t="str">
        <f aca="false">IF($C146="","",$K146*$L146)</f>
        <v/>
      </c>
    </row>
    <row r="147" customFormat="false" ht="15" hidden="false" customHeight="true" outlineLevel="0" collapsed="false">
      <c r="A147" s="9" t="str">
        <f aca="false">IF(Equips_usuari!A147="","",Equips_usuari!A147)</f>
        <v/>
      </c>
      <c r="B147" s="9" t="str">
        <f aca="false">IF(Equips_usuari!B147="","",Equips_usuari!B147)</f>
        <v/>
      </c>
      <c r="C147" s="9" t="str">
        <f aca="false">IF(Equips_usuari!C147="","",Equips_usuari!C147)</f>
        <v/>
      </c>
      <c r="D147" s="9" t="str">
        <f aca="false">IF(Equips_usuari!D147="","",Equips_usuari!D147)</f>
        <v/>
      </c>
      <c r="E147" s="9" t="str">
        <f aca="false">IF(Equips_usuari!F147="","",Equips_usuari!F147)</f>
        <v/>
      </c>
      <c r="F147" s="9" t="str">
        <f aca="false">IF($C147="","",SUMIFS(Resultats_jugadores!$C:$C,Resultats_jugadores!$A:$A,$A147,Resultats_jugadores!$B:$B,$C147))</f>
        <v/>
      </c>
      <c r="G147" s="9" t="str">
        <f aca="false">IF($C147="","",SUMIFS(Resultats_jugadores!$D:$D,Resultats_jugadores!$A:$A,$A147,Resultats_jugadores!$B:$B,$C147))</f>
        <v/>
      </c>
      <c r="H147" s="9" t="str">
        <f aca="false">IF($C147="","",N($F147)-N($G147))</f>
        <v/>
      </c>
      <c r="I147" s="9" t="str">
        <f aca="false">IF($C147="","",IFERROR(INDEX(Partits!$C:$C,MATCH($A147&amp;"_"&amp;$D147,Partits!$D:$D,0)),""))</f>
        <v/>
      </c>
      <c r="J147" s="9" t="str">
        <f aca="false">IF($C147="","",IF(AND($I147="V",N($H147)&gt;0),1.2,1))</f>
        <v/>
      </c>
      <c r="K147" s="9" t="str">
        <f aca="false">IF($C147="","",N($H147)*$J147)</f>
        <v/>
      </c>
      <c r="L147" s="9" t="str">
        <f aca="false">IF($C147="","",IF($E147="SI",2,1))</f>
        <v/>
      </c>
      <c r="M147" s="9" t="str">
        <f aca="false">IF($C147="","",$K147*$L147)</f>
        <v/>
      </c>
    </row>
    <row r="148" customFormat="false" ht="15" hidden="false" customHeight="true" outlineLevel="0" collapsed="false">
      <c r="A148" s="9" t="str">
        <f aca="false">IF(Equips_usuari!A148="","",Equips_usuari!A148)</f>
        <v/>
      </c>
      <c r="B148" s="9" t="str">
        <f aca="false">IF(Equips_usuari!B148="","",Equips_usuari!B148)</f>
        <v/>
      </c>
      <c r="C148" s="9" t="str">
        <f aca="false">IF(Equips_usuari!C148="","",Equips_usuari!C148)</f>
        <v/>
      </c>
      <c r="D148" s="9" t="str">
        <f aca="false">IF(Equips_usuari!D148="","",Equips_usuari!D148)</f>
        <v/>
      </c>
      <c r="E148" s="9" t="str">
        <f aca="false">IF(Equips_usuari!F148="","",Equips_usuari!F148)</f>
        <v/>
      </c>
      <c r="F148" s="9" t="str">
        <f aca="false">IF($C148="","",SUMIFS(Resultats_jugadores!$C:$C,Resultats_jugadores!$A:$A,$A148,Resultats_jugadores!$B:$B,$C148))</f>
        <v/>
      </c>
      <c r="G148" s="9" t="str">
        <f aca="false">IF($C148="","",SUMIFS(Resultats_jugadores!$D:$D,Resultats_jugadores!$A:$A,$A148,Resultats_jugadores!$B:$B,$C148))</f>
        <v/>
      </c>
      <c r="H148" s="9" t="str">
        <f aca="false">IF($C148="","",N($F148)-N($G148))</f>
        <v/>
      </c>
      <c r="I148" s="9" t="str">
        <f aca="false">IF($C148="","",IFERROR(INDEX(Partits!$C:$C,MATCH($A148&amp;"_"&amp;$D148,Partits!$D:$D,0)),""))</f>
        <v/>
      </c>
      <c r="J148" s="9" t="str">
        <f aca="false">IF($C148="","",IF(AND($I148="V",N($H148)&gt;0),1.2,1))</f>
        <v/>
      </c>
      <c r="K148" s="9" t="str">
        <f aca="false">IF($C148="","",N($H148)*$J148)</f>
        <v/>
      </c>
      <c r="L148" s="9" t="str">
        <f aca="false">IF($C148="","",IF($E148="SI",2,1))</f>
        <v/>
      </c>
      <c r="M148" s="9" t="str">
        <f aca="false">IF($C148="","",$K148*$L148)</f>
        <v/>
      </c>
    </row>
    <row r="149" customFormat="false" ht="15" hidden="false" customHeight="true" outlineLevel="0" collapsed="false">
      <c r="A149" s="9" t="str">
        <f aca="false">IF(Equips_usuari!A149="","",Equips_usuari!A149)</f>
        <v/>
      </c>
      <c r="B149" s="9" t="str">
        <f aca="false">IF(Equips_usuari!B149="","",Equips_usuari!B149)</f>
        <v/>
      </c>
      <c r="C149" s="9" t="str">
        <f aca="false">IF(Equips_usuari!C149="","",Equips_usuari!C149)</f>
        <v/>
      </c>
      <c r="D149" s="9" t="str">
        <f aca="false">IF(Equips_usuari!D149="","",Equips_usuari!D149)</f>
        <v/>
      </c>
      <c r="E149" s="9" t="str">
        <f aca="false">IF(Equips_usuari!F149="","",Equips_usuari!F149)</f>
        <v/>
      </c>
      <c r="F149" s="9" t="str">
        <f aca="false">IF($C149="","",SUMIFS(Resultats_jugadores!$C:$C,Resultats_jugadores!$A:$A,$A149,Resultats_jugadores!$B:$B,$C149))</f>
        <v/>
      </c>
      <c r="G149" s="9" t="str">
        <f aca="false">IF($C149="","",SUMIFS(Resultats_jugadores!$D:$D,Resultats_jugadores!$A:$A,$A149,Resultats_jugadores!$B:$B,$C149))</f>
        <v/>
      </c>
      <c r="H149" s="9" t="str">
        <f aca="false">IF($C149="","",N($F149)-N($G149))</f>
        <v/>
      </c>
      <c r="I149" s="9" t="str">
        <f aca="false">IF($C149="","",IFERROR(INDEX(Partits!$C:$C,MATCH($A149&amp;"_"&amp;$D149,Partits!$D:$D,0)),""))</f>
        <v/>
      </c>
      <c r="J149" s="9" t="str">
        <f aca="false">IF($C149="","",IF(AND($I149="V",N($H149)&gt;0),1.2,1))</f>
        <v/>
      </c>
      <c r="K149" s="9" t="str">
        <f aca="false">IF($C149="","",N($H149)*$J149)</f>
        <v/>
      </c>
      <c r="L149" s="9" t="str">
        <f aca="false">IF($C149="","",IF($E149="SI",2,1))</f>
        <v/>
      </c>
      <c r="M149" s="9" t="str">
        <f aca="false">IF($C149="","",$K149*$L149)</f>
        <v/>
      </c>
    </row>
    <row r="150" customFormat="false" ht="15" hidden="false" customHeight="true" outlineLevel="0" collapsed="false">
      <c r="A150" s="9" t="str">
        <f aca="false">IF(Equips_usuari!A150="","",Equips_usuari!A150)</f>
        <v/>
      </c>
      <c r="B150" s="9" t="str">
        <f aca="false">IF(Equips_usuari!B150="","",Equips_usuari!B150)</f>
        <v/>
      </c>
      <c r="C150" s="9" t="str">
        <f aca="false">IF(Equips_usuari!C150="","",Equips_usuari!C150)</f>
        <v/>
      </c>
      <c r="D150" s="9" t="str">
        <f aca="false">IF(Equips_usuari!D150="","",Equips_usuari!D150)</f>
        <v/>
      </c>
      <c r="E150" s="9" t="str">
        <f aca="false">IF(Equips_usuari!F150="","",Equips_usuari!F150)</f>
        <v/>
      </c>
      <c r="F150" s="9" t="str">
        <f aca="false">IF($C150="","",SUMIFS(Resultats_jugadores!$C:$C,Resultats_jugadores!$A:$A,$A150,Resultats_jugadores!$B:$B,$C150))</f>
        <v/>
      </c>
      <c r="G150" s="9" t="str">
        <f aca="false">IF($C150="","",SUMIFS(Resultats_jugadores!$D:$D,Resultats_jugadores!$A:$A,$A150,Resultats_jugadores!$B:$B,$C150))</f>
        <v/>
      </c>
      <c r="H150" s="9" t="str">
        <f aca="false">IF($C150="","",N($F150)-N($G150))</f>
        <v/>
      </c>
      <c r="I150" s="9" t="str">
        <f aca="false">IF($C150="","",IFERROR(INDEX(Partits!$C:$C,MATCH($A150&amp;"_"&amp;$D150,Partits!$D:$D,0)),""))</f>
        <v/>
      </c>
      <c r="J150" s="9" t="str">
        <f aca="false">IF($C150="","",IF(AND($I150="V",N($H150)&gt;0),1.2,1))</f>
        <v/>
      </c>
      <c r="K150" s="9" t="str">
        <f aca="false">IF($C150="","",N($H150)*$J150)</f>
        <v/>
      </c>
      <c r="L150" s="9" t="str">
        <f aca="false">IF($C150="","",IF($E150="SI",2,1))</f>
        <v/>
      </c>
      <c r="M150" s="9" t="str">
        <f aca="false">IF($C150="","",$K150*$L150)</f>
        <v/>
      </c>
    </row>
    <row r="151" customFormat="false" ht="15" hidden="false" customHeight="true" outlineLevel="0" collapsed="false">
      <c r="A151" s="9" t="str">
        <f aca="false">IF(Equips_usuari!A151="","",Equips_usuari!A151)</f>
        <v/>
      </c>
      <c r="B151" s="9" t="str">
        <f aca="false">IF(Equips_usuari!B151="","",Equips_usuari!B151)</f>
        <v/>
      </c>
      <c r="C151" s="9" t="str">
        <f aca="false">IF(Equips_usuari!C151="","",Equips_usuari!C151)</f>
        <v/>
      </c>
      <c r="D151" s="9" t="str">
        <f aca="false">IF(Equips_usuari!D151="","",Equips_usuari!D151)</f>
        <v/>
      </c>
      <c r="E151" s="9" t="str">
        <f aca="false">IF(Equips_usuari!F151="","",Equips_usuari!F151)</f>
        <v/>
      </c>
      <c r="F151" s="9" t="str">
        <f aca="false">IF($C151="","",SUMIFS(Resultats_jugadores!$C:$C,Resultats_jugadores!$A:$A,$A151,Resultats_jugadores!$B:$B,$C151))</f>
        <v/>
      </c>
      <c r="G151" s="9" t="str">
        <f aca="false">IF($C151="","",SUMIFS(Resultats_jugadores!$D:$D,Resultats_jugadores!$A:$A,$A151,Resultats_jugadores!$B:$B,$C151))</f>
        <v/>
      </c>
      <c r="H151" s="9" t="str">
        <f aca="false">IF($C151="","",N($F151)-N($G151))</f>
        <v/>
      </c>
      <c r="I151" s="9" t="str">
        <f aca="false">IF($C151="","",IFERROR(INDEX(Partits!$C:$C,MATCH($A151&amp;"_"&amp;$D151,Partits!$D:$D,0)),""))</f>
        <v/>
      </c>
      <c r="J151" s="9" t="str">
        <f aca="false">IF($C151="","",IF(AND($I151="V",N($H151)&gt;0),1.2,1))</f>
        <v/>
      </c>
      <c r="K151" s="9" t="str">
        <f aca="false">IF($C151="","",N($H151)*$J151)</f>
        <v/>
      </c>
      <c r="L151" s="9" t="str">
        <f aca="false">IF($C151="","",IF($E151="SI",2,1))</f>
        <v/>
      </c>
      <c r="M151" s="9" t="str">
        <f aca="false">IF($C151="","",$K151*$L151)</f>
        <v/>
      </c>
    </row>
    <row r="152" customFormat="false" ht="15" hidden="false" customHeight="true" outlineLevel="0" collapsed="false">
      <c r="A152" s="9" t="str">
        <f aca="false">IF(Equips_usuari!A152="","",Equips_usuari!A152)</f>
        <v/>
      </c>
      <c r="B152" s="9" t="str">
        <f aca="false">IF(Equips_usuari!B152="","",Equips_usuari!B152)</f>
        <v/>
      </c>
      <c r="C152" s="9" t="str">
        <f aca="false">IF(Equips_usuari!C152="","",Equips_usuari!C152)</f>
        <v/>
      </c>
      <c r="D152" s="9" t="str">
        <f aca="false">IF(Equips_usuari!D152="","",Equips_usuari!D152)</f>
        <v/>
      </c>
      <c r="E152" s="9" t="str">
        <f aca="false">IF(Equips_usuari!F152="","",Equips_usuari!F152)</f>
        <v/>
      </c>
      <c r="F152" s="9" t="str">
        <f aca="false">IF($C152="","",SUMIFS(Resultats_jugadores!$C:$C,Resultats_jugadores!$A:$A,$A152,Resultats_jugadores!$B:$B,$C152))</f>
        <v/>
      </c>
      <c r="G152" s="9" t="str">
        <f aca="false">IF($C152="","",SUMIFS(Resultats_jugadores!$D:$D,Resultats_jugadores!$A:$A,$A152,Resultats_jugadores!$B:$B,$C152))</f>
        <v/>
      </c>
      <c r="H152" s="9" t="str">
        <f aca="false">IF($C152="","",N($F152)-N($G152))</f>
        <v/>
      </c>
      <c r="I152" s="9" t="str">
        <f aca="false">IF($C152="","",IFERROR(INDEX(Partits!$C:$C,MATCH($A152&amp;"_"&amp;$D152,Partits!$D:$D,0)),""))</f>
        <v/>
      </c>
      <c r="J152" s="9" t="str">
        <f aca="false">IF($C152="","",IF(AND($I152="V",N($H152)&gt;0),1.2,1))</f>
        <v/>
      </c>
      <c r="K152" s="9" t="str">
        <f aca="false">IF($C152="","",N($H152)*$J152)</f>
        <v/>
      </c>
      <c r="L152" s="9" t="str">
        <f aca="false">IF($C152="","",IF($E152="SI",2,1))</f>
        <v/>
      </c>
      <c r="M152" s="9" t="str">
        <f aca="false">IF($C152="","",$K152*$L152)</f>
        <v/>
      </c>
    </row>
    <row r="153" customFormat="false" ht="15" hidden="false" customHeight="true" outlineLevel="0" collapsed="false">
      <c r="A153" s="9" t="str">
        <f aca="false">IF(Equips_usuari!A153="","",Equips_usuari!A153)</f>
        <v/>
      </c>
      <c r="B153" s="9" t="str">
        <f aca="false">IF(Equips_usuari!B153="","",Equips_usuari!B153)</f>
        <v/>
      </c>
      <c r="C153" s="9" t="str">
        <f aca="false">IF(Equips_usuari!C153="","",Equips_usuari!C153)</f>
        <v/>
      </c>
      <c r="D153" s="9" t="str">
        <f aca="false">IF(Equips_usuari!D153="","",Equips_usuari!D153)</f>
        <v/>
      </c>
      <c r="E153" s="9" t="str">
        <f aca="false">IF(Equips_usuari!F153="","",Equips_usuari!F153)</f>
        <v/>
      </c>
      <c r="F153" s="9" t="str">
        <f aca="false">IF($C153="","",SUMIFS(Resultats_jugadores!$C:$C,Resultats_jugadores!$A:$A,$A153,Resultats_jugadores!$B:$B,$C153))</f>
        <v/>
      </c>
      <c r="G153" s="9" t="str">
        <f aca="false">IF($C153="","",SUMIFS(Resultats_jugadores!$D:$D,Resultats_jugadores!$A:$A,$A153,Resultats_jugadores!$B:$B,$C153))</f>
        <v/>
      </c>
      <c r="H153" s="9" t="str">
        <f aca="false">IF($C153="","",N($F153)-N($G153))</f>
        <v/>
      </c>
      <c r="I153" s="9" t="str">
        <f aca="false">IF($C153="","",IFERROR(INDEX(Partits!$C:$C,MATCH($A153&amp;"_"&amp;$D153,Partits!$D:$D,0)),""))</f>
        <v/>
      </c>
      <c r="J153" s="9" t="str">
        <f aca="false">IF($C153="","",IF(AND($I153="V",N($H153)&gt;0),1.2,1))</f>
        <v/>
      </c>
      <c r="K153" s="9" t="str">
        <f aca="false">IF($C153="","",N($H153)*$J153)</f>
        <v/>
      </c>
      <c r="L153" s="9" t="str">
        <f aca="false">IF($C153="","",IF($E153="SI",2,1))</f>
        <v/>
      </c>
      <c r="M153" s="9" t="str">
        <f aca="false">IF($C153="","",$K153*$L153)</f>
        <v/>
      </c>
    </row>
    <row r="154" customFormat="false" ht="15" hidden="false" customHeight="true" outlineLevel="0" collapsed="false">
      <c r="A154" s="9" t="str">
        <f aca="false">IF(Equips_usuari!A154="","",Equips_usuari!A154)</f>
        <v/>
      </c>
      <c r="B154" s="9" t="str">
        <f aca="false">IF(Equips_usuari!B154="","",Equips_usuari!B154)</f>
        <v/>
      </c>
      <c r="C154" s="9" t="str">
        <f aca="false">IF(Equips_usuari!C154="","",Equips_usuari!C154)</f>
        <v/>
      </c>
      <c r="D154" s="9" t="str">
        <f aca="false">IF(Equips_usuari!D154="","",Equips_usuari!D154)</f>
        <v/>
      </c>
      <c r="E154" s="9" t="str">
        <f aca="false">IF(Equips_usuari!F154="","",Equips_usuari!F154)</f>
        <v/>
      </c>
      <c r="F154" s="9" t="str">
        <f aca="false">IF($C154="","",SUMIFS(Resultats_jugadores!$C:$C,Resultats_jugadores!$A:$A,$A154,Resultats_jugadores!$B:$B,$C154))</f>
        <v/>
      </c>
      <c r="G154" s="9" t="str">
        <f aca="false">IF($C154="","",SUMIFS(Resultats_jugadores!$D:$D,Resultats_jugadores!$A:$A,$A154,Resultats_jugadores!$B:$B,$C154))</f>
        <v/>
      </c>
      <c r="H154" s="9" t="str">
        <f aca="false">IF($C154="","",N($F154)-N($G154))</f>
        <v/>
      </c>
      <c r="I154" s="9" t="str">
        <f aca="false">IF($C154="","",IFERROR(INDEX(Partits!$C:$C,MATCH($A154&amp;"_"&amp;$D154,Partits!$D:$D,0)),""))</f>
        <v/>
      </c>
      <c r="J154" s="9" t="str">
        <f aca="false">IF($C154="","",IF(AND($I154="V",N($H154)&gt;0),1.2,1))</f>
        <v/>
      </c>
      <c r="K154" s="9" t="str">
        <f aca="false">IF($C154="","",N($H154)*$J154)</f>
        <v/>
      </c>
      <c r="L154" s="9" t="str">
        <f aca="false">IF($C154="","",IF($E154="SI",2,1))</f>
        <v/>
      </c>
      <c r="M154" s="9" t="str">
        <f aca="false">IF($C154="","",$K154*$L154)</f>
        <v/>
      </c>
    </row>
    <row r="155" customFormat="false" ht="15" hidden="false" customHeight="true" outlineLevel="0" collapsed="false">
      <c r="A155" s="9" t="str">
        <f aca="false">IF(Equips_usuari!A155="","",Equips_usuari!A155)</f>
        <v/>
      </c>
      <c r="B155" s="9" t="str">
        <f aca="false">IF(Equips_usuari!B155="","",Equips_usuari!B155)</f>
        <v/>
      </c>
      <c r="C155" s="9" t="str">
        <f aca="false">IF(Equips_usuari!C155="","",Equips_usuari!C155)</f>
        <v/>
      </c>
      <c r="D155" s="9" t="str">
        <f aca="false">IF(Equips_usuari!D155="","",Equips_usuari!D155)</f>
        <v/>
      </c>
      <c r="E155" s="9" t="str">
        <f aca="false">IF(Equips_usuari!F155="","",Equips_usuari!F155)</f>
        <v/>
      </c>
      <c r="F155" s="9" t="str">
        <f aca="false">IF($C155="","",SUMIFS(Resultats_jugadores!$C:$C,Resultats_jugadores!$A:$A,$A155,Resultats_jugadores!$B:$B,$C155))</f>
        <v/>
      </c>
      <c r="G155" s="9" t="str">
        <f aca="false">IF($C155="","",SUMIFS(Resultats_jugadores!$D:$D,Resultats_jugadores!$A:$A,$A155,Resultats_jugadores!$B:$B,$C155))</f>
        <v/>
      </c>
      <c r="H155" s="9" t="str">
        <f aca="false">IF($C155="","",N($F155)-N($G155))</f>
        <v/>
      </c>
      <c r="I155" s="9" t="str">
        <f aca="false">IF($C155="","",IFERROR(INDEX(Partits!$C:$C,MATCH($A155&amp;"_"&amp;$D155,Partits!$D:$D,0)),""))</f>
        <v/>
      </c>
      <c r="J155" s="9" t="str">
        <f aca="false">IF($C155="","",IF(AND($I155="V",N($H155)&gt;0),1.2,1))</f>
        <v/>
      </c>
      <c r="K155" s="9" t="str">
        <f aca="false">IF($C155="","",N($H155)*$J155)</f>
        <v/>
      </c>
      <c r="L155" s="9" t="str">
        <f aca="false">IF($C155="","",IF($E155="SI",2,1))</f>
        <v/>
      </c>
      <c r="M155" s="9" t="str">
        <f aca="false">IF($C155="","",$K155*$L155)</f>
        <v/>
      </c>
    </row>
    <row r="156" customFormat="false" ht="15" hidden="false" customHeight="true" outlineLevel="0" collapsed="false">
      <c r="A156" s="9" t="str">
        <f aca="false">IF(Equips_usuari!A156="","",Equips_usuari!A156)</f>
        <v/>
      </c>
      <c r="B156" s="9" t="str">
        <f aca="false">IF(Equips_usuari!B156="","",Equips_usuari!B156)</f>
        <v/>
      </c>
      <c r="C156" s="9" t="str">
        <f aca="false">IF(Equips_usuari!C156="","",Equips_usuari!C156)</f>
        <v/>
      </c>
      <c r="D156" s="9" t="str">
        <f aca="false">IF(Equips_usuari!D156="","",Equips_usuari!D156)</f>
        <v/>
      </c>
      <c r="E156" s="9" t="str">
        <f aca="false">IF(Equips_usuari!F156="","",Equips_usuari!F156)</f>
        <v/>
      </c>
      <c r="F156" s="9" t="str">
        <f aca="false">IF($C156="","",SUMIFS(Resultats_jugadores!$C:$C,Resultats_jugadores!$A:$A,$A156,Resultats_jugadores!$B:$B,$C156))</f>
        <v/>
      </c>
      <c r="G156" s="9" t="str">
        <f aca="false">IF($C156="","",SUMIFS(Resultats_jugadores!$D:$D,Resultats_jugadores!$A:$A,$A156,Resultats_jugadores!$B:$B,$C156))</f>
        <v/>
      </c>
      <c r="H156" s="9" t="str">
        <f aca="false">IF($C156="","",N($F156)-N($G156))</f>
        <v/>
      </c>
      <c r="I156" s="9" t="str">
        <f aca="false">IF($C156="","",IFERROR(INDEX(Partits!$C:$C,MATCH($A156&amp;"_"&amp;$D156,Partits!$D:$D,0)),""))</f>
        <v/>
      </c>
      <c r="J156" s="9" t="str">
        <f aca="false">IF($C156="","",IF(AND($I156="V",N($H156)&gt;0),1.2,1))</f>
        <v/>
      </c>
      <c r="K156" s="9" t="str">
        <f aca="false">IF($C156="","",N($H156)*$J156)</f>
        <v/>
      </c>
      <c r="L156" s="9" t="str">
        <f aca="false">IF($C156="","",IF($E156="SI",2,1))</f>
        <v/>
      </c>
      <c r="M156" s="9" t="str">
        <f aca="false">IF($C156="","",$K156*$L156)</f>
        <v/>
      </c>
    </row>
    <row r="157" customFormat="false" ht="15" hidden="false" customHeight="true" outlineLevel="0" collapsed="false">
      <c r="A157" s="9" t="str">
        <f aca="false">IF(Equips_usuari!A157="","",Equips_usuari!A157)</f>
        <v/>
      </c>
      <c r="B157" s="9" t="str">
        <f aca="false">IF(Equips_usuari!B157="","",Equips_usuari!B157)</f>
        <v/>
      </c>
      <c r="C157" s="9" t="str">
        <f aca="false">IF(Equips_usuari!C157="","",Equips_usuari!C157)</f>
        <v/>
      </c>
      <c r="D157" s="9" t="str">
        <f aca="false">IF(Equips_usuari!D157="","",Equips_usuari!D157)</f>
        <v/>
      </c>
      <c r="E157" s="9" t="str">
        <f aca="false">IF(Equips_usuari!F157="","",Equips_usuari!F157)</f>
        <v/>
      </c>
      <c r="F157" s="9" t="str">
        <f aca="false">IF($C157="","",SUMIFS(Resultats_jugadores!$C:$C,Resultats_jugadores!$A:$A,$A157,Resultats_jugadores!$B:$B,$C157))</f>
        <v/>
      </c>
      <c r="G157" s="9" t="str">
        <f aca="false">IF($C157="","",SUMIFS(Resultats_jugadores!$D:$D,Resultats_jugadores!$A:$A,$A157,Resultats_jugadores!$B:$B,$C157))</f>
        <v/>
      </c>
      <c r="H157" s="9" t="str">
        <f aca="false">IF($C157="","",N($F157)-N($G157))</f>
        <v/>
      </c>
      <c r="I157" s="9" t="str">
        <f aca="false">IF($C157="","",IFERROR(INDEX(Partits!$C:$C,MATCH($A157&amp;"_"&amp;$D157,Partits!$D:$D,0)),""))</f>
        <v/>
      </c>
      <c r="J157" s="9" t="str">
        <f aca="false">IF($C157="","",IF(AND($I157="V",N($H157)&gt;0),1.2,1))</f>
        <v/>
      </c>
      <c r="K157" s="9" t="str">
        <f aca="false">IF($C157="","",N($H157)*$J157)</f>
        <v/>
      </c>
      <c r="L157" s="9" t="str">
        <f aca="false">IF($C157="","",IF($E157="SI",2,1))</f>
        <v/>
      </c>
      <c r="M157" s="9" t="str">
        <f aca="false">IF($C157="","",$K157*$L157)</f>
        <v/>
      </c>
    </row>
    <row r="158" customFormat="false" ht="15" hidden="false" customHeight="true" outlineLevel="0" collapsed="false">
      <c r="A158" s="9" t="str">
        <f aca="false">IF(Equips_usuari!A158="","",Equips_usuari!A158)</f>
        <v/>
      </c>
      <c r="B158" s="9" t="str">
        <f aca="false">IF(Equips_usuari!B158="","",Equips_usuari!B158)</f>
        <v/>
      </c>
      <c r="C158" s="9" t="str">
        <f aca="false">IF(Equips_usuari!C158="","",Equips_usuari!C158)</f>
        <v/>
      </c>
      <c r="D158" s="9" t="str">
        <f aca="false">IF(Equips_usuari!D158="","",Equips_usuari!D158)</f>
        <v/>
      </c>
      <c r="E158" s="9" t="str">
        <f aca="false">IF(Equips_usuari!F158="","",Equips_usuari!F158)</f>
        <v/>
      </c>
      <c r="F158" s="9" t="str">
        <f aca="false">IF($C158="","",SUMIFS(Resultats_jugadores!$C:$C,Resultats_jugadores!$A:$A,$A158,Resultats_jugadores!$B:$B,$C158))</f>
        <v/>
      </c>
      <c r="G158" s="9" t="str">
        <f aca="false">IF($C158="","",SUMIFS(Resultats_jugadores!$D:$D,Resultats_jugadores!$A:$A,$A158,Resultats_jugadores!$B:$B,$C158))</f>
        <v/>
      </c>
      <c r="H158" s="9" t="str">
        <f aca="false">IF($C158="","",N($F158)-N($G158))</f>
        <v/>
      </c>
      <c r="I158" s="9" t="str">
        <f aca="false">IF($C158="","",IFERROR(INDEX(Partits!$C:$C,MATCH($A158&amp;"_"&amp;$D158,Partits!$D:$D,0)),""))</f>
        <v/>
      </c>
      <c r="J158" s="9" t="str">
        <f aca="false">IF($C158="","",IF(AND($I158="V",N($H158)&gt;0),1.2,1))</f>
        <v/>
      </c>
      <c r="K158" s="9" t="str">
        <f aca="false">IF($C158="","",N($H158)*$J158)</f>
        <v/>
      </c>
      <c r="L158" s="9" t="str">
        <f aca="false">IF($C158="","",IF($E158="SI",2,1))</f>
        <v/>
      </c>
      <c r="M158" s="9" t="str">
        <f aca="false">IF($C158="","",$K158*$L158)</f>
        <v/>
      </c>
    </row>
    <row r="159" customFormat="false" ht="15" hidden="false" customHeight="true" outlineLevel="0" collapsed="false">
      <c r="A159" s="9" t="str">
        <f aca="false">IF(Equips_usuari!A159="","",Equips_usuari!A159)</f>
        <v/>
      </c>
      <c r="B159" s="9" t="str">
        <f aca="false">IF(Equips_usuari!B159="","",Equips_usuari!B159)</f>
        <v/>
      </c>
      <c r="C159" s="9" t="str">
        <f aca="false">IF(Equips_usuari!C159="","",Equips_usuari!C159)</f>
        <v/>
      </c>
      <c r="D159" s="9" t="str">
        <f aca="false">IF(Equips_usuari!D159="","",Equips_usuari!D159)</f>
        <v/>
      </c>
      <c r="E159" s="9" t="str">
        <f aca="false">IF(Equips_usuari!F159="","",Equips_usuari!F159)</f>
        <v/>
      </c>
      <c r="F159" s="9" t="str">
        <f aca="false">IF($C159="","",SUMIFS(Resultats_jugadores!$C:$C,Resultats_jugadores!$A:$A,$A159,Resultats_jugadores!$B:$B,$C159))</f>
        <v/>
      </c>
      <c r="G159" s="9" t="str">
        <f aca="false">IF($C159="","",SUMIFS(Resultats_jugadores!$D:$D,Resultats_jugadores!$A:$A,$A159,Resultats_jugadores!$B:$B,$C159))</f>
        <v/>
      </c>
      <c r="H159" s="9" t="str">
        <f aca="false">IF($C159="","",N($F159)-N($G159))</f>
        <v/>
      </c>
      <c r="I159" s="9" t="str">
        <f aca="false">IF($C159="","",IFERROR(INDEX(Partits!$C:$C,MATCH($A159&amp;"_"&amp;$D159,Partits!$D:$D,0)),""))</f>
        <v/>
      </c>
      <c r="J159" s="9" t="str">
        <f aca="false">IF($C159="","",IF(AND($I159="V",N($H159)&gt;0),1.2,1))</f>
        <v/>
      </c>
      <c r="K159" s="9" t="str">
        <f aca="false">IF($C159="","",N($H159)*$J159)</f>
        <v/>
      </c>
      <c r="L159" s="9" t="str">
        <f aca="false">IF($C159="","",IF($E159="SI",2,1))</f>
        <v/>
      </c>
      <c r="M159" s="9" t="str">
        <f aca="false">IF($C159="","",$K159*$L159)</f>
        <v/>
      </c>
    </row>
    <row r="160" customFormat="false" ht="15" hidden="false" customHeight="true" outlineLevel="0" collapsed="false">
      <c r="A160" s="9" t="str">
        <f aca="false">IF(Equips_usuari!A160="","",Equips_usuari!A160)</f>
        <v/>
      </c>
      <c r="B160" s="9" t="str">
        <f aca="false">IF(Equips_usuari!B160="","",Equips_usuari!B160)</f>
        <v/>
      </c>
      <c r="C160" s="9" t="str">
        <f aca="false">IF(Equips_usuari!C160="","",Equips_usuari!C160)</f>
        <v/>
      </c>
      <c r="D160" s="9" t="str">
        <f aca="false">IF(Equips_usuari!D160="","",Equips_usuari!D160)</f>
        <v/>
      </c>
      <c r="E160" s="9" t="str">
        <f aca="false">IF(Equips_usuari!F160="","",Equips_usuari!F160)</f>
        <v/>
      </c>
      <c r="F160" s="9" t="str">
        <f aca="false">IF($C160="","",SUMIFS(Resultats_jugadores!$C:$C,Resultats_jugadores!$A:$A,$A160,Resultats_jugadores!$B:$B,$C160))</f>
        <v/>
      </c>
      <c r="G160" s="9" t="str">
        <f aca="false">IF($C160="","",SUMIFS(Resultats_jugadores!$D:$D,Resultats_jugadores!$A:$A,$A160,Resultats_jugadores!$B:$B,$C160))</f>
        <v/>
      </c>
      <c r="H160" s="9" t="str">
        <f aca="false">IF($C160="","",N($F160)-N($G160))</f>
        <v/>
      </c>
      <c r="I160" s="9" t="str">
        <f aca="false">IF($C160="","",IFERROR(INDEX(Partits!$C:$C,MATCH($A160&amp;"_"&amp;$D160,Partits!$D:$D,0)),""))</f>
        <v/>
      </c>
      <c r="J160" s="9" t="str">
        <f aca="false">IF($C160="","",IF(AND($I160="V",N($H160)&gt;0),1.2,1))</f>
        <v/>
      </c>
      <c r="K160" s="9" t="str">
        <f aca="false">IF($C160="","",N($H160)*$J160)</f>
        <v/>
      </c>
      <c r="L160" s="9" t="str">
        <f aca="false">IF($C160="","",IF($E160="SI",2,1))</f>
        <v/>
      </c>
      <c r="M160" s="9" t="str">
        <f aca="false">IF($C160="","",$K160*$L160)</f>
        <v/>
      </c>
    </row>
    <row r="161" customFormat="false" ht="15" hidden="false" customHeight="true" outlineLevel="0" collapsed="false">
      <c r="A161" s="9" t="str">
        <f aca="false">IF(Equips_usuari!A161="","",Equips_usuari!A161)</f>
        <v/>
      </c>
      <c r="B161" s="9" t="str">
        <f aca="false">IF(Equips_usuari!B161="","",Equips_usuari!B161)</f>
        <v/>
      </c>
      <c r="C161" s="9" t="str">
        <f aca="false">IF(Equips_usuari!C161="","",Equips_usuari!C161)</f>
        <v/>
      </c>
      <c r="D161" s="9" t="str">
        <f aca="false">IF(Equips_usuari!D161="","",Equips_usuari!D161)</f>
        <v/>
      </c>
      <c r="E161" s="9" t="str">
        <f aca="false">IF(Equips_usuari!F161="","",Equips_usuari!F161)</f>
        <v/>
      </c>
      <c r="F161" s="9" t="str">
        <f aca="false">IF($C161="","",SUMIFS(Resultats_jugadores!$C:$C,Resultats_jugadores!$A:$A,$A161,Resultats_jugadores!$B:$B,$C161))</f>
        <v/>
      </c>
      <c r="G161" s="9" t="str">
        <f aca="false">IF($C161="","",SUMIFS(Resultats_jugadores!$D:$D,Resultats_jugadores!$A:$A,$A161,Resultats_jugadores!$B:$B,$C161))</f>
        <v/>
      </c>
      <c r="H161" s="9" t="str">
        <f aca="false">IF($C161="","",N($F161)-N($G161))</f>
        <v/>
      </c>
      <c r="I161" s="9" t="str">
        <f aca="false">IF($C161="","",IFERROR(INDEX(Partits!$C:$C,MATCH($A161&amp;"_"&amp;$D161,Partits!$D:$D,0)),""))</f>
        <v/>
      </c>
      <c r="J161" s="9" t="str">
        <f aca="false">IF($C161="","",IF(AND($I161="V",N($H161)&gt;0),1.2,1))</f>
        <v/>
      </c>
      <c r="K161" s="9" t="str">
        <f aca="false">IF($C161="","",N($H161)*$J161)</f>
        <v/>
      </c>
      <c r="L161" s="9" t="str">
        <f aca="false">IF($C161="","",IF($E161="SI",2,1))</f>
        <v/>
      </c>
      <c r="M161" s="9" t="str">
        <f aca="false">IF($C161="","",$K161*$L161)</f>
        <v/>
      </c>
    </row>
    <row r="162" customFormat="false" ht="15" hidden="false" customHeight="true" outlineLevel="0" collapsed="false">
      <c r="A162" s="9" t="str">
        <f aca="false">IF(Equips_usuari!A162="","",Equips_usuari!A162)</f>
        <v/>
      </c>
      <c r="B162" s="9" t="str">
        <f aca="false">IF(Equips_usuari!B162="","",Equips_usuari!B162)</f>
        <v/>
      </c>
      <c r="C162" s="9" t="str">
        <f aca="false">IF(Equips_usuari!C162="","",Equips_usuari!C162)</f>
        <v/>
      </c>
      <c r="D162" s="9" t="str">
        <f aca="false">IF(Equips_usuari!D162="","",Equips_usuari!D162)</f>
        <v/>
      </c>
      <c r="E162" s="9" t="str">
        <f aca="false">IF(Equips_usuari!F162="","",Equips_usuari!F162)</f>
        <v/>
      </c>
      <c r="F162" s="9" t="str">
        <f aca="false">IF($C162="","",SUMIFS(Resultats_jugadores!$C:$C,Resultats_jugadores!$A:$A,$A162,Resultats_jugadores!$B:$B,$C162))</f>
        <v/>
      </c>
      <c r="G162" s="9" t="str">
        <f aca="false">IF($C162="","",SUMIFS(Resultats_jugadores!$D:$D,Resultats_jugadores!$A:$A,$A162,Resultats_jugadores!$B:$B,$C162))</f>
        <v/>
      </c>
      <c r="H162" s="9" t="str">
        <f aca="false">IF($C162="","",N($F162)-N($G162))</f>
        <v/>
      </c>
      <c r="I162" s="9" t="str">
        <f aca="false">IF($C162="","",IFERROR(INDEX(Partits!$C:$C,MATCH($A162&amp;"_"&amp;$D162,Partits!$D:$D,0)),""))</f>
        <v/>
      </c>
      <c r="J162" s="9" t="str">
        <f aca="false">IF($C162="","",IF(AND($I162="V",N($H162)&gt;0),1.2,1))</f>
        <v/>
      </c>
      <c r="K162" s="9" t="str">
        <f aca="false">IF($C162="","",N($H162)*$J162)</f>
        <v/>
      </c>
      <c r="L162" s="9" t="str">
        <f aca="false">IF($C162="","",IF($E162="SI",2,1))</f>
        <v/>
      </c>
      <c r="M162" s="9" t="str">
        <f aca="false">IF($C162="","",$K162*$L162)</f>
        <v/>
      </c>
    </row>
    <row r="163" customFormat="false" ht="15" hidden="false" customHeight="true" outlineLevel="0" collapsed="false">
      <c r="A163" s="9" t="str">
        <f aca="false">IF(Equips_usuari!A163="","",Equips_usuari!A163)</f>
        <v/>
      </c>
      <c r="B163" s="9" t="str">
        <f aca="false">IF(Equips_usuari!B163="","",Equips_usuari!B163)</f>
        <v/>
      </c>
      <c r="C163" s="9" t="str">
        <f aca="false">IF(Equips_usuari!C163="","",Equips_usuari!C163)</f>
        <v/>
      </c>
      <c r="D163" s="9" t="str">
        <f aca="false">IF(Equips_usuari!D163="","",Equips_usuari!D163)</f>
        <v/>
      </c>
      <c r="E163" s="9" t="str">
        <f aca="false">IF(Equips_usuari!F163="","",Equips_usuari!F163)</f>
        <v/>
      </c>
      <c r="F163" s="9" t="str">
        <f aca="false">IF($C163="","",SUMIFS(Resultats_jugadores!$C:$C,Resultats_jugadores!$A:$A,$A163,Resultats_jugadores!$B:$B,$C163))</f>
        <v/>
      </c>
      <c r="G163" s="9" t="str">
        <f aca="false">IF($C163="","",SUMIFS(Resultats_jugadores!$D:$D,Resultats_jugadores!$A:$A,$A163,Resultats_jugadores!$B:$B,$C163))</f>
        <v/>
      </c>
      <c r="H163" s="9" t="str">
        <f aca="false">IF($C163="","",N($F163)-N($G163))</f>
        <v/>
      </c>
      <c r="I163" s="9" t="str">
        <f aca="false">IF($C163="","",IFERROR(INDEX(Partits!$C:$C,MATCH($A163&amp;"_"&amp;$D163,Partits!$D:$D,0)),""))</f>
        <v/>
      </c>
      <c r="J163" s="9" t="str">
        <f aca="false">IF($C163="","",IF(AND($I163="V",N($H163)&gt;0),1.2,1))</f>
        <v/>
      </c>
      <c r="K163" s="9" t="str">
        <f aca="false">IF($C163="","",N($H163)*$J163)</f>
        <v/>
      </c>
      <c r="L163" s="9" t="str">
        <f aca="false">IF($C163="","",IF($E163="SI",2,1))</f>
        <v/>
      </c>
      <c r="M163" s="9" t="str">
        <f aca="false">IF($C163="","",$K163*$L163)</f>
        <v/>
      </c>
    </row>
    <row r="164" customFormat="false" ht="15" hidden="false" customHeight="true" outlineLevel="0" collapsed="false">
      <c r="A164" s="9" t="str">
        <f aca="false">IF(Equips_usuari!A164="","",Equips_usuari!A164)</f>
        <v/>
      </c>
      <c r="B164" s="9" t="str">
        <f aca="false">IF(Equips_usuari!B164="","",Equips_usuari!B164)</f>
        <v/>
      </c>
      <c r="C164" s="9" t="str">
        <f aca="false">IF(Equips_usuari!C164="","",Equips_usuari!C164)</f>
        <v/>
      </c>
      <c r="D164" s="9" t="str">
        <f aca="false">IF(Equips_usuari!D164="","",Equips_usuari!D164)</f>
        <v/>
      </c>
      <c r="E164" s="9" t="str">
        <f aca="false">IF(Equips_usuari!F164="","",Equips_usuari!F164)</f>
        <v/>
      </c>
      <c r="F164" s="9" t="str">
        <f aca="false">IF($C164="","",SUMIFS(Resultats_jugadores!$C:$C,Resultats_jugadores!$A:$A,$A164,Resultats_jugadores!$B:$B,$C164))</f>
        <v/>
      </c>
      <c r="G164" s="9" t="str">
        <f aca="false">IF($C164="","",SUMIFS(Resultats_jugadores!$D:$D,Resultats_jugadores!$A:$A,$A164,Resultats_jugadores!$B:$B,$C164))</f>
        <v/>
      </c>
      <c r="H164" s="9" t="str">
        <f aca="false">IF($C164="","",N($F164)-N($G164))</f>
        <v/>
      </c>
      <c r="I164" s="9" t="str">
        <f aca="false">IF($C164="","",IFERROR(INDEX(Partits!$C:$C,MATCH($A164&amp;"_"&amp;$D164,Partits!$D:$D,0)),""))</f>
        <v/>
      </c>
      <c r="J164" s="9" t="str">
        <f aca="false">IF($C164="","",IF(AND($I164="V",N($H164)&gt;0),1.2,1))</f>
        <v/>
      </c>
      <c r="K164" s="9" t="str">
        <f aca="false">IF($C164="","",N($H164)*$J164)</f>
        <v/>
      </c>
      <c r="L164" s="9" t="str">
        <f aca="false">IF($C164="","",IF($E164="SI",2,1))</f>
        <v/>
      </c>
      <c r="M164" s="9" t="str">
        <f aca="false">IF($C164="","",$K164*$L164)</f>
        <v/>
      </c>
    </row>
    <row r="165" customFormat="false" ht="15" hidden="false" customHeight="true" outlineLevel="0" collapsed="false">
      <c r="A165" s="9" t="str">
        <f aca="false">IF(Equips_usuari!A165="","",Equips_usuari!A165)</f>
        <v/>
      </c>
      <c r="B165" s="9" t="str">
        <f aca="false">IF(Equips_usuari!B165="","",Equips_usuari!B165)</f>
        <v/>
      </c>
      <c r="C165" s="9" t="str">
        <f aca="false">IF(Equips_usuari!C165="","",Equips_usuari!C165)</f>
        <v/>
      </c>
      <c r="D165" s="9" t="str">
        <f aca="false">IF(Equips_usuari!D165="","",Equips_usuari!D165)</f>
        <v/>
      </c>
      <c r="E165" s="9" t="str">
        <f aca="false">IF(Equips_usuari!F165="","",Equips_usuari!F165)</f>
        <v/>
      </c>
      <c r="F165" s="9" t="str">
        <f aca="false">IF($C165="","",SUMIFS(Resultats_jugadores!$C:$C,Resultats_jugadores!$A:$A,$A165,Resultats_jugadores!$B:$B,$C165))</f>
        <v/>
      </c>
      <c r="G165" s="9" t="str">
        <f aca="false">IF($C165="","",SUMIFS(Resultats_jugadores!$D:$D,Resultats_jugadores!$A:$A,$A165,Resultats_jugadores!$B:$B,$C165))</f>
        <v/>
      </c>
      <c r="H165" s="9" t="str">
        <f aca="false">IF($C165="","",N($F165)-N($G165))</f>
        <v/>
      </c>
      <c r="I165" s="9" t="str">
        <f aca="false">IF($C165="","",IFERROR(INDEX(Partits!$C:$C,MATCH($A165&amp;"_"&amp;$D165,Partits!$D:$D,0)),""))</f>
        <v/>
      </c>
      <c r="J165" s="9" t="str">
        <f aca="false">IF($C165="","",IF(AND($I165="V",N($H165)&gt;0),1.2,1))</f>
        <v/>
      </c>
      <c r="K165" s="9" t="str">
        <f aca="false">IF($C165="","",N($H165)*$J165)</f>
        <v/>
      </c>
      <c r="L165" s="9" t="str">
        <f aca="false">IF($C165="","",IF($E165="SI",2,1))</f>
        <v/>
      </c>
      <c r="M165" s="9" t="str">
        <f aca="false">IF($C165="","",$K165*$L165)</f>
        <v/>
      </c>
    </row>
    <row r="166" customFormat="false" ht="15" hidden="false" customHeight="true" outlineLevel="0" collapsed="false">
      <c r="A166" s="9" t="str">
        <f aca="false">IF(Equips_usuari!A166="","",Equips_usuari!A166)</f>
        <v/>
      </c>
      <c r="B166" s="9" t="str">
        <f aca="false">IF(Equips_usuari!B166="","",Equips_usuari!B166)</f>
        <v/>
      </c>
      <c r="C166" s="9" t="str">
        <f aca="false">IF(Equips_usuari!C166="","",Equips_usuari!C166)</f>
        <v/>
      </c>
      <c r="D166" s="9" t="str">
        <f aca="false">IF(Equips_usuari!D166="","",Equips_usuari!D166)</f>
        <v/>
      </c>
      <c r="E166" s="9" t="str">
        <f aca="false">IF(Equips_usuari!F166="","",Equips_usuari!F166)</f>
        <v/>
      </c>
      <c r="F166" s="9" t="str">
        <f aca="false">IF($C166="","",SUMIFS(Resultats_jugadores!$C:$C,Resultats_jugadores!$A:$A,$A166,Resultats_jugadores!$B:$B,$C166))</f>
        <v/>
      </c>
      <c r="G166" s="9" t="str">
        <f aca="false">IF($C166="","",SUMIFS(Resultats_jugadores!$D:$D,Resultats_jugadores!$A:$A,$A166,Resultats_jugadores!$B:$B,$C166))</f>
        <v/>
      </c>
      <c r="H166" s="9" t="str">
        <f aca="false">IF($C166="","",N($F166)-N($G166))</f>
        <v/>
      </c>
      <c r="I166" s="9" t="str">
        <f aca="false">IF($C166="","",IFERROR(INDEX(Partits!$C:$C,MATCH($A166&amp;"_"&amp;$D166,Partits!$D:$D,0)),""))</f>
        <v/>
      </c>
      <c r="J166" s="9" t="str">
        <f aca="false">IF($C166="","",IF(AND($I166="V",N($H166)&gt;0),1.2,1))</f>
        <v/>
      </c>
      <c r="K166" s="9" t="str">
        <f aca="false">IF($C166="","",N($H166)*$J166)</f>
        <v/>
      </c>
      <c r="L166" s="9" t="str">
        <f aca="false">IF($C166="","",IF($E166="SI",2,1))</f>
        <v/>
      </c>
      <c r="M166" s="9" t="str">
        <f aca="false">IF($C166="","",$K166*$L166)</f>
        <v/>
      </c>
    </row>
    <row r="167" customFormat="false" ht="15" hidden="false" customHeight="true" outlineLevel="0" collapsed="false">
      <c r="A167" s="9" t="str">
        <f aca="false">IF(Equips_usuari!A167="","",Equips_usuari!A167)</f>
        <v/>
      </c>
      <c r="B167" s="9" t="str">
        <f aca="false">IF(Equips_usuari!B167="","",Equips_usuari!B167)</f>
        <v/>
      </c>
      <c r="C167" s="9" t="str">
        <f aca="false">IF(Equips_usuari!C167="","",Equips_usuari!C167)</f>
        <v/>
      </c>
      <c r="D167" s="9" t="str">
        <f aca="false">IF(Equips_usuari!D167="","",Equips_usuari!D167)</f>
        <v/>
      </c>
      <c r="E167" s="9" t="str">
        <f aca="false">IF(Equips_usuari!F167="","",Equips_usuari!F167)</f>
        <v/>
      </c>
      <c r="F167" s="9" t="str">
        <f aca="false">IF($C167="","",SUMIFS(Resultats_jugadores!$C:$C,Resultats_jugadores!$A:$A,$A167,Resultats_jugadores!$B:$B,$C167))</f>
        <v/>
      </c>
      <c r="G167" s="9" t="str">
        <f aca="false">IF($C167="","",SUMIFS(Resultats_jugadores!$D:$D,Resultats_jugadores!$A:$A,$A167,Resultats_jugadores!$B:$B,$C167))</f>
        <v/>
      </c>
      <c r="H167" s="9" t="str">
        <f aca="false">IF($C167="","",N($F167)-N($G167))</f>
        <v/>
      </c>
      <c r="I167" s="9" t="str">
        <f aca="false">IF($C167="","",IFERROR(INDEX(Partits!$C:$C,MATCH($A167&amp;"_"&amp;$D167,Partits!$D:$D,0)),""))</f>
        <v/>
      </c>
      <c r="J167" s="9" t="str">
        <f aca="false">IF($C167="","",IF(AND($I167="V",N($H167)&gt;0),1.2,1))</f>
        <v/>
      </c>
      <c r="K167" s="9" t="str">
        <f aca="false">IF($C167="","",N($H167)*$J167)</f>
        <v/>
      </c>
      <c r="L167" s="9" t="str">
        <f aca="false">IF($C167="","",IF($E167="SI",2,1))</f>
        <v/>
      </c>
      <c r="M167" s="9" t="str">
        <f aca="false">IF($C167="","",$K167*$L167)</f>
        <v/>
      </c>
    </row>
    <row r="168" customFormat="false" ht="15" hidden="false" customHeight="true" outlineLevel="0" collapsed="false">
      <c r="A168" s="9" t="str">
        <f aca="false">IF(Equips_usuari!A168="","",Equips_usuari!A168)</f>
        <v/>
      </c>
      <c r="B168" s="9" t="str">
        <f aca="false">IF(Equips_usuari!B168="","",Equips_usuari!B168)</f>
        <v/>
      </c>
      <c r="C168" s="9" t="str">
        <f aca="false">IF(Equips_usuari!C168="","",Equips_usuari!C168)</f>
        <v/>
      </c>
      <c r="D168" s="9" t="str">
        <f aca="false">IF(Equips_usuari!D168="","",Equips_usuari!D168)</f>
        <v/>
      </c>
      <c r="E168" s="9" t="str">
        <f aca="false">IF(Equips_usuari!F168="","",Equips_usuari!F168)</f>
        <v/>
      </c>
      <c r="F168" s="9" t="str">
        <f aca="false">IF($C168="","",SUMIFS(Resultats_jugadores!$C:$C,Resultats_jugadores!$A:$A,$A168,Resultats_jugadores!$B:$B,$C168))</f>
        <v/>
      </c>
      <c r="G168" s="9" t="str">
        <f aca="false">IF($C168="","",SUMIFS(Resultats_jugadores!$D:$D,Resultats_jugadores!$A:$A,$A168,Resultats_jugadores!$B:$B,$C168))</f>
        <v/>
      </c>
      <c r="H168" s="9" t="str">
        <f aca="false">IF($C168="","",N($F168)-N($G168))</f>
        <v/>
      </c>
      <c r="I168" s="9" t="str">
        <f aca="false">IF($C168="","",IFERROR(INDEX(Partits!$C:$C,MATCH($A168&amp;"_"&amp;$D168,Partits!$D:$D,0)),""))</f>
        <v/>
      </c>
      <c r="J168" s="9" t="str">
        <f aca="false">IF($C168="","",IF(AND($I168="V",N($H168)&gt;0),1.2,1))</f>
        <v/>
      </c>
      <c r="K168" s="9" t="str">
        <f aca="false">IF($C168="","",N($H168)*$J168)</f>
        <v/>
      </c>
      <c r="L168" s="9" t="str">
        <f aca="false">IF($C168="","",IF($E168="SI",2,1))</f>
        <v/>
      </c>
      <c r="M168" s="9" t="str">
        <f aca="false">IF($C168="","",$K168*$L168)</f>
        <v/>
      </c>
    </row>
    <row r="169" customFormat="false" ht="15" hidden="false" customHeight="true" outlineLevel="0" collapsed="false">
      <c r="A169" s="9" t="str">
        <f aca="false">IF(Equips_usuari!A169="","",Equips_usuari!A169)</f>
        <v/>
      </c>
      <c r="B169" s="9" t="str">
        <f aca="false">IF(Equips_usuari!B169="","",Equips_usuari!B169)</f>
        <v/>
      </c>
      <c r="C169" s="9" t="str">
        <f aca="false">IF(Equips_usuari!C169="","",Equips_usuari!C169)</f>
        <v/>
      </c>
      <c r="D169" s="9" t="str">
        <f aca="false">IF(Equips_usuari!D169="","",Equips_usuari!D169)</f>
        <v/>
      </c>
      <c r="E169" s="9" t="str">
        <f aca="false">IF(Equips_usuari!F169="","",Equips_usuari!F169)</f>
        <v/>
      </c>
      <c r="F169" s="9" t="str">
        <f aca="false">IF($C169="","",SUMIFS(Resultats_jugadores!$C:$C,Resultats_jugadores!$A:$A,$A169,Resultats_jugadores!$B:$B,$C169))</f>
        <v/>
      </c>
      <c r="G169" s="9" t="str">
        <f aca="false">IF($C169="","",SUMIFS(Resultats_jugadores!$D:$D,Resultats_jugadores!$A:$A,$A169,Resultats_jugadores!$B:$B,$C169))</f>
        <v/>
      </c>
      <c r="H169" s="9" t="str">
        <f aca="false">IF($C169="","",N($F169)-N($G169))</f>
        <v/>
      </c>
      <c r="I169" s="9" t="str">
        <f aca="false">IF($C169="","",IFERROR(INDEX(Partits!$C:$C,MATCH($A169&amp;"_"&amp;$D169,Partits!$D:$D,0)),""))</f>
        <v/>
      </c>
      <c r="J169" s="9" t="str">
        <f aca="false">IF($C169="","",IF(AND($I169="V",N($H169)&gt;0),1.2,1))</f>
        <v/>
      </c>
      <c r="K169" s="9" t="str">
        <f aca="false">IF($C169="","",N($H169)*$J169)</f>
        <v/>
      </c>
      <c r="L169" s="9" t="str">
        <f aca="false">IF($C169="","",IF($E169="SI",2,1))</f>
        <v/>
      </c>
      <c r="M169" s="9" t="str">
        <f aca="false">IF($C169="","",$K169*$L169)</f>
        <v/>
      </c>
    </row>
    <row r="170" customFormat="false" ht="15" hidden="false" customHeight="true" outlineLevel="0" collapsed="false">
      <c r="A170" s="9" t="str">
        <f aca="false">IF(Equips_usuari!A170="","",Equips_usuari!A170)</f>
        <v/>
      </c>
      <c r="B170" s="9" t="str">
        <f aca="false">IF(Equips_usuari!B170="","",Equips_usuari!B170)</f>
        <v/>
      </c>
      <c r="C170" s="9" t="str">
        <f aca="false">IF(Equips_usuari!C170="","",Equips_usuari!C170)</f>
        <v/>
      </c>
      <c r="D170" s="9" t="str">
        <f aca="false">IF(Equips_usuari!D170="","",Equips_usuari!D170)</f>
        <v/>
      </c>
      <c r="E170" s="9" t="str">
        <f aca="false">IF(Equips_usuari!F170="","",Equips_usuari!F170)</f>
        <v/>
      </c>
      <c r="F170" s="9" t="str">
        <f aca="false">IF($C170="","",SUMIFS(Resultats_jugadores!$C:$C,Resultats_jugadores!$A:$A,$A170,Resultats_jugadores!$B:$B,$C170))</f>
        <v/>
      </c>
      <c r="G170" s="9" t="str">
        <f aca="false">IF($C170="","",SUMIFS(Resultats_jugadores!$D:$D,Resultats_jugadores!$A:$A,$A170,Resultats_jugadores!$B:$B,$C170))</f>
        <v/>
      </c>
      <c r="H170" s="9" t="str">
        <f aca="false">IF($C170="","",N($F170)-N($G170))</f>
        <v/>
      </c>
      <c r="I170" s="9" t="str">
        <f aca="false">IF($C170="","",IFERROR(INDEX(Partits!$C:$C,MATCH($A170&amp;"_"&amp;$D170,Partits!$D:$D,0)),""))</f>
        <v/>
      </c>
      <c r="J170" s="9" t="str">
        <f aca="false">IF($C170="","",IF(AND($I170="V",N($H170)&gt;0),1.2,1))</f>
        <v/>
      </c>
      <c r="K170" s="9" t="str">
        <f aca="false">IF($C170="","",N($H170)*$J170)</f>
        <v/>
      </c>
      <c r="L170" s="9" t="str">
        <f aca="false">IF($C170="","",IF($E170="SI",2,1))</f>
        <v/>
      </c>
      <c r="M170" s="9" t="str">
        <f aca="false">IF($C170="","",$K170*$L170)</f>
        <v/>
      </c>
    </row>
    <row r="171" customFormat="false" ht="15" hidden="false" customHeight="true" outlineLevel="0" collapsed="false">
      <c r="A171" s="9" t="str">
        <f aca="false">IF(Equips_usuari!A171="","",Equips_usuari!A171)</f>
        <v/>
      </c>
      <c r="B171" s="9" t="str">
        <f aca="false">IF(Equips_usuari!B171="","",Equips_usuari!B171)</f>
        <v/>
      </c>
      <c r="C171" s="9" t="str">
        <f aca="false">IF(Equips_usuari!C171="","",Equips_usuari!C171)</f>
        <v/>
      </c>
      <c r="D171" s="9" t="str">
        <f aca="false">IF(Equips_usuari!D171="","",Equips_usuari!D171)</f>
        <v/>
      </c>
      <c r="E171" s="9" t="str">
        <f aca="false">IF(Equips_usuari!F171="","",Equips_usuari!F171)</f>
        <v/>
      </c>
      <c r="F171" s="9" t="str">
        <f aca="false">IF($C171="","",SUMIFS(Resultats_jugadores!$C:$C,Resultats_jugadores!$A:$A,$A171,Resultats_jugadores!$B:$B,$C171))</f>
        <v/>
      </c>
      <c r="G171" s="9" t="str">
        <f aca="false">IF($C171="","",SUMIFS(Resultats_jugadores!$D:$D,Resultats_jugadores!$A:$A,$A171,Resultats_jugadores!$B:$B,$C171))</f>
        <v/>
      </c>
      <c r="H171" s="9" t="str">
        <f aca="false">IF($C171="","",N($F171)-N($G171))</f>
        <v/>
      </c>
      <c r="I171" s="9" t="str">
        <f aca="false">IF($C171="","",IFERROR(INDEX(Partits!$C:$C,MATCH($A171&amp;"_"&amp;$D171,Partits!$D:$D,0)),""))</f>
        <v/>
      </c>
      <c r="J171" s="9" t="str">
        <f aca="false">IF($C171="","",IF(AND($I171="V",N($H171)&gt;0),1.2,1))</f>
        <v/>
      </c>
      <c r="K171" s="9" t="str">
        <f aca="false">IF($C171="","",N($H171)*$J171)</f>
        <v/>
      </c>
      <c r="L171" s="9" t="str">
        <f aca="false">IF($C171="","",IF($E171="SI",2,1))</f>
        <v/>
      </c>
      <c r="M171" s="9" t="str">
        <f aca="false">IF($C171="","",$K171*$L171)</f>
        <v/>
      </c>
    </row>
    <row r="172" customFormat="false" ht="15" hidden="false" customHeight="true" outlineLevel="0" collapsed="false">
      <c r="A172" s="9" t="str">
        <f aca="false">IF(Equips_usuari!A172="","",Equips_usuari!A172)</f>
        <v/>
      </c>
      <c r="B172" s="9" t="str">
        <f aca="false">IF(Equips_usuari!B172="","",Equips_usuari!B172)</f>
        <v/>
      </c>
      <c r="C172" s="9" t="str">
        <f aca="false">IF(Equips_usuari!C172="","",Equips_usuari!C172)</f>
        <v/>
      </c>
      <c r="D172" s="9" t="str">
        <f aca="false">IF(Equips_usuari!D172="","",Equips_usuari!D172)</f>
        <v/>
      </c>
      <c r="E172" s="9" t="str">
        <f aca="false">IF(Equips_usuari!F172="","",Equips_usuari!F172)</f>
        <v/>
      </c>
      <c r="F172" s="9" t="str">
        <f aca="false">IF($C172="","",SUMIFS(Resultats_jugadores!$C:$C,Resultats_jugadores!$A:$A,$A172,Resultats_jugadores!$B:$B,$C172))</f>
        <v/>
      </c>
      <c r="G172" s="9" t="str">
        <f aca="false">IF($C172="","",SUMIFS(Resultats_jugadores!$D:$D,Resultats_jugadores!$A:$A,$A172,Resultats_jugadores!$B:$B,$C172))</f>
        <v/>
      </c>
      <c r="H172" s="9" t="str">
        <f aca="false">IF($C172="","",N($F172)-N($G172))</f>
        <v/>
      </c>
      <c r="I172" s="9" t="str">
        <f aca="false">IF($C172="","",IFERROR(INDEX(Partits!$C:$C,MATCH($A172&amp;"_"&amp;$D172,Partits!$D:$D,0)),""))</f>
        <v/>
      </c>
      <c r="J172" s="9" t="str">
        <f aca="false">IF($C172="","",IF(AND($I172="V",N($H172)&gt;0),1.2,1))</f>
        <v/>
      </c>
      <c r="K172" s="9" t="str">
        <f aca="false">IF($C172="","",N($H172)*$J172)</f>
        <v/>
      </c>
      <c r="L172" s="9" t="str">
        <f aca="false">IF($C172="","",IF($E172="SI",2,1))</f>
        <v/>
      </c>
      <c r="M172" s="9" t="str">
        <f aca="false">IF($C172="","",$K172*$L172)</f>
        <v/>
      </c>
    </row>
    <row r="173" customFormat="false" ht="15" hidden="false" customHeight="true" outlineLevel="0" collapsed="false">
      <c r="A173" s="9" t="str">
        <f aca="false">IF(Equips_usuari!A173="","",Equips_usuari!A173)</f>
        <v/>
      </c>
      <c r="B173" s="9" t="str">
        <f aca="false">IF(Equips_usuari!B173="","",Equips_usuari!B173)</f>
        <v/>
      </c>
      <c r="C173" s="9" t="str">
        <f aca="false">IF(Equips_usuari!C173="","",Equips_usuari!C173)</f>
        <v/>
      </c>
      <c r="D173" s="9" t="str">
        <f aca="false">IF(Equips_usuari!D173="","",Equips_usuari!D173)</f>
        <v/>
      </c>
      <c r="E173" s="9" t="str">
        <f aca="false">IF(Equips_usuari!F173="","",Equips_usuari!F173)</f>
        <v/>
      </c>
      <c r="F173" s="9" t="str">
        <f aca="false">IF($C173="","",SUMIFS(Resultats_jugadores!$C:$C,Resultats_jugadores!$A:$A,$A173,Resultats_jugadores!$B:$B,$C173))</f>
        <v/>
      </c>
      <c r="G173" s="9" t="str">
        <f aca="false">IF($C173="","",SUMIFS(Resultats_jugadores!$D:$D,Resultats_jugadores!$A:$A,$A173,Resultats_jugadores!$B:$B,$C173))</f>
        <v/>
      </c>
      <c r="H173" s="9" t="str">
        <f aca="false">IF($C173="","",N($F173)-N($G173))</f>
        <v/>
      </c>
      <c r="I173" s="9" t="str">
        <f aca="false">IF($C173="","",IFERROR(INDEX(Partits!$C:$C,MATCH($A173&amp;"_"&amp;$D173,Partits!$D:$D,0)),""))</f>
        <v/>
      </c>
      <c r="J173" s="9" t="str">
        <f aca="false">IF($C173="","",IF(AND($I173="V",N($H173)&gt;0),1.2,1))</f>
        <v/>
      </c>
      <c r="K173" s="9" t="str">
        <f aca="false">IF($C173="","",N($H173)*$J173)</f>
        <v/>
      </c>
      <c r="L173" s="9" t="str">
        <f aca="false">IF($C173="","",IF($E173="SI",2,1))</f>
        <v/>
      </c>
      <c r="M173" s="9" t="str">
        <f aca="false">IF($C173="","",$K173*$L173)</f>
        <v/>
      </c>
    </row>
    <row r="174" customFormat="false" ht="15" hidden="false" customHeight="true" outlineLevel="0" collapsed="false">
      <c r="A174" s="9" t="str">
        <f aca="false">IF(Equips_usuari!A174="","",Equips_usuari!A174)</f>
        <v/>
      </c>
      <c r="B174" s="9" t="str">
        <f aca="false">IF(Equips_usuari!B174="","",Equips_usuari!B174)</f>
        <v/>
      </c>
      <c r="C174" s="9" t="str">
        <f aca="false">IF(Equips_usuari!C174="","",Equips_usuari!C174)</f>
        <v/>
      </c>
      <c r="D174" s="9" t="str">
        <f aca="false">IF(Equips_usuari!D174="","",Equips_usuari!D174)</f>
        <v/>
      </c>
      <c r="E174" s="9" t="str">
        <f aca="false">IF(Equips_usuari!F174="","",Equips_usuari!F174)</f>
        <v/>
      </c>
      <c r="F174" s="9" t="str">
        <f aca="false">IF($C174="","",SUMIFS(Resultats_jugadores!$C:$C,Resultats_jugadores!$A:$A,$A174,Resultats_jugadores!$B:$B,$C174))</f>
        <v/>
      </c>
      <c r="G174" s="9" t="str">
        <f aca="false">IF($C174="","",SUMIFS(Resultats_jugadores!$D:$D,Resultats_jugadores!$A:$A,$A174,Resultats_jugadores!$B:$B,$C174))</f>
        <v/>
      </c>
      <c r="H174" s="9" t="str">
        <f aca="false">IF($C174="","",N($F174)-N($G174))</f>
        <v/>
      </c>
      <c r="I174" s="9" t="str">
        <f aca="false">IF($C174="","",IFERROR(INDEX(Partits!$C:$C,MATCH($A174&amp;"_"&amp;$D174,Partits!$D:$D,0)),""))</f>
        <v/>
      </c>
      <c r="J174" s="9" t="str">
        <f aca="false">IF($C174="","",IF(AND($I174="V",N($H174)&gt;0),1.2,1))</f>
        <v/>
      </c>
      <c r="K174" s="9" t="str">
        <f aca="false">IF($C174="","",N($H174)*$J174)</f>
        <v/>
      </c>
      <c r="L174" s="9" t="str">
        <f aca="false">IF($C174="","",IF($E174="SI",2,1))</f>
        <v/>
      </c>
      <c r="M174" s="9" t="str">
        <f aca="false">IF($C174="","",$K174*$L174)</f>
        <v/>
      </c>
    </row>
    <row r="175" customFormat="false" ht="15" hidden="false" customHeight="true" outlineLevel="0" collapsed="false">
      <c r="A175" s="9" t="str">
        <f aca="false">IF(Equips_usuari!A175="","",Equips_usuari!A175)</f>
        <v/>
      </c>
      <c r="B175" s="9" t="str">
        <f aca="false">IF(Equips_usuari!B175="","",Equips_usuari!B175)</f>
        <v/>
      </c>
      <c r="C175" s="9" t="str">
        <f aca="false">IF(Equips_usuari!C175="","",Equips_usuari!C175)</f>
        <v/>
      </c>
      <c r="D175" s="9" t="str">
        <f aca="false">IF(Equips_usuari!D175="","",Equips_usuari!D175)</f>
        <v/>
      </c>
      <c r="E175" s="9" t="str">
        <f aca="false">IF(Equips_usuari!F175="","",Equips_usuari!F175)</f>
        <v/>
      </c>
      <c r="F175" s="9" t="str">
        <f aca="false">IF($C175="","",SUMIFS(Resultats_jugadores!$C:$C,Resultats_jugadores!$A:$A,$A175,Resultats_jugadores!$B:$B,$C175))</f>
        <v/>
      </c>
      <c r="G175" s="9" t="str">
        <f aca="false">IF($C175="","",SUMIFS(Resultats_jugadores!$D:$D,Resultats_jugadores!$A:$A,$A175,Resultats_jugadores!$B:$B,$C175))</f>
        <v/>
      </c>
      <c r="H175" s="9" t="str">
        <f aca="false">IF($C175="","",N($F175)-N($G175))</f>
        <v/>
      </c>
      <c r="I175" s="9" t="str">
        <f aca="false">IF($C175="","",IFERROR(INDEX(Partits!$C:$C,MATCH($A175&amp;"_"&amp;$D175,Partits!$D:$D,0)),""))</f>
        <v/>
      </c>
      <c r="J175" s="9" t="str">
        <f aca="false">IF($C175="","",IF(AND($I175="V",N($H175)&gt;0),1.2,1))</f>
        <v/>
      </c>
      <c r="K175" s="9" t="str">
        <f aca="false">IF($C175="","",N($H175)*$J175)</f>
        <v/>
      </c>
      <c r="L175" s="9" t="str">
        <f aca="false">IF($C175="","",IF($E175="SI",2,1))</f>
        <v/>
      </c>
      <c r="M175" s="9" t="str">
        <f aca="false">IF($C175="","",$K175*$L175)</f>
        <v/>
      </c>
    </row>
    <row r="176" customFormat="false" ht="15" hidden="false" customHeight="true" outlineLevel="0" collapsed="false">
      <c r="A176" s="9" t="str">
        <f aca="false">IF(Equips_usuari!A176="","",Equips_usuari!A176)</f>
        <v/>
      </c>
      <c r="B176" s="9" t="str">
        <f aca="false">IF(Equips_usuari!B176="","",Equips_usuari!B176)</f>
        <v/>
      </c>
      <c r="C176" s="9" t="str">
        <f aca="false">IF(Equips_usuari!C176="","",Equips_usuari!C176)</f>
        <v/>
      </c>
      <c r="D176" s="9" t="str">
        <f aca="false">IF(Equips_usuari!D176="","",Equips_usuari!D176)</f>
        <v/>
      </c>
      <c r="E176" s="9" t="str">
        <f aca="false">IF(Equips_usuari!F176="","",Equips_usuari!F176)</f>
        <v/>
      </c>
      <c r="F176" s="9" t="str">
        <f aca="false">IF($C176="","",SUMIFS(Resultats_jugadores!$C:$C,Resultats_jugadores!$A:$A,$A176,Resultats_jugadores!$B:$B,$C176))</f>
        <v/>
      </c>
      <c r="G176" s="9" t="str">
        <f aca="false">IF($C176="","",SUMIFS(Resultats_jugadores!$D:$D,Resultats_jugadores!$A:$A,$A176,Resultats_jugadores!$B:$B,$C176))</f>
        <v/>
      </c>
      <c r="H176" s="9" t="str">
        <f aca="false">IF($C176="","",N($F176)-N($G176))</f>
        <v/>
      </c>
      <c r="I176" s="9" t="str">
        <f aca="false">IF($C176="","",IFERROR(INDEX(Partits!$C:$C,MATCH($A176&amp;"_"&amp;$D176,Partits!$D:$D,0)),""))</f>
        <v/>
      </c>
      <c r="J176" s="9" t="str">
        <f aca="false">IF($C176="","",IF(AND($I176="V",N($H176)&gt;0),1.2,1))</f>
        <v/>
      </c>
      <c r="K176" s="9" t="str">
        <f aca="false">IF($C176="","",N($H176)*$J176)</f>
        <v/>
      </c>
      <c r="L176" s="9" t="str">
        <f aca="false">IF($C176="","",IF($E176="SI",2,1))</f>
        <v/>
      </c>
      <c r="M176" s="9" t="str">
        <f aca="false">IF($C176="","",$K176*$L176)</f>
        <v/>
      </c>
    </row>
    <row r="177" customFormat="false" ht="15" hidden="false" customHeight="true" outlineLevel="0" collapsed="false">
      <c r="A177" s="9" t="str">
        <f aca="false">IF(Equips_usuari!A177="","",Equips_usuari!A177)</f>
        <v/>
      </c>
      <c r="B177" s="9" t="str">
        <f aca="false">IF(Equips_usuari!B177="","",Equips_usuari!B177)</f>
        <v/>
      </c>
      <c r="C177" s="9" t="str">
        <f aca="false">IF(Equips_usuari!C177="","",Equips_usuari!C177)</f>
        <v/>
      </c>
      <c r="D177" s="9" t="str">
        <f aca="false">IF(Equips_usuari!D177="","",Equips_usuari!D177)</f>
        <v/>
      </c>
      <c r="E177" s="9" t="str">
        <f aca="false">IF(Equips_usuari!F177="","",Equips_usuari!F177)</f>
        <v/>
      </c>
      <c r="F177" s="9" t="str">
        <f aca="false">IF($C177="","",SUMIFS(Resultats_jugadores!$C:$C,Resultats_jugadores!$A:$A,$A177,Resultats_jugadores!$B:$B,$C177))</f>
        <v/>
      </c>
      <c r="G177" s="9" t="str">
        <f aca="false">IF($C177="","",SUMIFS(Resultats_jugadores!$D:$D,Resultats_jugadores!$A:$A,$A177,Resultats_jugadores!$B:$B,$C177))</f>
        <v/>
      </c>
      <c r="H177" s="9" t="str">
        <f aca="false">IF($C177="","",N($F177)-N($G177))</f>
        <v/>
      </c>
      <c r="I177" s="9" t="str">
        <f aca="false">IF($C177="","",IFERROR(INDEX(Partits!$C:$C,MATCH($A177&amp;"_"&amp;$D177,Partits!$D:$D,0)),""))</f>
        <v/>
      </c>
      <c r="J177" s="9" t="str">
        <f aca="false">IF($C177="","",IF(AND($I177="V",N($H177)&gt;0),1.2,1))</f>
        <v/>
      </c>
      <c r="K177" s="9" t="str">
        <f aca="false">IF($C177="","",N($H177)*$J177)</f>
        <v/>
      </c>
      <c r="L177" s="9" t="str">
        <f aca="false">IF($C177="","",IF($E177="SI",2,1))</f>
        <v/>
      </c>
      <c r="M177" s="9" t="str">
        <f aca="false">IF($C177="","",$K177*$L177)</f>
        <v/>
      </c>
    </row>
    <row r="178" customFormat="false" ht="15" hidden="false" customHeight="true" outlineLevel="0" collapsed="false">
      <c r="A178" s="9" t="str">
        <f aca="false">IF(Equips_usuari!A178="","",Equips_usuari!A178)</f>
        <v/>
      </c>
      <c r="B178" s="9" t="str">
        <f aca="false">IF(Equips_usuari!B178="","",Equips_usuari!B178)</f>
        <v/>
      </c>
      <c r="C178" s="9" t="str">
        <f aca="false">IF(Equips_usuari!C178="","",Equips_usuari!C178)</f>
        <v/>
      </c>
      <c r="D178" s="9" t="str">
        <f aca="false">IF(Equips_usuari!D178="","",Equips_usuari!D178)</f>
        <v/>
      </c>
      <c r="E178" s="9" t="str">
        <f aca="false">IF(Equips_usuari!F178="","",Equips_usuari!F178)</f>
        <v/>
      </c>
      <c r="F178" s="9" t="str">
        <f aca="false">IF($C178="","",SUMIFS(Resultats_jugadores!$C:$C,Resultats_jugadores!$A:$A,$A178,Resultats_jugadores!$B:$B,$C178))</f>
        <v/>
      </c>
      <c r="G178" s="9" t="str">
        <f aca="false">IF($C178="","",SUMIFS(Resultats_jugadores!$D:$D,Resultats_jugadores!$A:$A,$A178,Resultats_jugadores!$B:$B,$C178))</f>
        <v/>
      </c>
      <c r="H178" s="9" t="str">
        <f aca="false">IF($C178="","",N($F178)-N($G178))</f>
        <v/>
      </c>
      <c r="I178" s="9" t="str">
        <f aca="false">IF($C178="","",IFERROR(INDEX(Partits!$C:$C,MATCH($A178&amp;"_"&amp;$D178,Partits!$D:$D,0)),""))</f>
        <v/>
      </c>
      <c r="J178" s="9" t="str">
        <f aca="false">IF($C178="","",IF(AND($I178="V",N($H178)&gt;0),1.2,1))</f>
        <v/>
      </c>
      <c r="K178" s="9" t="str">
        <f aca="false">IF($C178="","",N($H178)*$J178)</f>
        <v/>
      </c>
      <c r="L178" s="9" t="str">
        <f aca="false">IF($C178="","",IF($E178="SI",2,1))</f>
        <v/>
      </c>
      <c r="M178" s="9" t="str">
        <f aca="false">IF($C178="","",$K178*$L178)</f>
        <v/>
      </c>
    </row>
    <row r="179" customFormat="false" ht="15" hidden="false" customHeight="true" outlineLevel="0" collapsed="false">
      <c r="A179" s="9" t="str">
        <f aca="false">IF(Equips_usuari!A179="","",Equips_usuari!A179)</f>
        <v/>
      </c>
      <c r="B179" s="9" t="str">
        <f aca="false">IF(Equips_usuari!B179="","",Equips_usuari!B179)</f>
        <v/>
      </c>
      <c r="C179" s="9" t="str">
        <f aca="false">IF(Equips_usuari!C179="","",Equips_usuari!C179)</f>
        <v/>
      </c>
      <c r="D179" s="9" t="str">
        <f aca="false">IF(Equips_usuari!D179="","",Equips_usuari!D179)</f>
        <v/>
      </c>
      <c r="E179" s="9" t="str">
        <f aca="false">IF(Equips_usuari!F179="","",Equips_usuari!F179)</f>
        <v/>
      </c>
      <c r="F179" s="9" t="str">
        <f aca="false">IF($C179="","",SUMIFS(Resultats_jugadores!$C:$C,Resultats_jugadores!$A:$A,$A179,Resultats_jugadores!$B:$B,$C179))</f>
        <v/>
      </c>
      <c r="G179" s="9" t="str">
        <f aca="false">IF($C179="","",SUMIFS(Resultats_jugadores!$D:$D,Resultats_jugadores!$A:$A,$A179,Resultats_jugadores!$B:$B,$C179))</f>
        <v/>
      </c>
      <c r="H179" s="9" t="str">
        <f aca="false">IF($C179="","",N($F179)-N($G179))</f>
        <v/>
      </c>
      <c r="I179" s="9" t="str">
        <f aca="false">IF($C179="","",IFERROR(INDEX(Partits!$C:$C,MATCH($A179&amp;"_"&amp;$D179,Partits!$D:$D,0)),""))</f>
        <v/>
      </c>
      <c r="J179" s="9" t="str">
        <f aca="false">IF($C179="","",IF(AND($I179="V",N($H179)&gt;0),1.2,1))</f>
        <v/>
      </c>
      <c r="K179" s="9" t="str">
        <f aca="false">IF($C179="","",N($H179)*$J179)</f>
        <v/>
      </c>
      <c r="L179" s="9" t="str">
        <f aca="false">IF($C179="","",IF($E179="SI",2,1))</f>
        <v/>
      </c>
      <c r="M179" s="9" t="str">
        <f aca="false">IF($C179="","",$K179*$L179)</f>
        <v/>
      </c>
    </row>
    <row r="180" customFormat="false" ht="15" hidden="false" customHeight="true" outlineLevel="0" collapsed="false">
      <c r="A180" s="9" t="str">
        <f aca="false">IF(Equips_usuari!A180="","",Equips_usuari!A180)</f>
        <v/>
      </c>
      <c r="B180" s="9" t="str">
        <f aca="false">IF(Equips_usuari!B180="","",Equips_usuari!B180)</f>
        <v/>
      </c>
      <c r="C180" s="9" t="str">
        <f aca="false">IF(Equips_usuari!C180="","",Equips_usuari!C180)</f>
        <v/>
      </c>
      <c r="D180" s="9" t="str">
        <f aca="false">IF(Equips_usuari!D180="","",Equips_usuari!D180)</f>
        <v/>
      </c>
      <c r="E180" s="9" t="str">
        <f aca="false">IF(Equips_usuari!F180="","",Equips_usuari!F180)</f>
        <v/>
      </c>
      <c r="F180" s="9" t="str">
        <f aca="false">IF($C180="","",SUMIFS(Resultats_jugadores!$C:$C,Resultats_jugadores!$A:$A,$A180,Resultats_jugadores!$B:$B,$C180))</f>
        <v/>
      </c>
      <c r="G180" s="9" t="str">
        <f aca="false">IF($C180="","",SUMIFS(Resultats_jugadores!$D:$D,Resultats_jugadores!$A:$A,$A180,Resultats_jugadores!$B:$B,$C180))</f>
        <v/>
      </c>
      <c r="H180" s="9" t="str">
        <f aca="false">IF($C180="","",N($F180)-N($G180))</f>
        <v/>
      </c>
      <c r="I180" s="9" t="str">
        <f aca="false">IF($C180="","",IFERROR(INDEX(Partits!$C:$C,MATCH($A180&amp;"_"&amp;$D180,Partits!$D:$D,0)),""))</f>
        <v/>
      </c>
      <c r="J180" s="9" t="str">
        <f aca="false">IF($C180="","",IF(AND($I180="V",N($H180)&gt;0),1.2,1))</f>
        <v/>
      </c>
      <c r="K180" s="9" t="str">
        <f aca="false">IF($C180="","",N($H180)*$J180)</f>
        <v/>
      </c>
      <c r="L180" s="9" t="str">
        <f aca="false">IF($C180="","",IF($E180="SI",2,1))</f>
        <v/>
      </c>
      <c r="M180" s="9" t="str">
        <f aca="false">IF($C180="","",$K180*$L180)</f>
        <v/>
      </c>
    </row>
    <row r="181" customFormat="false" ht="15" hidden="false" customHeight="true" outlineLevel="0" collapsed="false">
      <c r="A181" s="9" t="str">
        <f aca="false">IF(Equips_usuari!A181="","",Equips_usuari!A181)</f>
        <v/>
      </c>
      <c r="B181" s="9" t="str">
        <f aca="false">IF(Equips_usuari!B181="","",Equips_usuari!B181)</f>
        <v/>
      </c>
      <c r="C181" s="9" t="str">
        <f aca="false">IF(Equips_usuari!C181="","",Equips_usuari!C181)</f>
        <v/>
      </c>
      <c r="D181" s="9" t="str">
        <f aca="false">IF(Equips_usuari!D181="","",Equips_usuari!D181)</f>
        <v/>
      </c>
      <c r="E181" s="9" t="str">
        <f aca="false">IF(Equips_usuari!F181="","",Equips_usuari!F181)</f>
        <v/>
      </c>
      <c r="F181" s="9" t="str">
        <f aca="false">IF($C181="","",SUMIFS(Resultats_jugadores!$C:$C,Resultats_jugadores!$A:$A,$A181,Resultats_jugadores!$B:$B,$C181))</f>
        <v/>
      </c>
      <c r="G181" s="9" t="str">
        <f aca="false">IF($C181="","",SUMIFS(Resultats_jugadores!$D:$D,Resultats_jugadores!$A:$A,$A181,Resultats_jugadores!$B:$B,$C181))</f>
        <v/>
      </c>
      <c r="H181" s="9" t="str">
        <f aca="false">IF($C181="","",N($F181)-N($G181))</f>
        <v/>
      </c>
      <c r="I181" s="9" t="str">
        <f aca="false">IF($C181="","",IFERROR(INDEX(Partits!$C:$C,MATCH($A181&amp;"_"&amp;$D181,Partits!$D:$D,0)),""))</f>
        <v/>
      </c>
      <c r="J181" s="9" t="str">
        <f aca="false">IF($C181="","",IF(AND($I181="V",N($H181)&gt;0),1.2,1))</f>
        <v/>
      </c>
      <c r="K181" s="9" t="str">
        <f aca="false">IF($C181="","",N($H181)*$J181)</f>
        <v/>
      </c>
      <c r="L181" s="9" t="str">
        <f aca="false">IF($C181="","",IF($E181="SI",2,1))</f>
        <v/>
      </c>
      <c r="M181" s="9" t="str">
        <f aca="false">IF($C181="","",$K181*$L181)</f>
        <v/>
      </c>
    </row>
    <row r="182" customFormat="false" ht="15" hidden="false" customHeight="true" outlineLevel="0" collapsed="false">
      <c r="A182" s="9" t="str">
        <f aca="false">IF(Equips_usuari!A182="","",Equips_usuari!A182)</f>
        <v/>
      </c>
      <c r="B182" s="9" t="str">
        <f aca="false">IF(Equips_usuari!B182="","",Equips_usuari!B182)</f>
        <v/>
      </c>
      <c r="C182" s="9" t="str">
        <f aca="false">IF(Equips_usuari!C182="","",Equips_usuari!C182)</f>
        <v/>
      </c>
      <c r="D182" s="9" t="str">
        <f aca="false">IF(Equips_usuari!D182="","",Equips_usuari!D182)</f>
        <v/>
      </c>
      <c r="E182" s="9" t="str">
        <f aca="false">IF(Equips_usuari!F182="","",Equips_usuari!F182)</f>
        <v/>
      </c>
      <c r="F182" s="9" t="str">
        <f aca="false">IF($C182="","",SUMIFS(Resultats_jugadores!$C:$C,Resultats_jugadores!$A:$A,$A182,Resultats_jugadores!$B:$B,$C182))</f>
        <v/>
      </c>
      <c r="G182" s="9" t="str">
        <f aca="false">IF($C182="","",SUMIFS(Resultats_jugadores!$D:$D,Resultats_jugadores!$A:$A,$A182,Resultats_jugadores!$B:$B,$C182))</f>
        <v/>
      </c>
      <c r="H182" s="9" t="str">
        <f aca="false">IF($C182="","",N($F182)-N($G182))</f>
        <v/>
      </c>
      <c r="I182" s="9" t="str">
        <f aca="false">IF($C182="","",IFERROR(INDEX(Partits!$C:$C,MATCH($A182&amp;"_"&amp;$D182,Partits!$D:$D,0)),""))</f>
        <v/>
      </c>
      <c r="J182" s="9" t="str">
        <f aca="false">IF($C182="","",IF(AND($I182="V",N($H182)&gt;0),1.2,1))</f>
        <v/>
      </c>
      <c r="K182" s="9" t="str">
        <f aca="false">IF($C182="","",N($H182)*$J182)</f>
        <v/>
      </c>
      <c r="L182" s="9" t="str">
        <f aca="false">IF($C182="","",IF($E182="SI",2,1))</f>
        <v/>
      </c>
      <c r="M182" s="9" t="str">
        <f aca="false">IF($C182="","",$K182*$L182)</f>
        <v/>
      </c>
    </row>
    <row r="183" customFormat="false" ht="15" hidden="false" customHeight="true" outlineLevel="0" collapsed="false">
      <c r="A183" s="9" t="str">
        <f aca="false">IF(Equips_usuari!A183="","",Equips_usuari!A183)</f>
        <v/>
      </c>
      <c r="B183" s="9" t="str">
        <f aca="false">IF(Equips_usuari!B183="","",Equips_usuari!B183)</f>
        <v/>
      </c>
      <c r="C183" s="9" t="str">
        <f aca="false">IF(Equips_usuari!C183="","",Equips_usuari!C183)</f>
        <v/>
      </c>
      <c r="D183" s="9" t="str">
        <f aca="false">IF(Equips_usuari!D183="","",Equips_usuari!D183)</f>
        <v/>
      </c>
      <c r="E183" s="9" t="str">
        <f aca="false">IF(Equips_usuari!F183="","",Equips_usuari!F183)</f>
        <v/>
      </c>
      <c r="F183" s="9" t="str">
        <f aca="false">IF($C183="","",SUMIFS(Resultats_jugadores!$C:$C,Resultats_jugadores!$A:$A,$A183,Resultats_jugadores!$B:$B,$C183))</f>
        <v/>
      </c>
      <c r="G183" s="9" t="str">
        <f aca="false">IF($C183="","",SUMIFS(Resultats_jugadores!$D:$D,Resultats_jugadores!$A:$A,$A183,Resultats_jugadores!$B:$B,$C183))</f>
        <v/>
      </c>
      <c r="H183" s="9" t="str">
        <f aca="false">IF($C183="","",N($F183)-N($G183))</f>
        <v/>
      </c>
      <c r="I183" s="9" t="str">
        <f aca="false">IF($C183="","",IFERROR(INDEX(Partits!$C:$C,MATCH($A183&amp;"_"&amp;$D183,Partits!$D:$D,0)),""))</f>
        <v/>
      </c>
      <c r="J183" s="9" t="str">
        <f aca="false">IF($C183="","",IF(AND($I183="V",N($H183)&gt;0),1.2,1))</f>
        <v/>
      </c>
      <c r="K183" s="9" t="str">
        <f aca="false">IF($C183="","",N($H183)*$J183)</f>
        <v/>
      </c>
      <c r="L183" s="9" t="str">
        <f aca="false">IF($C183="","",IF($E183="SI",2,1))</f>
        <v/>
      </c>
      <c r="M183" s="9" t="str">
        <f aca="false">IF($C183="","",$K183*$L183)</f>
        <v/>
      </c>
    </row>
    <row r="184" customFormat="false" ht="15" hidden="false" customHeight="true" outlineLevel="0" collapsed="false">
      <c r="A184" s="9" t="str">
        <f aca="false">IF(Equips_usuari!A184="","",Equips_usuari!A184)</f>
        <v/>
      </c>
      <c r="B184" s="9" t="str">
        <f aca="false">IF(Equips_usuari!B184="","",Equips_usuari!B184)</f>
        <v/>
      </c>
      <c r="C184" s="9" t="str">
        <f aca="false">IF(Equips_usuari!C184="","",Equips_usuari!C184)</f>
        <v/>
      </c>
      <c r="D184" s="9" t="str">
        <f aca="false">IF(Equips_usuari!D184="","",Equips_usuari!D184)</f>
        <v/>
      </c>
      <c r="E184" s="9" t="str">
        <f aca="false">IF(Equips_usuari!F184="","",Equips_usuari!F184)</f>
        <v/>
      </c>
      <c r="F184" s="9" t="str">
        <f aca="false">IF($C184="","",SUMIFS(Resultats_jugadores!$C:$C,Resultats_jugadores!$A:$A,$A184,Resultats_jugadores!$B:$B,$C184))</f>
        <v/>
      </c>
      <c r="G184" s="9" t="str">
        <f aca="false">IF($C184="","",SUMIFS(Resultats_jugadores!$D:$D,Resultats_jugadores!$A:$A,$A184,Resultats_jugadores!$B:$B,$C184))</f>
        <v/>
      </c>
      <c r="H184" s="9" t="str">
        <f aca="false">IF($C184="","",N($F184)-N($G184))</f>
        <v/>
      </c>
      <c r="I184" s="9" t="str">
        <f aca="false">IF($C184="","",IFERROR(INDEX(Partits!$C:$C,MATCH($A184&amp;"_"&amp;$D184,Partits!$D:$D,0)),""))</f>
        <v/>
      </c>
      <c r="J184" s="9" t="str">
        <f aca="false">IF($C184="","",IF(AND($I184="V",N($H184)&gt;0),1.2,1))</f>
        <v/>
      </c>
      <c r="K184" s="9" t="str">
        <f aca="false">IF($C184="","",N($H184)*$J184)</f>
        <v/>
      </c>
      <c r="L184" s="9" t="str">
        <f aca="false">IF($C184="","",IF($E184="SI",2,1))</f>
        <v/>
      </c>
      <c r="M184" s="9" t="str">
        <f aca="false">IF($C184="","",$K184*$L184)</f>
        <v/>
      </c>
    </row>
    <row r="185" customFormat="false" ht="15" hidden="false" customHeight="true" outlineLevel="0" collapsed="false">
      <c r="A185" s="9" t="str">
        <f aca="false">IF(Equips_usuari!A185="","",Equips_usuari!A185)</f>
        <v/>
      </c>
      <c r="B185" s="9" t="str">
        <f aca="false">IF(Equips_usuari!B185="","",Equips_usuari!B185)</f>
        <v/>
      </c>
      <c r="C185" s="9" t="str">
        <f aca="false">IF(Equips_usuari!C185="","",Equips_usuari!C185)</f>
        <v/>
      </c>
      <c r="D185" s="9" t="str">
        <f aca="false">IF(Equips_usuari!D185="","",Equips_usuari!D185)</f>
        <v/>
      </c>
      <c r="E185" s="9" t="str">
        <f aca="false">IF(Equips_usuari!F185="","",Equips_usuari!F185)</f>
        <v/>
      </c>
      <c r="F185" s="9" t="str">
        <f aca="false">IF($C185="","",SUMIFS(Resultats_jugadores!$C:$C,Resultats_jugadores!$A:$A,$A185,Resultats_jugadores!$B:$B,$C185))</f>
        <v/>
      </c>
      <c r="G185" s="9" t="str">
        <f aca="false">IF($C185="","",SUMIFS(Resultats_jugadores!$D:$D,Resultats_jugadores!$A:$A,$A185,Resultats_jugadores!$B:$B,$C185))</f>
        <v/>
      </c>
      <c r="H185" s="9" t="str">
        <f aca="false">IF($C185="","",N($F185)-N($G185))</f>
        <v/>
      </c>
      <c r="I185" s="9" t="str">
        <f aca="false">IF($C185="","",IFERROR(INDEX(Partits!$C:$C,MATCH($A185&amp;"_"&amp;$D185,Partits!$D:$D,0)),""))</f>
        <v/>
      </c>
      <c r="J185" s="9" t="str">
        <f aca="false">IF($C185="","",IF(AND($I185="V",N($H185)&gt;0),1.2,1))</f>
        <v/>
      </c>
      <c r="K185" s="9" t="str">
        <f aca="false">IF($C185="","",N($H185)*$J185)</f>
        <v/>
      </c>
      <c r="L185" s="9" t="str">
        <f aca="false">IF($C185="","",IF($E185="SI",2,1))</f>
        <v/>
      </c>
      <c r="M185" s="9" t="str">
        <f aca="false">IF($C185="","",$K185*$L185)</f>
        <v/>
      </c>
    </row>
    <row r="186" customFormat="false" ht="15" hidden="false" customHeight="true" outlineLevel="0" collapsed="false">
      <c r="A186" s="9" t="str">
        <f aca="false">IF(Equips_usuari!A186="","",Equips_usuari!A186)</f>
        <v/>
      </c>
      <c r="B186" s="9" t="str">
        <f aca="false">IF(Equips_usuari!B186="","",Equips_usuari!B186)</f>
        <v/>
      </c>
      <c r="C186" s="9" t="str">
        <f aca="false">IF(Equips_usuari!C186="","",Equips_usuari!C186)</f>
        <v/>
      </c>
      <c r="D186" s="9" t="str">
        <f aca="false">IF(Equips_usuari!D186="","",Equips_usuari!D186)</f>
        <v/>
      </c>
      <c r="E186" s="9" t="str">
        <f aca="false">IF(Equips_usuari!F186="","",Equips_usuari!F186)</f>
        <v/>
      </c>
      <c r="F186" s="9" t="str">
        <f aca="false">IF($C186="","",SUMIFS(Resultats_jugadores!$C:$C,Resultats_jugadores!$A:$A,$A186,Resultats_jugadores!$B:$B,$C186))</f>
        <v/>
      </c>
      <c r="G186" s="9" t="str">
        <f aca="false">IF($C186="","",SUMIFS(Resultats_jugadores!$D:$D,Resultats_jugadores!$A:$A,$A186,Resultats_jugadores!$B:$B,$C186))</f>
        <v/>
      </c>
      <c r="H186" s="9" t="str">
        <f aca="false">IF($C186="","",N($F186)-N($G186))</f>
        <v/>
      </c>
      <c r="I186" s="9" t="str">
        <f aca="false">IF($C186="","",IFERROR(INDEX(Partits!$C:$C,MATCH($A186&amp;"_"&amp;$D186,Partits!$D:$D,0)),""))</f>
        <v/>
      </c>
      <c r="J186" s="9" t="str">
        <f aca="false">IF($C186="","",IF(AND($I186="V",N($H186)&gt;0),1.2,1))</f>
        <v/>
      </c>
      <c r="K186" s="9" t="str">
        <f aca="false">IF($C186="","",N($H186)*$J186)</f>
        <v/>
      </c>
      <c r="L186" s="9" t="str">
        <f aca="false">IF($C186="","",IF($E186="SI",2,1))</f>
        <v/>
      </c>
      <c r="M186" s="9" t="str">
        <f aca="false">IF($C186="","",$K186*$L186)</f>
        <v/>
      </c>
    </row>
    <row r="187" customFormat="false" ht="15" hidden="false" customHeight="true" outlineLevel="0" collapsed="false">
      <c r="A187" s="9" t="str">
        <f aca="false">IF(Equips_usuari!A187="","",Equips_usuari!A187)</f>
        <v/>
      </c>
      <c r="B187" s="9" t="str">
        <f aca="false">IF(Equips_usuari!B187="","",Equips_usuari!B187)</f>
        <v/>
      </c>
      <c r="C187" s="9" t="str">
        <f aca="false">IF(Equips_usuari!C187="","",Equips_usuari!C187)</f>
        <v/>
      </c>
      <c r="D187" s="9" t="str">
        <f aca="false">IF(Equips_usuari!D187="","",Equips_usuari!D187)</f>
        <v/>
      </c>
      <c r="E187" s="9" t="str">
        <f aca="false">IF(Equips_usuari!F187="","",Equips_usuari!F187)</f>
        <v/>
      </c>
      <c r="F187" s="9" t="str">
        <f aca="false">IF($C187="","",SUMIFS(Resultats_jugadores!$C:$C,Resultats_jugadores!$A:$A,$A187,Resultats_jugadores!$B:$B,$C187))</f>
        <v/>
      </c>
      <c r="G187" s="9" t="str">
        <f aca="false">IF($C187="","",SUMIFS(Resultats_jugadores!$D:$D,Resultats_jugadores!$A:$A,$A187,Resultats_jugadores!$B:$B,$C187))</f>
        <v/>
      </c>
      <c r="H187" s="9" t="str">
        <f aca="false">IF($C187="","",N($F187)-N($G187))</f>
        <v/>
      </c>
      <c r="I187" s="9" t="str">
        <f aca="false">IF($C187="","",IFERROR(INDEX(Partits!$C:$C,MATCH($A187&amp;"_"&amp;$D187,Partits!$D:$D,0)),""))</f>
        <v/>
      </c>
      <c r="J187" s="9" t="str">
        <f aca="false">IF($C187="","",IF(AND($I187="V",N($H187)&gt;0),1.2,1))</f>
        <v/>
      </c>
      <c r="K187" s="9" t="str">
        <f aca="false">IF($C187="","",N($H187)*$J187)</f>
        <v/>
      </c>
      <c r="L187" s="9" t="str">
        <f aca="false">IF($C187="","",IF($E187="SI",2,1))</f>
        <v/>
      </c>
      <c r="M187" s="9" t="str">
        <f aca="false">IF($C187="","",$K187*$L187)</f>
        <v/>
      </c>
    </row>
    <row r="188" customFormat="false" ht="15" hidden="false" customHeight="true" outlineLevel="0" collapsed="false">
      <c r="A188" s="9" t="str">
        <f aca="false">IF(Equips_usuari!A188="","",Equips_usuari!A188)</f>
        <v/>
      </c>
      <c r="B188" s="9" t="str">
        <f aca="false">IF(Equips_usuari!B188="","",Equips_usuari!B188)</f>
        <v/>
      </c>
      <c r="C188" s="9" t="str">
        <f aca="false">IF(Equips_usuari!C188="","",Equips_usuari!C188)</f>
        <v/>
      </c>
      <c r="D188" s="9" t="str">
        <f aca="false">IF(Equips_usuari!D188="","",Equips_usuari!D188)</f>
        <v/>
      </c>
      <c r="E188" s="9" t="str">
        <f aca="false">IF(Equips_usuari!F188="","",Equips_usuari!F188)</f>
        <v/>
      </c>
      <c r="F188" s="9" t="str">
        <f aca="false">IF($C188="","",SUMIFS(Resultats_jugadores!$C:$C,Resultats_jugadores!$A:$A,$A188,Resultats_jugadores!$B:$B,$C188))</f>
        <v/>
      </c>
      <c r="G188" s="9" t="str">
        <f aca="false">IF($C188="","",SUMIFS(Resultats_jugadores!$D:$D,Resultats_jugadores!$A:$A,$A188,Resultats_jugadores!$B:$B,$C188))</f>
        <v/>
      </c>
      <c r="H188" s="9" t="str">
        <f aca="false">IF($C188="","",N($F188)-N($G188))</f>
        <v/>
      </c>
      <c r="I188" s="9" t="str">
        <f aca="false">IF($C188="","",IFERROR(INDEX(Partits!$C:$C,MATCH($A188&amp;"_"&amp;$D188,Partits!$D:$D,0)),""))</f>
        <v/>
      </c>
      <c r="J188" s="9" t="str">
        <f aca="false">IF($C188="","",IF(AND($I188="V",N($H188)&gt;0),1.2,1))</f>
        <v/>
      </c>
      <c r="K188" s="9" t="str">
        <f aca="false">IF($C188="","",N($H188)*$J188)</f>
        <v/>
      </c>
      <c r="L188" s="9" t="str">
        <f aca="false">IF($C188="","",IF($E188="SI",2,1))</f>
        <v/>
      </c>
      <c r="M188" s="9" t="str">
        <f aca="false">IF($C188="","",$K188*$L188)</f>
        <v/>
      </c>
    </row>
    <row r="189" customFormat="false" ht="15" hidden="false" customHeight="true" outlineLevel="0" collapsed="false">
      <c r="A189" s="9" t="str">
        <f aca="false">IF(Equips_usuari!A189="","",Equips_usuari!A189)</f>
        <v/>
      </c>
      <c r="B189" s="9" t="str">
        <f aca="false">IF(Equips_usuari!B189="","",Equips_usuari!B189)</f>
        <v/>
      </c>
      <c r="C189" s="9" t="str">
        <f aca="false">IF(Equips_usuari!C189="","",Equips_usuari!C189)</f>
        <v/>
      </c>
      <c r="D189" s="9" t="str">
        <f aca="false">IF(Equips_usuari!D189="","",Equips_usuari!D189)</f>
        <v/>
      </c>
      <c r="E189" s="9" t="str">
        <f aca="false">IF(Equips_usuari!F189="","",Equips_usuari!F189)</f>
        <v/>
      </c>
      <c r="F189" s="9" t="str">
        <f aca="false">IF($C189="","",SUMIFS(Resultats_jugadores!$C:$C,Resultats_jugadores!$A:$A,$A189,Resultats_jugadores!$B:$B,$C189))</f>
        <v/>
      </c>
      <c r="G189" s="9" t="str">
        <f aca="false">IF($C189="","",SUMIFS(Resultats_jugadores!$D:$D,Resultats_jugadores!$A:$A,$A189,Resultats_jugadores!$B:$B,$C189))</f>
        <v/>
      </c>
      <c r="H189" s="9" t="str">
        <f aca="false">IF($C189="","",N($F189)-N($G189))</f>
        <v/>
      </c>
      <c r="I189" s="9" t="str">
        <f aca="false">IF($C189="","",IFERROR(INDEX(Partits!$C:$C,MATCH($A189&amp;"_"&amp;$D189,Partits!$D:$D,0)),""))</f>
        <v/>
      </c>
      <c r="J189" s="9" t="str">
        <f aca="false">IF($C189="","",IF(AND($I189="V",N($H189)&gt;0),1.2,1))</f>
        <v/>
      </c>
      <c r="K189" s="9" t="str">
        <f aca="false">IF($C189="","",N($H189)*$J189)</f>
        <v/>
      </c>
      <c r="L189" s="9" t="str">
        <f aca="false">IF($C189="","",IF($E189="SI",2,1))</f>
        <v/>
      </c>
      <c r="M189" s="9" t="str">
        <f aca="false">IF($C189="","",$K189*$L189)</f>
        <v/>
      </c>
    </row>
    <row r="190" customFormat="false" ht="15" hidden="false" customHeight="true" outlineLevel="0" collapsed="false">
      <c r="A190" s="9" t="str">
        <f aca="false">IF(Equips_usuari!A190="","",Equips_usuari!A190)</f>
        <v/>
      </c>
      <c r="B190" s="9" t="str">
        <f aca="false">IF(Equips_usuari!B190="","",Equips_usuari!B190)</f>
        <v/>
      </c>
      <c r="C190" s="9" t="str">
        <f aca="false">IF(Equips_usuari!C190="","",Equips_usuari!C190)</f>
        <v/>
      </c>
      <c r="D190" s="9" t="str">
        <f aca="false">IF(Equips_usuari!D190="","",Equips_usuari!D190)</f>
        <v/>
      </c>
      <c r="E190" s="9" t="str">
        <f aca="false">IF(Equips_usuari!F190="","",Equips_usuari!F190)</f>
        <v/>
      </c>
      <c r="F190" s="9" t="str">
        <f aca="false">IF($C190="","",SUMIFS(Resultats_jugadores!$C:$C,Resultats_jugadores!$A:$A,$A190,Resultats_jugadores!$B:$B,$C190))</f>
        <v/>
      </c>
      <c r="G190" s="9" t="str">
        <f aca="false">IF($C190="","",SUMIFS(Resultats_jugadores!$D:$D,Resultats_jugadores!$A:$A,$A190,Resultats_jugadores!$B:$B,$C190))</f>
        <v/>
      </c>
      <c r="H190" s="9" t="str">
        <f aca="false">IF($C190="","",N($F190)-N($G190))</f>
        <v/>
      </c>
      <c r="I190" s="9" t="str">
        <f aca="false">IF($C190="","",IFERROR(INDEX(Partits!$C:$C,MATCH($A190&amp;"_"&amp;$D190,Partits!$D:$D,0)),""))</f>
        <v/>
      </c>
      <c r="J190" s="9" t="str">
        <f aca="false">IF($C190="","",IF(AND($I190="V",N($H190)&gt;0),1.2,1))</f>
        <v/>
      </c>
      <c r="K190" s="9" t="str">
        <f aca="false">IF($C190="","",N($H190)*$J190)</f>
        <v/>
      </c>
      <c r="L190" s="9" t="str">
        <f aca="false">IF($C190="","",IF($E190="SI",2,1))</f>
        <v/>
      </c>
      <c r="M190" s="9" t="str">
        <f aca="false">IF($C190="","",$K190*$L190)</f>
        <v/>
      </c>
    </row>
    <row r="191" customFormat="false" ht="15" hidden="false" customHeight="true" outlineLevel="0" collapsed="false">
      <c r="A191" s="9" t="str">
        <f aca="false">IF(Equips_usuari!A191="","",Equips_usuari!A191)</f>
        <v/>
      </c>
      <c r="B191" s="9" t="str">
        <f aca="false">IF(Equips_usuari!B191="","",Equips_usuari!B191)</f>
        <v/>
      </c>
      <c r="C191" s="9" t="str">
        <f aca="false">IF(Equips_usuari!C191="","",Equips_usuari!C191)</f>
        <v/>
      </c>
      <c r="D191" s="9" t="str">
        <f aca="false">IF(Equips_usuari!D191="","",Equips_usuari!D191)</f>
        <v/>
      </c>
      <c r="E191" s="9" t="str">
        <f aca="false">IF(Equips_usuari!F191="","",Equips_usuari!F191)</f>
        <v/>
      </c>
      <c r="F191" s="9" t="str">
        <f aca="false">IF($C191="","",SUMIFS(Resultats_jugadores!$C:$C,Resultats_jugadores!$A:$A,$A191,Resultats_jugadores!$B:$B,$C191))</f>
        <v/>
      </c>
      <c r="G191" s="9" t="str">
        <f aca="false">IF($C191="","",SUMIFS(Resultats_jugadores!$D:$D,Resultats_jugadores!$A:$A,$A191,Resultats_jugadores!$B:$B,$C191))</f>
        <v/>
      </c>
      <c r="H191" s="9" t="str">
        <f aca="false">IF($C191="","",N($F191)-N($G191))</f>
        <v/>
      </c>
      <c r="I191" s="9" t="str">
        <f aca="false">IF($C191="","",IFERROR(INDEX(Partits!$C:$C,MATCH($A191&amp;"_"&amp;$D191,Partits!$D:$D,0)),""))</f>
        <v/>
      </c>
      <c r="J191" s="9" t="str">
        <f aca="false">IF($C191="","",IF(AND($I191="V",N($H191)&gt;0),1.2,1))</f>
        <v/>
      </c>
      <c r="K191" s="9" t="str">
        <f aca="false">IF($C191="","",N($H191)*$J191)</f>
        <v/>
      </c>
      <c r="L191" s="9" t="str">
        <f aca="false">IF($C191="","",IF($E191="SI",2,1))</f>
        <v/>
      </c>
      <c r="M191" s="9" t="str">
        <f aca="false">IF($C191="","",$K191*$L191)</f>
        <v/>
      </c>
    </row>
    <row r="192" customFormat="false" ht="15" hidden="false" customHeight="true" outlineLevel="0" collapsed="false">
      <c r="A192" s="9" t="str">
        <f aca="false">IF(Equips_usuari!A192="","",Equips_usuari!A192)</f>
        <v/>
      </c>
      <c r="B192" s="9" t="str">
        <f aca="false">IF(Equips_usuari!B192="","",Equips_usuari!B192)</f>
        <v/>
      </c>
      <c r="C192" s="9" t="str">
        <f aca="false">IF(Equips_usuari!C192="","",Equips_usuari!C192)</f>
        <v/>
      </c>
      <c r="D192" s="9" t="str">
        <f aca="false">IF(Equips_usuari!D192="","",Equips_usuari!D192)</f>
        <v/>
      </c>
      <c r="E192" s="9" t="str">
        <f aca="false">IF(Equips_usuari!F192="","",Equips_usuari!F192)</f>
        <v/>
      </c>
      <c r="F192" s="9" t="str">
        <f aca="false">IF($C192="","",SUMIFS(Resultats_jugadores!$C:$C,Resultats_jugadores!$A:$A,$A192,Resultats_jugadores!$B:$B,$C192))</f>
        <v/>
      </c>
      <c r="G192" s="9" t="str">
        <f aca="false">IF($C192="","",SUMIFS(Resultats_jugadores!$D:$D,Resultats_jugadores!$A:$A,$A192,Resultats_jugadores!$B:$B,$C192))</f>
        <v/>
      </c>
      <c r="H192" s="9" t="str">
        <f aca="false">IF($C192="","",N($F192)-N($G192))</f>
        <v/>
      </c>
      <c r="I192" s="9" t="str">
        <f aca="false">IF($C192="","",IFERROR(INDEX(Partits!$C:$C,MATCH($A192&amp;"_"&amp;$D192,Partits!$D:$D,0)),""))</f>
        <v/>
      </c>
      <c r="J192" s="9" t="str">
        <f aca="false">IF($C192="","",IF(AND($I192="V",N($H192)&gt;0),1.2,1))</f>
        <v/>
      </c>
      <c r="K192" s="9" t="str">
        <f aca="false">IF($C192="","",N($H192)*$J192)</f>
        <v/>
      </c>
      <c r="L192" s="9" t="str">
        <f aca="false">IF($C192="","",IF($E192="SI",2,1))</f>
        <v/>
      </c>
      <c r="M192" s="9" t="str">
        <f aca="false">IF($C192="","",$K192*$L192)</f>
        <v/>
      </c>
    </row>
    <row r="193" customFormat="false" ht="15" hidden="false" customHeight="true" outlineLevel="0" collapsed="false">
      <c r="A193" s="9" t="str">
        <f aca="false">IF(Equips_usuari!A193="","",Equips_usuari!A193)</f>
        <v/>
      </c>
      <c r="B193" s="9" t="str">
        <f aca="false">IF(Equips_usuari!B193="","",Equips_usuari!B193)</f>
        <v/>
      </c>
      <c r="C193" s="9" t="str">
        <f aca="false">IF(Equips_usuari!C193="","",Equips_usuari!C193)</f>
        <v/>
      </c>
      <c r="D193" s="9" t="str">
        <f aca="false">IF(Equips_usuari!D193="","",Equips_usuari!D193)</f>
        <v/>
      </c>
      <c r="E193" s="9" t="str">
        <f aca="false">IF(Equips_usuari!F193="","",Equips_usuari!F193)</f>
        <v/>
      </c>
      <c r="F193" s="9" t="str">
        <f aca="false">IF($C193="","",SUMIFS(Resultats_jugadores!$C:$C,Resultats_jugadores!$A:$A,$A193,Resultats_jugadores!$B:$B,$C193))</f>
        <v/>
      </c>
      <c r="G193" s="9" t="str">
        <f aca="false">IF($C193="","",SUMIFS(Resultats_jugadores!$D:$D,Resultats_jugadores!$A:$A,$A193,Resultats_jugadores!$B:$B,$C193))</f>
        <v/>
      </c>
      <c r="H193" s="9" t="str">
        <f aca="false">IF($C193="","",N($F193)-N($G193))</f>
        <v/>
      </c>
      <c r="I193" s="9" t="str">
        <f aca="false">IF($C193="","",IFERROR(INDEX(Partits!$C:$C,MATCH($A193&amp;"_"&amp;$D193,Partits!$D:$D,0)),""))</f>
        <v/>
      </c>
      <c r="J193" s="9" t="str">
        <f aca="false">IF($C193="","",IF(AND($I193="V",N($H193)&gt;0),1.2,1))</f>
        <v/>
      </c>
      <c r="K193" s="9" t="str">
        <f aca="false">IF($C193="","",N($H193)*$J193)</f>
        <v/>
      </c>
      <c r="L193" s="9" t="str">
        <f aca="false">IF($C193="","",IF($E193="SI",2,1))</f>
        <v/>
      </c>
      <c r="M193" s="9" t="str">
        <f aca="false">IF($C193="","",$K193*$L193)</f>
        <v/>
      </c>
    </row>
    <row r="194" customFormat="false" ht="15" hidden="false" customHeight="true" outlineLevel="0" collapsed="false">
      <c r="A194" s="9" t="str">
        <f aca="false">IF(Equips_usuari!A194="","",Equips_usuari!A194)</f>
        <v/>
      </c>
      <c r="B194" s="9" t="str">
        <f aca="false">IF(Equips_usuari!B194="","",Equips_usuari!B194)</f>
        <v/>
      </c>
      <c r="C194" s="9" t="str">
        <f aca="false">IF(Equips_usuari!C194="","",Equips_usuari!C194)</f>
        <v/>
      </c>
      <c r="D194" s="9" t="str">
        <f aca="false">IF(Equips_usuari!D194="","",Equips_usuari!D194)</f>
        <v/>
      </c>
      <c r="E194" s="9" t="str">
        <f aca="false">IF(Equips_usuari!F194="","",Equips_usuari!F194)</f>
        <v/>
      </c>
      <c r="F194" s="9" t="str">
        <f aca="false">IF($C194="","",SUMIFS(Resultats_jugadores!$C:$C,Resultats_jugadores!$A:$A,$A194,Resultats_jugadores!$B:$B,$C194))</f>
        <v/>
      </c>
      <c r="G194" s="9" t="str">
        <f aca="false">IF($C194="","",SUMIFS(Resultats_jugadores!$D:$D,Resultats_jugadores!$A:$A,$A194,Resultats_jugadores!$B:$B,$C194))</f>
        <v/>
      </c>
      <c r="H194" s="9" t="str">
        <f aca="false">IF($C194="","",N($F194)-N($G194))</f>
        <v/>
      </c>
      <c r="I194" s="9" t="str">
        <f aca="false">IF($C194="","",IFERROR(INDEX(Partits!$C:$C,MATCH($A194&amp;"_"&amp;$D194,Partits!$D:$D,0)),""))</f>
        <v/>
      </c>
      <c r="J194" s="9" t="str">
        <f aca="false">IF($C194="","",IF(AND($I194="V",N($H194)&gt;0),1.2,1))</f>
        <v/>
      </c>
      <c r="K194" s="9" t="str">
        <f aca="false">IF($C194="","",N($H194)*$J194)</f>
        <v/>
      </c>
      <c r="L194" s="9" t="str">
        <f aca="false">IF($C194="","",IF($E194="SI",2,1))</f>
        <v/>
      </c>
      <c r="M194" s="9" t="str">
        <f aca="false">IF($C194="","",$K194*$L194)</f>
        <v/>
      </c>
    </row>
    <row r="195" customFormat="false" ht="15" hidden="false" customHeight="true" outlineLevel="0" collapsed="false">
      <c r="A195" s="9" t="str">
        <f aca="false">IF(Equips_usuari!A195="","",Equips_usuari!A195)</f>
        <v/>
      </c>
      <c r="B195" s="9" t="str">
        <f aca="false">IF(Equips_usuari!B195="","",Equips_usuari!B195)</f>
        <v/>
      </c>
      <c r="C195" s="9" t="str">
        <f aca="false">IF(Equips_usuari!C195="","",Equips_usuari!C195)</f>
        <v/>
      </c>
      <c r="D195" s="9" t="str">
        <f aca="false">IF(Equips_usuari!D195="","",Equips_usuari!D195)</f>
        <v/>
      </c>
      <c r="E195" s="9" t="str">
        <f aca="false">IF(Equips_usuari!F195="","",Equips_usuari!F195)</f>
        <v/>
      </c>
      <c r="F195" s="9" t="str">
        <f aca="false">IF($C195="","",SUMIFS(Resultats_jugadores!$C:$C,Resultats_jugadores!$A:$A,$A195,Resultats_jugadores!$B:$B,$C195))</f>
        <v/>
      </c>
      <c r="G195" s="9" t="str">
        <f aca="false">IF($C195="","",SUMIFS(Resultats_jugadores!$D:$D,Resultats_jugadores!$A:$A,$A195,Resultats_jugadores!$B:$B,$C195))</f>
        <v/>
      </c>
      <c r="H195" s="9" t="str">
        <f aca="false">IF($C195="","",N($F195)-N($G195))</f>
        <v/>
      </c>
      <c r="I195" s="9" t="str">
        <f aca="false">IF($C195="","",IFERROR(INDEX(Partits!$C:$C,MATCH($A195&amp;"_"&amp;$D195,Partits!$D:$D,0)),""))</f>
        <v/>
      </c>
      <c r="J195" s="9" t="str">
        <f aca="false">IF($C195="","",IF(AND($I195="V",N($H195)&gt;0),1.2,1))</f>
        <v/>
      </c>
      <c r="K195" s="9" t="str">
        <f aca="false">IF($C195="","",N($H195)*$J195)</f>
        <v/>
      </c>
      <c r="L195" s="9" t="str">
        <f aca="false">IF($C195="","",IF($E195="SI",2,1))</f>
        <v/>
      </c>
      <c r="M195" s="9" t="str">
        <f aca="false">IF($C195="","",$K195*$L195)</f>
        <v/>
      </c>
    </row>
    <row r="196" customFormat="false" ht="15" hidden="false" customHeight="true" outlineLevel="0" collapsed="false">
      <c r="A196" s="9" t="str">
        <f aca="false">IF(Equips_usuari!A196="","",Equips_usuari!A196)</f>
        <v/>
      </c>
      <c r="B196" s="9" t="str">
        <f aca="false">IF(Equips_usuari!B196="","",Equips_usuari!B196)</f>
        <v/>
      </c>
      <c r="C196" s="9" t="str">
        <f aca="false">IF(Equips_usuari!C196="","",Equips_usuari!C196)</f>
        <v/>
      </c>
      <c r="D196" s="9" t="str">
        <f aca="false">IF(Equips_usuari!D196="","",Equips_usuari!D196)</f>
        <v/>
      </c>
      <c r="E196" s="9" t="str">
        <f aca="false">IF(Equips_usuari!F196="","",Equips_usuari!F196)</f>
        <v/>
      </c>
      <c r="F196" s="9" t="str">
        <f aca="false">IF($C196="","",SUMIFS(Resultats_jugadores!$C:$C,Resultats_jugadores!$A:$A,$A196,Resultats_jugadores!$B:$B,$C196))</f>
        <v/>
      </c>
      <c r="G196" s="9" t="str">
        <f aca="false">IF($C196="","",SUMIFS(Resultats_jugadores!$D:$D,Resultats_jugadores!$A:$A,$A196,Resultats_jugadores!$B:$B,$C196))</f>
        <v/>
      </c>
      <c r="H196" s="9" t="str">
        <f aca="false">IF($C196="","",N($F196)-N($G196))</f>
        <v/>
      </c>
      <c r="I196" s="9" t="str">
        <f aca="false">IF($C196="","",IFERROR(INDEX(Partits!$C:$C,MATCH($A196&amp;"_"&amp;$D196,Partits!$D:$D,0)),""))</f>
        <v/>
      </c>
      <c r="J196" s="9" t="str">
        <f aca="false">IF($C196="","",IF(AND($I196="V",N($H196)&gt;0),1.2,1))</f>
        <v/>
      </c>
      <c r="K196" s="9" t="str">
        <f aca="false">IF($C196="","",N($H196)*$J196)</f>
        <v/>
      </c>
      <c r="L196" s="9" t="str">
        <f aca="false">IF($C196="","",IF($E196="SI",2,1))</f>
        <v/>
      </c>
      <c r="M196" s="9" t="str">
        <f aca="false">IF($C196="","",$K196*$L196)</f>
        <v/>
      </c>
    </row>
    <row r="197" customFormat="false" ht="15" hidden="false" customHeight="true" outlineLevel="0" collapsed="false">
      <c r="A197" s="9" t="str">
        <f aca="false">IF(Equips_usuari!A197="","",Equips_usuari!A197)</f>
        <v/>
      </c>
      <c r="B197" s="9" t="str">
        <f aca="false">IF(Equips_usuari!B197="","",Equips_usuari!B197)</f>
        <v/>
      </c>
      <c r="C197" s="9" t="str">
        <f aca="false">IF(Equips_usuari!C197="","",Equips_usuari!C197)</f>
        <v/>
      </c>
      <c r="D197" s="9" t="str">
        <f aca="false">IF(Equips_usuari!D197="","",Equips_usuari!D197)</f>
        <v/>
      </c>
      <c r="E197" s="9" t="str">
        <f aca="false">IF(Equips_usuari!F197="","",Equips_usuari!F197)</f>
        <v/>
      </c>
      <c r="F197" s="9" t="str">
        <f aca="false">IF($C197="","",SUMIFS(Resultats_jugadores!$C:$C,Resultats_jugadores!$A:$A,$A197,Resultats_jugadores!$B:$B,$C197))</f>
        <v/>
      </c>
      <c r="G197" s="9" t="str">
        <f aca="false">IF($C197="","",SUMIFS(Resultats_jugadores!$D:$D,Resultats_jugadores!$A:$A,$A197,Resultats_jugadores!$B:$B,$C197))</f>
        <v/>
      </c>
      <c r="H197" s="9" t="str">
        <f aca="false">IF($C197="","",N($F197)-N($G197))</f>
        <v/>
      </c>
      <c r="I197" s="9" t="str">
        <f aca="false">IF($C197="","",IFERROR(INDEX(Partits!$C:$C,MATCH($A197&amp;"_"&amp;$D197,Partits!$D:$D,0)),""))</f>
        <v/>
      </c>
      <c r="J197" s="9" t="str">
        <f aca="false">IF($C197="","",IF(AND($I197="V",N($H197)&gt;0),1.2,1))</f>
        <v/>
      </c>
      <c r="K197" s="9" t="str">
        <f aca="false">IF($C197="","",N($H197)*$J197)</f>
        <v/>
      </c>
      <c r="L197" s="9" t="str">
        <f aca="false">IF($C197="","",IF($E197="SI",2,1))</f>
        <v/>
      </c>
      <c r="M197" s="9" t="str">
        <f aca="false">IF($C197="","",$K197*$L197)</f>
        <v/>
      </c>
    </row>
    <row r="198" customFormat="false" ht="15" hidden="false" customHeight="true" outlineLevel="0" collapsed="false">
      <c r="A198" s="9" t="str">
        <f aca="false">IF(Equips_usuari!A198="","",Equips_usuari!A198)</f>
        <v/>
      </c>
      <c r="B198" s="9" t="str">
        <f aca="false">IF(Equips_usuari!B198="","",Equips_usuari!B198)</f>
        <v/>
      </c>
      <c r="C198" s="9" t="str">
        <f aca="false">IF(Equips_usuari!C198="","",Equips_usuari!C198)</f>
        <v/>
      </c>
      <c r="D198" s="9" t="str">
        <f aca="false">IF(Equips_usuari!D198="","",Equips_usuari!D198)</f>
        <v/>
      </c>
      <c r="E198" s="9" t="str">
        <f aca="false">IF(Equips_usuari!F198="","",Equips_usuari!F198)</f>
        <v/>
      </c>
      <c r="F198" s="9" t="str">
        <f aca="false">IF($C198="","",SUMIFS(Resultats_jugadores!$C:$C,Resultats_jugadores!$A:$A,$A198,Resultats_jugadores!$B:$B,$C198))</f>
        <v/>
      </c>
      <c r="G198" s="9" t="str">
        <f aca="false">IF($C198="","",SUMIFS(Resultats_jugadores!$D:$D,Resultats_jugadores!$A:$A,$A198,Resultats_jugadores!$B:$B,$C198))</f>
        <v/>
      </c>
      <c r="H198" s="9" t="str">
        <f aca="false">IF($C198="","",N($F198)-N($G198))</f>
        <v/>
      </c>
      <c r="I198" s="9" t="str">
        <f aca="false">IF($C198="","",IFERROR(INDEX(Partits!$C:$C,MATCH($A198&amp;"_"&amp;$D198,Partits!$D:$D,0)),""))</f>
        <v/>
      </c>
      <c r="J198" s="9" t="str">
        <f aca="false">IF($C198="","",IF(AND($I198="V",N($H198)&gt;0),1.2,1))</f>
        <v/>
      </c>
      <c r="K198" s="9" t="str">
        <f aca="false">IF($C198="","",N($H198)*$J198)</f>
        <v/>
      </c>
      <c r="L198" s="9" t="str">
        <f aca="false">IF($C198="","",IF($E198="SI",2,1))</f>
        <v/>
      </c>
      <c r="M198" s="9" t="str">
        <f aca="false">IF($C198="","",$K198*$L198)</f>
        <v/>
      </c>
    </row>
    <row r="199" customFormat="false" ht="15" hidden="false" customHeight="true" outlineLevel="0" collapsed="false">
      <c r="A199" s="9" t="str">
        <f aca="false">IF(Equips_usuari!A199="","",Equips_usuari!A199)</f>
        <v/>
      </c>
      <c r="B199" s="9" t="str">
        <f aca="false">IF(Equips_usuari!B199="","",Equips_usuari!B199)</f>
        <v/>
      </c>
      <c r="C199" s="9" t="str">
        <f aca="false">IF(Equips_usuari!C199="","",Equips_usuari!C199)</f>
        <v/>
      </c>
      <c r="D199" s="9" t="str">
        <f aca="false">IF(Equips_usuari!D199="","",Equips_usuari!D199)</f>
        <v/>
      </c>
      <c r="E199" s="9" t="str">
        <f aca="false">IF(Equips_usuari!F199="","",Equips_usuari!F199)</f>
        <v/>
      </c>
      <c r="F199" s="9" t="str">
        <f aca="false">IF($C199="","",SUMIFS(Resultats_jugadores!$C:$C,Resultats_jugadores!$A:$A,$A199,Resultats_jugadores!$B:$B,$C199))</f>
        <v/>
      </c>
      <c r="G199" s="9" t="str">
        <f aca="false">IF($C199="","",SUMIFS(Resultats_jugadores!$D:$D,Resultats_jugadores!$A:$A,$A199,Resultats_jugadores!$B:$B,$C199))</f>
        <v/>
      </c>
      <c r="H199" s="9" t="str">
        <f aca="false">IF($C199="","",N($F199)-N($G199))</f>
        <v/>
      </c>
      <c r="I199" s="9" t="str">
        <f aca="false">IF($C199="","",IFERROR(INDEX(Partits!$C:$C,MATCH($A199&amp;"_"&amp;$D199,Partits!$D:$D,0)),""))</f>
        <v/>
      </c>
      <c r="J199" s="9" t="str">
        <f aca="false">IF($C199="","",IF(AND($I199="V",N($H199)&gt;0),1.2,1))</f>
        <v/>
      </c>
      <c r="K199" s="9" t="str">
        <f aca="false">IF($C199="","",N($H199)*$J199)</f>
        <v/>
      </c>
      <c r="L199" s="9" t="str">
        <f aca="false">IF($C199="","",IF($E199="SI",2,1))</f>
        <v/>
      </c>
      <c r="M199" s="9" t="str">
        <f aca="false">IF($C199="","",$K199*$L199)</f>
        <v/>
      </c>
    </row>
    <row r="200" customFormat="false" ht="15" hidden="false" customHeight="true" outlineLevel="0" collapsed="false">
      <c r="A200" s="9" t="str">
        <f aca="false">IF(Equips_usuari!A200="","",Equips_usuari!A200)</f>
        <v/>
      </c>
      <c r="B200" s="9" t="str">
        <f aca="false">IF(Equips_usuari!B200="","",Equips_usuari!B200)</f>
        <v/>
      </c>
      <c r="C200" s="9" t="str">
        <f aca="false">IF(Equips_usuari!C200="","",Equips_usuari!C200)</f>
        <v/>
      </c>
      <c r="D200" s="9" t="str">
        <f aca="false">IF(Equips_usuari!D200="","",Equips_usuari!D200)</f>
        <v/>
      </c>
      <c r="E200" s="9" t="str">
        <f aca="false">IF(Equips_usuari!F200="","",Equips_usuari!F200)</f>
        <v/>
      </c>
      <c r="F200" s="9" t="str">
        <f aca="false">IF($C200="","",SUMIFS(Resultats_jugadores!$C:$C,Resultats_jugadores!$A:$A,$A200,Resultats_jugadores!$B:$B,$C200))</f>
        <v/>
      </c>
      <c r="G200" s="9" t="str">
        <f aca="false">IF($C200="","",SUMIFS(Resultats_jugadores!$D:$D,Resultats_jugadores!$A:$A,$A200,Resultats_jugadores!$B:$B,$C200))</f>
        <v/>
      </c>
      <c r="H200" s="9" t="str">
        <f aca="false">IF($C200="","",N($F200)-N($G200))</f>
        <v/>
      </c>
      <c r="I200" s="9" t="str">
        <f aca="false">IF($C200="","",IFERROR(INDEX(Partits!$C:$C,MATCH($A200&amp;"_"&amp;$D200,Partits!$D:$D,0)),""))</f>
        <v/>
      </c>
      <c r="J200" s="9" t="str">
        <f aca="false">IF($C200="","",IF(AND($I200="V",N($H200)&gt;0),1.2,1))</f>
        <v/>
      </c>
      <c r="K200" s="9" t="str">
        <f aca="false">IF($C200="","",N($H200)*$J200)</f>
        <v/>
      </c>
      <c r="L200" s="9" t="str">
        <f aca="false">IF($C200="","",IF($E200="SI",2,1))</f>
        <v/>
      </c>
      <c r="M200" s="9" t="str">
        <f aca="false">IF($C200="","",$K200*$L200)</f>
        <v/>
      </c>
    </row>
    <row r="201" customFormat="false" ht="15" hidden="false" customHeight="true" outlineLevel="0" collapsed="false">
      <c r="A201" s="9" t="str">
        <f aca="false">IF(Equips_usuari!A201="","",Equips_usuari!A201)</f>
        <v/>
      </c>
      <c r="B201" s="9" t="str">
        <f aca="false">IF(Equips_usuari!B201="","",Equips_usuari!B201)</f>
        <v/>
      </c>
      <c r="C201" s="9" t="str">
        <f aca="false">IF(Equips_usuari!C201="","",Equips_usuari!C201)</f>
        <v/>
      </c>
      <c r="D201" s="9" t="str">
        <f aca="false">IF(Equips_usuari!D201="","",Equips_usuari!D201)</f>
        <v/>
      </c>
      <c r="E201" s="9" t="str">
        <f aca="false">IF(Equips_usuari!F201="","",Equips_usuari!F201)</f>
        <v/>
      </c>
      <c r="F201" s="9" t="str">
        <f aca="false">IF($C201="","",SUMIFS(Resultats_jugadores!$C:$C,Resultats_jugadores!$A:$A,$A201,Resultats_jugadores!$B:$B,$C201))</f>
        <v/>
      </c>
      <c r="G201" s="9" t="str">
        <f aca="false">IF($C201="","",SUMIFS(Resultats_jugadores!$D:$D,Resultats_jugadores!$A:$A,$A201,Resultats_jugadores!$B:$B,$C201))</f>
        <v/>
      </c>
      <c r="H201" s="9" t="str">
        <f aca="false">IF($C201="","",N($F201)-N($G201))</f>
        <v/>
      </c>
      <c r="I201" s="9" t="str">
        <f aca="false">IF($C201="","",IFERROR(INDEX(Partits!$C:$C,MATCH($A201&amp;"_"&amp;$D201,Partits!$D:$D,0)),""))</f>
        <v/>
      </c>
      <c r="J201" s="9" t="str">
        <f aca="false">IF($C201="","",IF(AND($I201="V",N($H201)&gt;0),1.2,1))</f>
        <v/>
      </c>
      <c r="K201" s="9" t="str">
        <f aca="false">IF($C201="","",N($H201)*$J201)</f>
        <v/>
      </c>
      <c r="L201" s="9" t="str">
        <f aca="false">IF($C201="","",IF($E201="SI",2,1))</f>
        <v/>
      </c>
      <c r="M201" s="9" t="str">
        <f aca="false">IF($C201="","",$K201*$L201)</f>
        <v/>
      </c>
    </row>
    <row r="202" customFormat="false" ht="15" hidden="false" customHeight="true" outlineLevel="0" collapsed="false">
      <c r="A202" s="9" t="str">
        <f aca="false">IF(Equips_usuari!A202="","",Equips_usuari!A202)</f>
        <v/>
      </c>
      <c r="B202" s="9" t="str">
        <f aca="false">IF(Equips_usuari!B202="","",Equips_usuari!B202)</f>
        <v/>
      </c>
      <c r="C202" s="9" t="str">
        <f aca="false">IF(Equips_usuari!C202="","",Equips_usuari!C202)</f>
        <v/>
      </c>
      <c r="D202" s="9" t="str">
        <f aca="false">IF(Equips_usuari!D202="","",Equips_usuari!D202)</f>
        <v/>
      </c>
      <c r="E202" s="9" t="str">
        <f aca="false">IF(Equips_usuari!F202="","",Equips_usuari!F202)</f>
        <v/>
      </c>
      <c r="F202" s="9" t="str">
        <f aca="false">IF($C202="","",SUMIFS(Resultats_jugadores!$C:$C,Resultats_jugadores!$A:$A,$A202,Resultats_jugadores!$B:$B,$C202))</f>
        <v/>
      </c>
      <c r="G202" s="9" t="str">
        <f aca="false">IF($C202="","",SUMIFS(Resultats_jugadores!$D:$D,Resultats_jugadores!$A:$A,$A202,Resultats_jugadores!$B:$B,$C202))</f>
        <v/>
      </c>
      <c r="H202" s="9" t="str">
        <f aca="false">IF($C202="","",N($F202)-N($G202))</f>
        <v/>
      </c>
      <c r="I202" s="9" t="str">
        <f aca="false">IF($C202="","",IFERROR(INDEX(Partits!$C:$C,MATCH($A202&amp;"_"&amp;$D202,Partits!$D:$D,0)),""))</f>
        <v/>
      </c>
      <c r="J202" s="9" t="str">
        <f aca="false">IF($C202="","",IF(AND($I202="V",N($H202)&gt;0),1.2,1))</f>
        <v/>
      </c>
      <c r="K202" s="9" t="str">
        <f aca="false">IF($C202="","",N($H202)*$J202)</f>
        <v/>
      </c>
      <c r="L202" s="9" t="str">
        <f aca="false">IF($C202="","",IF($E202="SI",2,1))</f>
        <v/>
      </c>
      <c r="M202" s="9" t="str">
        <f aca="false">IF($C202="","",$K202*$L202)</f>
        <v/>
      </c>
    </row>
    <row r="203" customFormat="false" ht="15" hidden="false" customHeight="true" outlineLevel="0" collapsed="false">
      <c r="A203" s="9" t="str">
        <f aca="false">IF(Equips_usuari!A203="","",Equips_usuari!A203)</f>
        <v/>
      </c>
      <c r="B203" s="9" t="str">
        <f aca="false">IF(Equips_usuari!B203="","",Equips_usuari!B203)</f>
        <v/>
      </c>
      <c r="C203" s="9" t="str">
        <f aca="false">IF(Equips_usuari!C203="","",Equips_usuari!C203)</f>
        <v/>
      </c>
      <c r="D203" s="9" t="str">
        <f aca="false">IF(Equips_usuari!D203="","",Equips_usuari!D203)</f>
        <v/>
      </c>
      <c r="E203" s="9" t="str">
        <f aca="false">IF(Equips_usuari!F203="","",Equips_usuari!F203)</f>
        <v/>
      </c>
      <c r="F203" s="9" t="str">
        <f aca="false">IF($C203="","",SUMIFS(Resultats_jugadores!$C:$C,Resultats_jugadores!$A:$A,$A203,Resultats_jugadores!$B:$B,$C203))</f>
        <v/>
      </c>
      <c r="G203" s="9" t="str">
        <f aca="false">IF($C203="","",SUMIFS(Resultats_jugadores!$D:$D,Resultats_jugadores!$A:$A,$A203,Resultats_jugadores!$B:$B,$C203))</f>
        <v/>
      </c>
      <c r="H203" s="9" t="str">
        <f aca="false">IF($C203="","",N($F203)-N($G203))</f>
        <v/>
      </c>
      <c r="I203" s="9" t="str">
        <f aca="false">IF($C203="","",IFERROR(INDEX(Partits!$C:$C,MATCH($A203&amp;"_"&amp;$D203,Partits!$D:$D,0)),""))</f>
        <v/>
      </c>
      <c r="J203" s="9" t="str">
        <f aca="false">IF($C203="","",IF(AND($I203="V",N($H203)&gt;0),1.2,1))</f>
        <v/>
      </c>
      <c r="K203" s="9" t="str">
        <f aca="false">IF($C203="","",N($H203)*$J203)</f>
        <v/>
      </c>
      <c r="L203" s="9" t="str">
        <f aca="false">IF($C203="","",IF($E203="SI",2,1))</f>
        <v/>
      </c>
      <c r="M203" s="9" t="str">
        <f aca="false">IF($C203="","",$K203*$L203)</f>
        <v/>
      </c>
    </row>
    <row r="204" customFormat="false" ht="15" hidden="false" customHeight="true" outlineLevel="0" collapsed="false">
      <c r="A204" s="9" t="str">
        <f aca="false">IF(Equips_usuari!A204="","",Equips_usuari!A204)</f>
        <v/>
      </c>
      <c r="B204" s="9" t="str">
        <f aca="false">IF(Equips_usuari!B204="","",Equips_usuari!B204)</f>
        <v/>
      </c>
      <c r="C204" s="9" t="str">
        <f aca="false">IF(Equips_usuari!C204="","",Equips_usuari!C204)</f>
        <v/>
      </c>
      <c r="D204" s="9" t="str">
        <f aca="false">IF(Equips_usuari!D204="","",Equips_usuari!D204)</f>
        <v/>
      </c>
      <c r="E204" s="9" t="str">
        <f aca="false">IF(Equips_usuari!F204="","",Equips_usuari!F204)</f>
        <v/>
      </c>
      <c r="F204" s="9" t="str">
        <f aca="false">IF($C204="","",SUMIFS(Resultats_jugadores!$C:$C,Resultats_jugadores!$A:$A,$A204,Resultats_jugadores!$B:$B,$C204))</f>
        <v/>
      </c>
      <c r="G204" s="9" t="str">
        <f aca="false">IF($C204="","",SUMIFS(Resultats_jugadores!$D:$D,Resultats_jugadores!$A:$A,$A204,Resultats_jugadores!$B:$B,$C204))</f>
        <v/>
      </c>
      <c r="H204" s="9" t="str">
        <f aca="false">IF($C204="","",N($F204)-N($G204))</f>
        <v/>
      </c>
      <c r="I204" s="9" t="str">
        <f aca="false">IF($C204="","",IFERROR(INDEX(Partits!$C:$C,MATCH($A204&amp;"_"&amp;$D204,Partits!$D:$D,0)),""))</f>
        <v/>
      </c>
      <c r="J204" s="9" t="str">
        <f aca="false">IF($C204="","",IF(AND($I204="V",N($H204)&gt;0),1.2,1))</f>
        <v/>
      </c>
      <c r="K204" s="9" t="str">
        <f aca="false">IF($C204="","",N($H204)*$J204)</f>
        <v/>
      </c>
      <c r="L204" s="9" t="str">
        <f aca="false">IF($C204="","",IF($E204="SI",2,1))</f>
        <v/>
      </c>
      <c r="M204" s="9" t="str">
        <f aca="false">IF($C204="","",$K204*$L204)</f>
        <v/>
      </c>
    </row>
    <row r="205" customFormat="false" ht="15" hidden="false" customHeight="true" outlineLevel="0" collapsed="false">
      <c r="A205" s="9" t="str">
        <f aca="false">IF(Equips_usuari!A205="","",Equips_usuari!A205)</f>
        <v/>
      </c>
      <c r="B205" s="9" t="str">
        <f aca="false">IF(Equips_usuari!B205="","",Equips_usuari!B205)</f>
        <v/>
      </c>
      <c r="C205" s="9" t="str">
        <f aca="false">IF(Equips_usuari!C205="","",Equips_usuari!C205)</f>
        <v/>
      </c>
      <c r="D205" s="9" t="str">
        <f aca="false">IF(Equips_usuari!D205="","",Equips_usuari!D205)</f>
        <v/>
      </c>
      <c r="E205" s="9" t="str">
        <f aca="false">IF(Equips_usuari!F205="","",Equips_usuari!F205)</f>
        <v/>
      </c>
      <c r="F205" s="9" t="str">
        <f aca="false">IF($C205="","",SUMIFS(Resultats_jugadores!$C:$C,Resultats_jugadores!$A:$A,$A205,Resultats_jugadores!$B:$B,$C205))</f>
        <v/>
      </c>
      <c r="G205" s="9" t="str">
        <f aca="false">IF($C205="","",SUMIFS(Resultats_jugadores!$D:$D,Resultats_jugadores!$A:$A,$A205,Resultats_jugadores!$B:$B,$C205))</f>
        <v/>
      </c>
      <c r="H205" s="9" t="str">
        <f aca="false">IF($C205="","",N($F205)-N($G205))</f>
        <v/>
      </c>
      <c r="I205" s="9" t="str">
        <f aca="false">IF($C205="","",IFERROR(INDEX(Partits!$C:$C,MATCH($A205&amp;"_"&amp;$D205,Partits!$D:$D,0)),""))</f>
        <v/>
      </c>
      <c r="J205" s="9" t="str">
        <f aca="false">IF($C205="","",IF(AND($I205="V",N($H205)&gt;0),1.2,1))</f>
        <v/>
      </c>
      <c r="K205" s="9" t="str">
        <f aca="false">IF($C205="","",N($H205)*$J205)</f>
        <v/>
      </c>
      <c r="L205" s="9" t="str">
        <f aca="false">IF($C205="","",IF($E205="SI",2,1))</f>
        <v/>
      </c>
      <c r="M205" s="9" t="str">
        <f aca="false">IF($C205="","",$K205*$L205)</f>
        <v/>
      </c>
    </row>
    <row r="206" customFormat="false" ht="15" hidden="false" customHeight="true" outlineLevel="0" collapsed="false">
      <c r="A206" s="9" t="str">
        <f aca="false">IF(Equips_usuari!A206="","",Equips_usuari!A206)</f>
        <v/>
      </c>
      <c r="B206" s="9" t="str">
        <f aca="false">IF(Equips_usuari!B206="","",Equips_usuari!B206)</f>
        <v/>
      </c>
      <c r="C206" s="9" t="str">
        <f aca="false">IF(Equips_usuari!C206="","",Equips_usuari!C206)</f>
        <v/>
      </c>
      <c r="D206" s="9" t="str">
        <f aca="false">IF(Equips_usuari!D206="","",Equips_usuari!D206)</f>
        <v/>
      </c>
      <c r="E206" s="9" t="str">
        <f aca="false">IF(Equips_usuari!F206="","",Equips_usuari!F206)</f>
        <v/>
      </c>
      <c r="F206" s="9" t="str">
        <f aca="false">IF($C206="","",SUMIFS(Resultats_jugadores!$C:$C,Resultats_jugadores!$A:$A,$A206,Resultats_jugadores!$B:$B,$C206))</f>
        <v/>
      </c>
      <c r="G206" s="9" t="str">
        <f aca="false">IF($C206="","",SUMIFS(Resultats_jugadores!$D:$D,Resultats_jugadores!$A:$A,$A206,Resultats_jugadores!$B:$B,$C206))</f>
        <v/>
      </c>
      <c r="H206" s="9" t="str">
        <f aca="false">IF($C206="","",N($F206)-N($G206))</f>
        <v/>
      </c>
      <c r="I206" s="9" t="str">
        <f aca="false">IF($C206="","",IFERROR(INDEX(Partits!$C:$C,MATCH($A206&amp;"_"&amp;$D206,Partits!$D:$D,0)),""))</f>
        <v/>
      </c>
      <c r="J206" s="9" t="str">
        <f aca="false">IF($C206="","",IF(AND($I206="V",N($H206)&gt;0),1.2,1))</f>
        <v/>
      </c>
      <c r="K206" s="9" t="str">
        <f aca="false">IF($C206="","",N($H206)*$J206)</f>
        <v/>
      </c>
      <c r="L206" s="9" t="str">
        <f aca="false">IF($C206="","",IF($E206="SI",2,1))</f>
        <v/>
      </c>
      <c r="M206" s="9" t="str">
        <f aca="false">IF($C206="","",$K206*$L206)</f>
        <v/>
      </c>
    </row>
    <row r="207" customFormat="false" ht="15" hidden="false" customHeight="true" outlineLevel="0" collapsed="false">
      <c r="A207" s="9" t="str">
        <f aca="false">IF(Equips_usuari!A207="","",Equips_usuari!A207)</f>
        <v/>
      </c>
      <c r="B207" s="9" t="str">
        <f aca="false">IF(Equips_usuari!B207="","",Equips_usuari!B207)</f>
        <v/>
      </c>
      <c r="C207" s="9" t="str">
        <f aca="false">IF(Equips_usuari!C207="","",Equips_usuari!C207)</f>
        <v/>
      </c>
      <c r="D207" s="9" t="str">
        <f aca="false">IF(Equips_usuari!D207="","",Equips_usuari!D207)</f>
        <v/>
      </c>
      <c r="E207" s="9" t="str">
        <f aca="false">IF(Equips_usuari!F207="","",Equips_usuari!F207)</f>
        <v/>
      </c>
      <c r="F207" s="9" t="str">
        <f aca="false">IF($C207="","",SUMIFS(Resultats_jugadores!$C:$C,Resultats_jugadores!$A:$A,$A207,Resultats_jugadores!$B:$B,$C207))</f>
        <v/>
      </c>
      <c r="G207" s="9" t="str">
        <f aca="false">IF($C207="","",SUMIFS(Resultats_jugadores!$D:$D,Resultats_jugadores!$A:$A,$A207,Resultats_jugadores!$B:$B,$C207))</f>
        <v/>
      </c>
      <c r="H207" s="9" t="str">
        <f aca="false">IF($C207="","",N($F207)-N($G207))</f>
        <v/>
      </c>
      <c r="I207" s="9" t="str">
        <f aca="false">IF($C207="","",IFERROR(INDEX(Partits!$C:$C,MATCH($A207&amp;"_"&amp;$D207,Partits!$D:$D,0)),""))</f>
        <v/>
      </c>
      <c r="J207" s="9" t="str">
        <f aca="false">IF($C207="","",IF(AND($I207="V",N($H207)&gt;0),1.2,1))</f>
        <v/>
      </c>
      <c r="K207" s="9" t="str">
        <f aca="false">IF($C207="","",N($H207)*$J207)</f>
        <v/>
      </c>
      <c r="L207" s="9" t="str">
        <f aca="false">IF($C207="","",IF($E207="SI",2,1))</f>
        <v/>
      </c>
      <c r="M207" s="9" t="str">
        <f aca="false">IF($C207="","",$K207*$L207)</f>
        <v/>
      </c>
    </row>
    <row r="208" customFormat="false" ht="15" hidden="false" customHeight="true" outlineLevel="0" collapsed="false">
      <c r="A208" s="9" t="str">
        <f aca="false">IF(Equips_usuari!A208="","",Equips_usuari!A208)</f>
        <v/>
      </c>
      <c r="B208" s="9" t="str">
        <f aca="false">IF(Equips_usuari!B208="","",Equips_usuari!B208)</f>
        <v/>
      </c>
      <c r="C208" s="9" t="str">
        <f aca="false">IF(Equips_usuari!C208="","",Equips_usuari!C208)</f>
        <v/>
      </c>
      <c r="D208" s="9" t="str">
        <f aca="false">IF(Equips_usuari!D208="","",Equips_usuari!D208)</f>
        <v/>
      </c>
      <c r="E208" s="9" t="str">
        <f aca="false">IF(Equips_usuari!F208="","",Equips_usuari!F208)</f>
        <v/>
      </c>
      <c r="F208" s="9" t="str">
        <f aca="false">IF($C208="","",SUMIFS(Resultats_jugadores!$C:$C,Resultats_jugadores!$A:$A,$A208,Resultats_jugadores!$B:$B,$C208))</f>
        <v/>
      </c>
      <c r="G208" s="9" t="str">
        <f aca="false">IF($C208="","",SUMIFS(Resultats_jugadores!$D:$D,Resultats_jugadores!$A:$A,$A208,Resultats_jugadores!$B:$B,$C208))</f>
        <v/>
      </c>
      <c r="H208" s="9" t="str">
        <f aca="false">IF($C208="","",N($F208)-N($G208))</f>
        <v/>
      </c>
      <c r="I208" s="9" t="str">
        <f aca="false">IF($C208="","",IFERROR(INDEX(Partits!$C:$C,MATCH($A208&amp;"_"&amp;$D208,Partits!$D:$D,0)),""))</f>
        <v/>
      </c>
      <c r="J208" s="9" t="str">
        <f aca="false">IF($C208="","",IF(AND($I208="V",N($H208)&gt;0),1.2,1))</f>
        <v/>
      </c>
      <c r="K208" s="9" t="str">
        <f aca="false">IF($C208="","",N($H208)*$J208)</f>
        <v/>
      </c>
      <c r="L208" s="9" t="str">
        <f aca="false">IF($C208="","",IF($E208="SI",2,1))</f>
        <v/>
      </c>
      <c r="M208" s="9" t="str">
        <f aca="false">IF($C208="","",$K208*$L208)</f>
        <v/>
      </c>
    </row>
    <row r="209" customFormat="false" ht="15" hidden="false" customHeight="true" outlineLevel="0" collapsed="false">
      <c r="A209" s="9" t="str">
        <f aca="false">IF(Equips_usuari!A209="","",Equips_usuari!A209)</f>
        <v/>
      </c>
      <c r="B209" s="9" t="str">
        <f aca="false">IF(Equips_usuari!B209="","",Equips_usuari!B209)</f>
        <v/>
      </c>
      <c r="C209" s="9" t="str">
        <f aca="false">IF(Equips_usuari!C209="","",Equips_usuari!C209)</f>
        <v/>
      </c>
      <c r="D209" s="9" t="str">
        <f aca="false">IF(Equips_usuari!D209="","",Equips_usuari!D209)</f>
        <v/>
      </c>
      <c r="E209" s="9" t="str">
        <f aca="false">IF(Equips_usuari!F209="","",Equips_usuari!F209)</f>
        <v/>
      </c>
      <c r="F209" s="9" t="str">
        <f aca="false">IF($C209="","",SUMIFS(Resultats_jugadores!$C:$C,Resultats_jugadores!$A:$A,$A209,Resultats_jugadores!$B:$B,$C209))</f>
        <v/>
      </c>
      <c r="G209" s="9" t="str">
        <f aca="false">IF($C209="","",SUMIFS(Resultats_jugadores!$D:$D,Resultats_jugadores!$A:$A,$A209,Resultats_jugadores!$B:$B,$C209))</f>
        <v/>
      </c>
      <c r="H209" s="9" t="str">
        <f aca="false">IF($C209="","",N($F209)-N($G209))</f>
        <v/>
      </c>
      <c r="I209" s="9" t="str">
        <f aca="false">IF($C209="","",IFERROR(INDEX(Partits!$C:$C,MATCH($A209&amp;"_"&amp;$D209,Partits!$D:$D,0)),""))</f>
        <v/>
      </c>
      <c r="J209" s="9" t="str">
        <f aca="false">IF($C209="","",IF(AND($I209="V",N($H209)&gt;0),1.2,1))</f>
        <v/>
      </c>
      <c r="K209" s="9" t="str">
        <f aca="false">IF($C209="","",N($H209)*$J209)</f>
        <v/>
      </c>
      <c r="L209" s="9" t="str">
        <f aca="false">IF($C209="","",IF($E209="SI",2,1))</f>
        <v/>
      </c>
      <c r="M209" s="9" t="str">
        <f aca="false">IF($C209="","",$K209*$L209)</f>
        <v/>
      </c>
    </row>
    <row r="210" customFormat="false" ht="15" hidden="false" customHeight="true" outlineLevel="0" collapsed="false">
      <c r="A210" s="9" t="str">
        <f aca="false">IF(Equips_usuari!A210="","",Equips_usuari!A210)</f>
        <v/>
      </c>
      <c r="B210" s="9" t="str">
        <f aca="false">IF(Equips_usuari!B210="","",Equips_usuari!B210)</f>
        <v/>
      </c>
      <c r="C210" s="9" t="str">
        <f aca="false">IF(Equips_usuari!C210="","",Equips_usuari!C210)</f>
        <v/>
      </c>
      <c r="D210" s="9" t="str">
        <f aca="false">IF(Equips_usuari!D210="","",Equips_usuari!D210)</f>
        <v/>
      </c>
      <c r="E210" s="9" t="str">
        <f aca="false">IF(Equips_usuari!F210="","",Equips_usuari!F210)</f>
        <v/>
      </c>
      <c r="F210" s="9" t="str">
        <f aca="false">IF($C210="","",SUMIFS(Resultats_jugadores!$C:$C,Resultats_jugadores!$A:$A,$A210,Resultats_jugadores!$B:$B,$C210))</f>
        <v/>
      </c>
      <c r="G210" s="9" t="str">
        <f aca="false">IF($C210="","",SUMIFS(Resultats_jugadores!$D:$D,Resultats_jugadores!$A:$A,$A210,Resultats_jugadores!$B:$B,$C210))</f>
        <v/>
      </c>
      <c r="H210" s="9" t="str">
        <f aca="false">IF($C210="","",N($F210)-N($G210))</f>
        <v/>
      </c>
      <c r="I210" s="9" t="str">
        <f aca="false">IF($C210="","",IFERROR(INDEX(Partits!$C:$C,MATCH($A210&amp;"_"&amp;$D210,Partits!$D:$D,0)),""))</f>
        <v/>
      </c>
      <c r="J210" s="9" t="str">
        <f aca="false">IF($C210="","",IF(AND($I210="V",N($H210)&gt;0),1.2,1))</f>
        <v/>
      </c>
      <c r="K210" s="9" t="str">
        <f aca="false">IF($C210="","",N($H210)*$J210)</f>
        <v/>
      </c>
      <c r="L210" s="9" t="str">
        <f aca="false">IF($C210="","",IF($E210="SI",2,1))</f>
        <v/>
      </c>
      <c r="M210" s="9" t="str">
        <f aca="false">IF($C210="","",$K210*$L210)</f>
        <v/>
      </c>
    </row>
    <row r="211" customFormat="false" ht="15" hidden="false" customHeight="true" outlineLevel="0" collapsed="false">
      <c r="A211" s="9" t="str">
        <f aca="false">IF(Equips_usuari!A211="","",Equips_usuari!A211)</f>
        <v/>
      </c>
      <c r="B211" s="9" t="str">
        <f aca="false">IF(Equips_usuari!B211="","",Equips_usuari!B211)</f>
        <v/>
      </c>
      <c r="C211" s="9" t="str">
        <f aca="false">IF(Equips_usuari!C211="","",Equips_usuari!C211)</f>
        <v/>
      </c>
      <c r="D211" s="9" t="str">
        <f aca="false">IF(Equips_usuari!D211="","",Equips_usuari!D211)</f>
        <v/>
      </c>
      <c r="E211" s="9" t="str">
        <f aca="false">IF(Equips_usuari!F211="","",Equips_usuari!F211)</f>
        <v/>
      </c>
      <c r="F211" s="9" t="str">
        <f aca="false">IF($C211="","",SUMIFS(Resultats_jugadores!$C:$C,Resultats_jugadores!$A:$A,$A211,Resultats_jugadores!$B:$B,$C211))</f>
        <v/>
      </c>
      <c r="G211" s="9" t="str">
        <f aca="false">IF($C211="","",SUMIFS(Resultats_jugadores!$D:$D,Resultats_jugadores!$A:$A,$A211,Resultats_jugadores!$B:$B,$C211))</f>
        <v/>
      </c>
      <c r="H211" s="9" t="str">
        <f aca="false">IF($C211="","",N($F211)-N($G211))</f>
        <v/>
      </c>
      <c r="I211" s="9" t="str">
        <f aca="false">IF($C211="","",IFERROR(INDEX(Partits!$C:$C,MATCH($A211&amp;"_"&amp;$D211,Partits!$D:$D,0)),""))</f>
        <v/>
      </c>
      <c r="J211" s="9" t="str">
        <f aca="false">IF($C211="","",IF(AND($I211="V",N($H211)&gt;0),1.2,1))</f>
        <v/>
      </c>
      <c r="K211" s="9" t="str">
        <f aca="false">IF($C211="","",N($H211)*$J211)</f>
        <v/>
      </c>
      <c r="L211" s="9" t="str">
        <f aca="false">IF($C211="","",IF($E211="SI",2,1))</f>
        <v/>
      </c>
      <c r="M211" s="9" t="str">
        <f aca="false">IF($C211="","",$K211*$L211)</f>
        <v/>
      </c>
    </row>
    <row r="212" customFormat="false" ht="15" hidden="false" customHeight="true" outlineLevel="0" collapsed="false">
      <c r="A212" s="9" t="str">
        <f aca="false">IF(Equips_usuari!A212="","",Equips_usuari!A212)</f>
        <v/>
      </c>
      <c r="B212" s="9" t="str">
        <f aca="false">IF(Equips_usuari!B212="","",Equips_usuari!B212)</f>
        <v/>
      </c>
      <c r="C212" s="9" t="str">
        <f aca="false">IF(Equips_usuari!C212="","",Equips_usuari!C212)</f>
        <v/>
      </c>
      <c r="D212" s="9" t="str">
        <f aca="false">IF(Equips_usuari!D212="","",Equips_usuari!D212)</f>
        <v/>
      </c>
      <c r="E212" s="9" t="str">
        <f aca="false">IF(Equips_usuari!F212="","",Equips_usuari!F212)</f>
        <v/>
      </c>
      <c r="F212" s="9" t="str">
        <f aca="false">IF($C212="","",SUMIFS(Resultats_jugadores!$C:$C,Resultats_jugadores!$A:$A,$A212,Resultats_jugadores!$B:$B,$C212))</f>
        <v/>
      </c>
      <c r="G212" s="9" t="str">
        <f aca="false">IF($C212="","",SUMIFS(Resultats_jugadores!$D:$D,Resultats_jugadores!$A:$A,$A212,Resultats_jugadores!$B:$B,$C212))</f>
        <v/>
      </c>
      <c r="H212" s="9" t="str">
        <f aca="false">IF($C212="","",N($F212)-N($G212))</f>
        <v/>
      </c>
      <c r="I212" s="9" t="str">
        <f aca="false">IF($C212="","",IFERROR(INDEX(Partits!$C:$C,MATCH($A212&amp;"_"&amp;$D212,Partits!$D:$D,0)),""))</f>
        <v/>
      </c>
      <c r="J212" s="9" t="str">
        <f aca="false">IF($C212="","",IF(AND($I212="V",N($H212)&gt;0),1.2,1))</f>
        <v/>
      </c>
      <c r="K212" s="9" t="str">
        <f aca="false">IF($C212="","",N($H212)*$J212)</f>
        <v/>
      </c>
      <c r="L212" s="9" t="str">
        <f aca="false">IF($C212="","",IF($E212="SI",2,1))</f>
        <v/>
      </c>
      <c r="M212" s="9" t="str">
        <f aca="false">IF($C212="","",$K212*$L212)</f>
        <v/>
      </c>
    </row>
    <row r="213" customFormat="false" ht="15" hidden="false" customHeight="true" outlineLevel="0" collapsed="false">
      <c r="A213" s="9" t="str">
        <f aca="false">IF(Equips_usuari!A213="","",Equips_usuari!A213)</f>
        <v/>
      </c>
      <c r="B213" s="9" t="str">
        <f aca="false">IF(Equips_usuari!B213="","",Equips_usuari!B213)</f>
        <v/>
      </c>
      <c r="C213" s="9" t="str">
        <f aca="false">IF(Equips_usuari!C213="","",Equips_usuari!C213)</f>
        <v/>
      </c>
      <c r="D213" s="9" t="str">
        <f aca="false">IF(Equips_usuari!D213="","",Equips_usuari!D213)</f>
        <v/>
      </c>
      <c r="E213" s="9" t="str">
        <f aca="false">IF(Equips_usuari!F213="","",Equips_usuari!F213)</f>
        <v/>
      </c>
      <c r="F213" s="9" t="str">
        <f aca="false">IF($C213="","",SUMIFS(Resultats_jugadores!$C:$C,Resultats_jugadores!$A:$A,$A213,Resultats_jugadores!$B:$B,$C213))</f>
        <v/>
      </c>
      <c r="G213" s="9" t="str">
        <f aca="false">IF($C213="","",SUMIFS(Resultats_jugadores!$D:$D,Resultats_jugadores!$A:$A,$A213,Resultats_jugadores!$B:$B,$C213))</f>
        <v/>
      </c>
      <c r="H213" s="9" t="str">
        <f aca="false">IF($C213="","",N($F213)-N($G213))</f>
        <v/>
      </c>
      <c r="I213" s="9" t="str">
        <f aca="false">IF($C213="","",IFERROR(INDEX(Partits!$C:$C,MATCH($A213&amp;"_"&amp;$D213,Partits!$D:$D,0)),""))</f>
        <v/>
      </c>
      <c r="J213" s="9" t="str">
        <f aca="false">IF($C213="","",IF(AND($I213="V",N($H213)&gt;0),1.2,1))</f>
        <v/>
      </c>
      <c r="K213" s="9" t="str">
        <f aca="false">IF($C213="","",N($H213)*$J213)</f>
        <v/>
      </c>
      <c r="L213" s="9" t="str">
        <f aca="false">IF($C213="","",IF($E213="SI",2,1))</f>
        <v/>
      </c>
      <c r="M213" s="9" t="str">
        <f aca="false">IF($C213="","",$K213*$L213)</f>
        <v/>
      </c>
    </row>
    <row r="214" customFormat="false" ht="15" hidden="false" customHeight="true" outlineLevel="0" collapsed="false">
      <c r="A214" s="9" t="str">
        <f aca="false">IF(Equips_usuari!A214="","",Equips_usuari!A214)</f>
        <v/>
      </c>
      <c r="B214" s="9" t="str">
        <f aca="false">IF(Equips_usuari!B214="","",Equips_usuari!B214)</f>
        <v/>
      </c>
      <c r="C214" s="9" t="str">
        <f aca="false">IF(Equips_usuari!C214="","",Equips_usuari!C214)</f>
        <v/>
      </c>
      <c r="D214" s="9" t="str">
        <f aca="false">IF(Equips_usuari!D214="","",Equips_usuari!D214)</f>
        <v/>
      </c>
      <c r="E214" s="9" t="str">
        <f aca="false">IF(Equips_usuari!F214="","",Equips_usuari!F214)</f>
        <v/>
      </c>
      <c r="F214" s="9" t="str">
        <f aca="false">IF($C214="","",SUMIFS(Resultats_jugadores!$C:$C,Resultats_jugadores!$A:$A,$A214,Resultats_jugadores!$B:$B,$C214))</f>
        <v/>
      </c>
      <c r="G214" s="9" t="str">
        <f aca="false">IF($C214="","",SUMIFS(Resultats_jugadores!$D:$D,Resultats_jugadores!$A:$A,$A214,Resultats_jugadores!$B:$B,$C214))</f>
        <v/>
      </c>
      <c r="H214" s="9" t="str">
        <f aca="false">IF($C214="","",N($F214)-N($G214))</f>
        <v/>
      </c>
      <c r="I214" s="9" t="str">
        <f aca="false">IF($C214="","",IFERROR(INDEX(Partits!$C:$C,MATCH($A214&amp;"_"&amp;$D214,Partits!$D:$D,0)),""))</f>
        <v/>
      </c>
      <c r="J214" s="9" t="str">
        <f aca="false">IF($C214="","",IF(AND($I214="V",N($H214)&gt;0),1.2,1))</f>
        <v/>
      </c>
      <c r="K214" s="9" t="str">
        <f aca="false">IF($C214="","",N($H214)*$J214)</f>
        <v/>
      </c>
      <c r="L214" s="9" t="str">
        <f aca="false">IF($C214="","",IF($E214="SI",2,1))</f>
        <v/>
      </c>
      <c r="M214" s="9" t="str">
        <f aca="false">IF($C214="","",$K214*$L214)</f>
        <v/>
      </c>
    </row>
    <row r="215" customFormat="false" ht="15" hidden="false" customHeight="true" outlineLevel="0" collapsed="false">
      <c r="A215" s="9" t="str">
        <f aca="false">IF(Equips_usuari!A215="","",Equips_usuari!A215)</f>
        <v/>
      </c>
      <c r="B215" s="9" t="str">
        <f aca="false">IF(Equips_usuari!B215="","",Equips_usuari!B215)</f>
        <v/>
      </c>
      <c r="C215" s="9" t="str">
        <f aca="false">IF(Equips_usuari!C215="","",Equips_usuari!C215)</f>
        <v/>
      </c>
      <c r="D215" s="9" t="str">
        <f aca="false">IF(Equips_usuari!D215="","",Equips_usuari!D215)</f>
        <v/>
      </c>
      <c r="E215" s="9" t="str">
        <f aca="false">IF(Equips_usuari!F215="","",Equips_usuari!F215)</f>
        <v/>
      </c>
      <c r="F215" s="9" t="str">
        <f aca="false">IF($C215="","",SUMIFS(Resultats_jugadores!$C:$C,Resultats_jugadores!$A:$A,$A215,Resultats_jugadores!$B:$B,$C215))</f>
        <v/>
      </c>
      <c r="G215" s="9" t="str">
        <f aca="false">IF($C215="","",SUMIFS(Resultats_jugadores!$D:$D,Resultats_jugadores!$A:$A,$A215,Resultats_jugadores!$B:$B,$C215))</f>
        <v/>
      </c>
      <c r="H215" s="9" t="str">
        <f aca="false">IF($C215="","",N($F215)-N($G215))</f>
        <v/>
      </c>
      <c r="I215" s="9" t="str">
        <f aca="false">IF($C215="","",IFERROR(INDEX(Partits!$C:$C,MATCH($A215&amp;"_"&amp;$D215,Partits!$D:$D,0)),""))</f>
        <v/>
      </c>
      <c r="J215" s="9" t="str">
        <f aca="false">IF($C215="","",IF(AND($I215="V",N($H215)&gt;0),1.2,1))</f>
        <v/>
      </c>
      <c r="K215" s="9" t="str">
        <f aca="false">IF($C215="","",N($H215)*$J215)</f>
        <v/>
      </c>
      <c r="L215" s="9" t="str">
        <f aca="false">IF($C215="","",IF($E215="SI",2,1))</f>
        <v/>
      </c>
      <c r="M215" s="9" t="str">
        <f aca="false">IF($C215="","",$K215*$L215)</f>
        <v/>
      </c>
    </row>
    <row r="216" customFormat="false" ht="15" hidden="false" customHeight="true" outlineLevel="0" collapsed="false">
      <c r="A216" s="9" t="str">
        <f aca="false">IF(Equips_usuari!A216="","",Equips_usuari!A216)</f>
        <v/>
      </c>
      <c r="B216" s="9" t="str">
        <f aca="false">IF(Equips_usuari!B216="","",Equips_usuari!B216)</f>
        <v/>
      </c>
      <c r="C216" s="9" t="str">
        <f aca="false">IF(Equips_usuari!C216="","",Equips_usuari!C216)</f>
        <v/>
      </c>
      <c r="D216" s="9" t="str">
        <f aca="false">IF(Equips_usuari!D216="","",Equips_usuari!D216)</f>
        <v/>
      </c>
      <c r="E216" s="9" t="str">
        <f aca="false">IF(Equips_usuari!F216="","",Equips_usuari!F216)</f>
        <v/>
      </c>
      <c r="F216" s="9" t="str">
        <f aca="false">IF($C216="","",SUMIFS(Resultats_jugadores!$C:$C,Resultats_jugadores!$A:$A,$A216,Resultats_jugadores!$B:$B,$C216))</f>
        <v/>
      </c>
      <c r="G216" s="9" t="str">
        <f aca="false">IF($C216="","",SUMIFS(Resultats_jugadores!$D:$D,Resultats_jugadores!$A:$A,$A216,Resultats_jugadores!$B:$B,$C216))</f>
        <v/>
      </c>
      <c r="H216" s="9" t="str">
        <f aca="false">IF($C216="","",N($F216)-N($G216))</f>
        <v/>
      </c>
      <c r="I216" s="9" t="str">
        <f aca="false">IF($C216="","",IFERROR(INDEX(Partits!$C:$C,MATCH($A216&amp;"_"&amp;$D216,Partits!$D:$D,0)),""))</f>
        <v/>
      </c>
      <c r="J216" s="9" t="str">
        <f aca="false">IF($C216="","",IF(AND($I216="V",N($H216)&gt;0),1.2,1))</f>
        <v/>
      </c>
      <c r="K216" s="9" t="str">
        <f aca="false">IF($C216="","",N($H216)*$J216)</f>
        <v/>
      </c>
      <c r="L216" s="9" t="str">
        <f aca="false">IF($C216="","",IF($E216="SI",2,1))</f>
        <v/>
      </c>
      <c r="M216" s="9" t="str">
        <f aca="false">IF($C216="","",$K216*$L216)</f>
        <v/>
      </c>
    </row>
    <row r="217" customFormat="false" ht="15" hidden="false" customHeight="true" outlineLevel="0" collapsed="false">
      <c r="A217" s="9" t="str">
        <f aca="false">IF(Equips_usuari!A217="","",Equips_usuari!A217)</f>
        <v/>
      </c>
      <c r="B217" s="9" t="str">
        <f aca="false">IF(Equips_usuari!B217="","",Equips_usuari!B217)</f>
        <v/>
      </c>
      <c r="C217" s="9" t="str">
        <f aca="false">IF(Equips_usuari!C217="","",Equips_usuari!C217)</f>
        <v/>
      </c>
      <c r="D217" s="9" t="str">
        <f aca="false">IF(Equips_usuari!D217="","",Equips_usuari!D217)</f>
        <v/>
      </c>
      <c r="E217" s="9" t="str">
        <f aca="false">IF(Equips_usuari!F217="","",Equips_usuari!F217)</f>
        <v/>
      </c>
      <c r="F217" s="9" t="str">
        <f aca="false">IF($C217="","",SUMIFS(Resultats_jugadores!$C:$C,Resultats_jugadores!$A:$A,$A217,Resultats_jugadores!$B:$B,$C217))</f>
        <v/>
      </c>
      <c r="G217" s="9" t="str">
        <f aca="false">IF($C217="","",SUMIFS(Resultats_jugadores!$D:$D,Resultats_jugadores!$A:$A,$A217,Resultats_jugadores!$B:$B,$C217))</f>
        <v/>
      </c>
      <c r="H217" s="9" t="str">
        <f aca="false">IF($C217="","",N($F217)-N($G217))</f>
        <v/>
      </c>
      <c r="I217" s="9" t="str">
        <f aca="false">IF($C217="","",IFERROR(INDEX(Partits!$C:$C,MATCH($A217&amp;"_"&amp;$D217,Partits!$D:$D,0)),""))</f>
        <v/>
      </c>
      <c r="J217" s="9" t="str">
        <f aca="false">IF($C217="","",IF(AND($I217="V",N($H217)&gt;0),1.2,1))</f>
        <v/>
      </c>
      <c r="K217" s="9" t="str">
        <f aca="false">IF($C217="","",N($H217)*$J217)</f>
        <v/>
      </c>
      <c r="L217" s="9" t="str">
        <f aca="false">IF($C217="","",IF($E217="SI",2,1))</f>
        <v/>
      </c>
      <c r="M217" s="9" t="str">
        <f aca="false">IF($C217="","",$K217*$L217)</f>
        <v/>
      </c>
    </row>
    <row r="218" customFormat="false" ht="15" hidden="false" customHeight="true" outlineLevel="0" collapsed="false">
      <c r="A218" s="9" t="str">
        <f aca="false">IF(Equips_usuari!A218="","",Equips_usuari!A218)</f>
        <v/>
      </c>
      <c r="B218" s="9" t="str">
        <f aca="false">IF(Equips_usuari!B218="","",Equips_usuari!B218)</f>
        <v/>
      </c>
      <c r="C218" s="9" t="str">
        <f aca="false">IF(Equips_usuari!C218="","",Equips_usuari!C218)</f>
        <v/>
      </c>
      <c r="D218" s="9" t="str">
        <f aca="false">IF(Equips_usuari!D218="","",Equips_usuari!D218)</f>
        <v/>
      </c>
      <c r="E218" s="9" t="str">
        <f aca="false">IF(Equips_usuari!F218="","",Equips_usuari!F218)</f>
        <v/>
      </c>
      <c r="F218" s="9" t="str">
        <f aca="false">IF($C218="","",SUMIFS(Resultats_jugadores!$C:$C,Resultats_jugadores!$A:$A,$A218,Resultats_jugadores!$B:$B,$C218))</f>
        <v/>
      </c>
      <c r="G218" s="9" t="str">
        <f aca="false">IF($C218="","",SUMIFS(Resultats_jugadores!$D:$D,Resultats_jugadores!$A:$A,$A218,Resultats_jugadores!$B:$B,$C218))</f>
        <v/>
      </c>
      <c r="H218" s="9" t="str">
        <f aca="false">IF($C218="","",N($F218)-N($G218))</f>
        <v/>
      </c>
      <c r="I218" s="9" t="str">
        <f aca="false">IF($C218="","",IFERROR(INDEX(Partits!$C:$C,MATCH($A218&amp;"_"&amp;$D218,Partits!$D:$D,0)),""))</f>
        <v/>
      </c>
      <c r="J218" s="9" t="str">
        <f aca="false">IF($C218="","",IF(AND($I218="V",N($H218)&gt;0),1.2,1))</f>
        <v/>
      </c>
      <c r="K218" s="9" t="str">
        <f aca="false">IF($C218="","",N($H218)*$J218)</f>
        <v/>
      </c>
      <c r="L218" s="9" t="str">
        <f aca="false">IF($C218="","",IF($E218="SI",2,1))</f>
        <v/>
      </c>
      <c r="M218" s="9" t="str">
        <f aca="false">IF($C218="","",$K218*$L218)</f>
        <v/>
      </c>
    </row>
    <row r="219" customFormat="false" ht="15" hidden="false" customHeight="true" outlineLevel="0" collapsed="false">
      <c r="A219" s="9" t="str">
        <f aca="false">IF(Equips_usuari!A219="","",Equips_usuari!A219)</f>
        <v/>
      </c>
      <c r="B219" s="9" t="str">
        <f aca="false">IF(Equips_usuari!B219="","",Equips_usuari!B219)</f>
        <v/>
      </c>
      <c r="C219" s="9" t="str">
        <f aca="false">IF(Equips_usuari!C219="","",Equips_usuari!C219)</f>
        <v/>
      </c>
      <c r="D219" s="9" t="str">
        <f aca="false">IF(Equips_usuari!D219="","",Equips_usuari!D219)</f>
        <v/>
      </c>
      <c r="E219" s="9" t="str">
        <f aca="false">IF(Equips_usuari!F219="","",Equips_usuari!F219)</f>
        <v/>
      </c>
      <c r="F219" s="9" t="str">
        <f aca="false">IF($C219="","",SUMIFS(Resultats_jugadores!$C:$C,Resultats_jugadores!$A:$A,$A219,Resultats_jugadores!$B:$B,$C219))</f>
        <v/>
      </c>
      <c r="G219" s="9" t="str">
        <f aca="false">IF($C219="","",SUMIFS(Resultats_jugadores!$D:$D,Resultats_jugadores!$A:$A,$A219,Resultats_jugadores!$B:$B,$C219))</f>
        <v/>
      </c>
      <c r="H219" s="9" t="str">
        <f aca="false">IF($C219="","",N($F219)-N($G219))</f>
        <v/>
      </c>
      <c r="I219" s="9" t="str">
        <f aca="false">IF($C219="","",IFERROR(INDEX(Partits!$C:$C,MATCH($A219&amp;"_"&amp;$D219,Partits!$D:$D,0)),""))</f>
        <v/>
      </c>
      <c r="J219" s="9" t="str">
        <f aca="false">IF($C219="","",IF(AND($I219="V",N($H219)&gt;0),1.2,1))</f>
        <v/>
      </c>
      <c r="K219" s="9" t="str">
        <f aca="false">IF($C219="","",N($H219)*$J219)</f>
        <v/>
      </c>
      <c r="L219" s="9" t="str">
        <f aca="false">IF($C219="","",IF($E219="SI",2,1))</f>
        <v/>
      </c>
      <c r="M219" s="9" t="str">
        <f aca="false">IF($C219="","",$K219*$L219)</f>
        <v/>
      </c>
    </row>
    <row r="220" customFormat="false" ht="15" hidden="false" customHeight="true" outlineLevel="0" collapsed="false">
      <c r="A220" s="9" t="str">
        <f aca="false">IF(Equips_usuari!A220="","",Equips_usuari!A220)</f>
        <v/>
      </c>
      <c r="B220" s="9" t="str">
        <f aca="false">IF(Equips_usuari!B220="","",Equips_usuari!B220)</f>
        <v/>
      </c>
      <c r="C220" s="9" t="str">
        <f aca="false">IF(Equips_usuari!C220="","",Equips_usuari!C220)</f>
        <v/>
      </c>
      <c r="D220" s="9" t="str">
        <f aca="false">IF(Equips_usuari!D220="","",Equips_usuari!D220)</f>
        <v/>
      </c>
      <c r="E220" s="9" t="str">
        <f aca="false">IF(Equips_usuari!F220="","",Equips_usuari!F220)</f>
        <v/>
      </c>
      <c r="F220" s="9" t="str">
        <f aca="false">IF($C220="","",SUMIFS(Resultats_jugadores!$C:$C,Resultats_jugadores!$A:$A,$A220,Resultats_jugadores!$B:$B,$C220))</f>
        <v/>
      </c>
      <c r="G220" s="9" t="str">
        <f aca="false">IF($C220="","",SUMIFS(Resultats_jugadores!$D:$D,Resultats_jugadores!$A:$A,$A220,Resultats_jugadores!$B:$B,$C220))</f>
        <v/>
      </c>
      <c r="H220" s="9" t="str">
        <f aca="false">IF($C220="","",N($F220)-N($G220))</f>
        <v/>
      </c>
      <c r="I220" s="9" t="str">
        <f aca="false">IF($C220="","",IFERROR(INDEX(Partits!$C:$C,MATCH($A220&amp;"_"&amp;$D220,Partits!$D:$D,0)),""))</f>
        <v/>
      </c>
      <c r="J220" s="9" t="str">
        <f aca="false">IF($C220="","",IF(AND($I220="V",N($H220)&gt;0),1.2,1))</f>
        <v/>
      </c>
      <c r="K220" s="9" t="str">
        <f aca="false">IF($C220="","",N($H220)*$J220)</f>
        <v/>
      </c>
      <c r="L220" s="9" t="str">
        <f aca="false">IF($C220="","",IF($E220="SI",2,1))</f>
        <v/>
      </c>
      <c r="M220" s="9" t="str">
        <f aca="false">IF($C220="","",$K220*$L220)</f>
        <v/>
      </c>
    </row>
    <row r="221" customFormat="false" ht="15" hidden="false" customHeight="true" outlineLevel="0" collapsed="false">
      <c r="A221" s="9" t="str">
        <f aca="false">IF(Equips_usuari!A221="","",Equips_usuari!A221)</f>
        <v/>
      </c>
      <c r="B221" s="9" t="str">
        <f aca="false">IF(Equips_usuari!B221="","",Equips_usuari!B221)</f>
        <v/>
      </c>
      <c r="C221" s="9" t="str">
        <f aca="false">IF(Equips_usuari!C221="","",Equips_usuari!C221)</f>
        <v/>
      </c>
      <c r="D221" s="9" t="str">
        <f aca="false">IF(Equips_usuari!D221="","",Equips_usuari!D221)</f>
        <v/>
      </c>
      <c r="E221" s="9" t="str">
        <f aca="false">IF(Equips_usuari!F221="","",Equips_usuari!F221)</f>
        <v/>
      </c>
      <c r="F221" s="9" t="str">
        <f aca="false">IF($C221="","",SUMIFS(Resultats_jugadores!$C:$C,Resultats_jugadores!$A:$A,$A221,Resultats_jugadores!$B:$B,$C221))</f>
        <v/>
      </c>
      <c r="G221" s="9" t="str">
        <f aca="false">IF($C221="","",SUMIFS(Resultats_jugadores!$D:$D,Resultats_jugadores!$A:$A,$A221,Resultats_jugadores!$B:$B,$C221))</f>
        <v/>
      </c>
      <c r="H221" s="9" t="str">
        <f aca="false">IF($C221="","",N($F221)-N($G221))</f>
        <v/>
      </c>
      <c r="I221" s="9" t="str">
        <f aca="false">IF($C221="","",IFERROR(INDEX(Partits!$C:$C,MATCH($A221&amp;"_"&amp;$D221,Partits!$D:$D,0)),""))</f>
        <v/>
      </c>
      <c r="J221" s="9" t="str">
        <f aca="false">IF($C221="","",IF(AND($I221="V",N($H221)&gt;0),1.2,1))</f>
        <v/>
      </c>
      <c r="K221" s="9" t="str">
        <f aca="false">IF($C221="","",N($H221)*$J221)</f>
        <v/>
      </c>
      <c r="L221" s="9" t="str">
        <f aca="false">IF($C221="","",IF($E221="SI",2,1))</f>
        <v/>
      </c>
      <c r="M221" s="9" t="str">
        <f aca="false">IF($C221="","",$K221*$L221)</f>
        <v/>
      </c>
    </row>
    <row r="222" customFormat="false" ht="15" hidden="false" customHeight="true" outlineLevel="0" collapsed="false">
      <c r="A222" s="9" t="str">
        <f aca="false">IF(Equips_usuari!A222="","",Equips_usuari!A222)</f>
        <v/>
      </c>
      <c r="B222" s="9" t="str">
        <f aca="false">IF(Equips_usuari!B222="","",Equips_usuari!B222)</f>
        <v/>
      </c>
      <c r="C222" s="9" t="str">
        <f aca="false">IF(Equips_usuari!C222="","",Equips_usuari!C222)</f>
        <v/>
      </c>
      <c r="D222" s="9" t="str">
        <f aca="false">IF(Equips_usuari!D222="","",Equips_usuari!D222)</f>
        <v/>
      </c>
      <c r="E222" s="9" t="str">
        <f aca="false">IF(Equips_usuari!F222="","",Equips_usuari!F222)</f>
        <v/>
      </c>
      <c r="F222" s="9" t="str">
        <f aca="false">IF($C222="","",SUMIFS(Resultats_jugadores!$C:$C,Resultats_jugadores!$A:$A,$A222,Resultats_jugadores!$B:$B,$C222))</f>
        <v/>
      </c>
      <c r="G222" s="9" t="str">
        <f aca="false">IF($C222="","",SUMIFS(Resultats_jugadores!$D:$D,Resultats_jugadores!$A:$A,$A222,Resultats_jugadores!$B:$B,$C222))</f>
        <v/>
      </c>
      <c r="H222" s="9" t="str">
        <f aca="false">IF($C222="","",N($F222)-N($G222))</f>
        <v/>
      </c>
      <c r="I222" s="9" t="str">
        <f aca="false">IF($C222="","",IFERROR(INDEX(Partits!$C:$C,MATCH($A222&amp;"_"&amp;$D222,Partits!$D:$D,0)),""))</f>
        <v/>
      </c>
      <c r="J222" s="9" t="str">
        <f aca="false">IF($C222="","",IF(AND($I222="V",N($H222)&gt;0),1.2,1))</f>
        <v/>
      </c>
      <c r="K222" s="9" t="str">
        <f aca="false">IF($C222="","",N($H222)*$J222)</f>
        <v/>
      </c>
      <c r="L222" s="9" t="str">
        <f aca="false">IF($C222="","",IF($E222="SI",2,1))</f>
        <v/>
      </c>
      <c r="M222" s="9" t="str">
        <f aca="false">IF($C222="","",$K222*$L222)</f>
        <v/>
      </c>
    </row>
    <row r="223" customFormat="false" ht="15" hidden="false" customHeight="true" outlineLevel="0" collapsed="false">
      <c r="A223" s="9" t="str">
        <f aca="false">IF(Equips_usuari!A223="","",Equips_usuari!A223)</f>
        <v/>
      </c>
      <c r="B223" s="9" t="str">
        <f aca="false">IF(Equips_usuari!B223="","",Equips_usuari!B223)</f>
        <v/>
      </c>
      <c r="C223" s="9" t="str">
        <f aca="false">IF(Equips_usuari!C223="","",Equips_usuari!C223)</f>
        <v/>
      </c>
      <c r="D223" s="9" t="str">
        <f aca="false">IF(Equips_usuari!D223="","",Equips_usuari!D223)</f>
        <v/>
      </c>
      <c r="E223" s="9" t="str">
        <f aca="false">IF(Equips_usuari!F223="","",Equips_usuari!F223)</f>
        <v/>
      </c>
      <c r="F223" s="9" t="str">
        <f aca="false">IF($C223="","",SUMIFS(Resultats_jugadores!$C:$C,Resultats_jugadores!$A:$A,$A223,Resultats_jugadores!$B:$B,$C223))</f>
        <v/>
      </c>
      <c r="G223" s="9" t="str">
        <f aca="false">IF($C223="","",SUMIFS(Resultats_jugadores!$D:$D,Resultats_jugadores!$A:$A,$A223,Resultats_jugadores!$B:$B,$C223))</f>
        <v/>
      </c>
      <c r="H223" s="9" t="str">
        <f aca="false">IF($C223="","",N($F223)-N($G223))</f>
        <v/>
      </c>
      <c r="I223" s="9" t="str">
        <f aca="false">IF($C223="","",IFERROR(INDEX(Partits!$C:$C,MATCH($A223&amp;"_"&amp;$D223,Partits!$D:$D,0)),""))</f>
        <v/>
      </c>
      <c r="J223" s="9" t="str">
        <f aca="false">IF($C223="","",IF(AND($I223="V",N($H223)&gt;0),1.2,1))</f>
        <v/>
      </c>
      <c r="K223" s="9" t="str">
        <f aca="false">IF($C223="","",N($H223)*$J223)</f>
        <v/>
      </c>
      <c r="L223" s="9" t="str">
        <f aca="false">IF($C223="","",IF($E223="SI",2,1))</f>
        <v/>
      </c>
      <c r="M223" s="9" t="str">
        <f aca="false">IF($C223="","",$K223*$L223)</f>
        <v/>
      </c>
    </row>
    <row r="224" customFormat="false" ht="15" hidden="false" customHeight="true" outlineLevel="0" collapsed="false">
      <c r="A224" s="9" t="str">
        <f aca="false">IF(Equips_usuari!A224="","",Equips_usuari!A224)</f>
        <v/>
      </c>
      <c r="B224" s="9" t="str">
        <f aca="false">IF(Equips_usuari!B224="","",Equips_usuari!B224)</f>
        <v/>
      </c>
      <c r="C224" s="9" t="str">
        <f aca="false">IF(Equips_usuari!C224="","",Equips_usuari!C224)</f>
        <v/>
      </c>
      <c r="D224" s="9" t="str">
        <f aca="false">IF(Equips_usuari!D224="","",Equips_usuari!D224)</f>
        <v/>
      </c>
      <c r="E224" s="9" t="str">
        <f aca="false">IF(Equips_usuari!F224="","",Equips_usuari!F224)</f>
        <v/>
      </c>
      <c r="F224" s="9" t="str">
        <f aca="false">IF($C224="","",SUMIFS(Resultats_jugadores!$C:$C,Resultats_jugadores!$A:$A,$A224,Resultats_jugadores!$B:$B,$C224))</f>
        <v/>
      </c>
      <c r="G224" s="9" t="str">
        <f aca="false">IF($C224="","",SUMIFS(Resultats_jugadores!$D:$D,Resultats_jugadores!$A:$A,$A224,Resultats_jugadores!$B:$B,$C224))</f>
        <v/>
      </c>
      <c r="H224" s="9" t="str">
        <f aca="false">IF($C224="","",N($F224)-N($G224))</f>
        <v/>
      </c>
      <c r="I224" s="9" t="str">
        <f aca="false">IF($C224="","",IFERROR(INDEX(Partits!$C:$C,MATCH($A224&amp;"_"&amp;$D224,Partits!$D:$D,0)),""))</f>
        <v/>
      </c>
      <c r="J224" s="9" t="str">
        <f aca="false">IF($C224="","",IF(AND($I224="V",N($H224)&gt;0),1.2,1))</f>
        <v/>
      </c>
      <c r="K224" s="9" t="str">
        <f aca="false">IF($C224="","",N($H224)*$J224)</f>
        <v/>
      </c>
      <c r="L224" s="9" t="str">
        <f aca="false">IF($C224="","",IF($E224="SI",2,1))</f>
        <v/>
      </c>
      <c r="M224" s="9" t="str">
        <f aca="false">IF($C224="","",$K224*$L224)</f>
        <v/>
      </c>
    </row>
    <row r="225" customFormat="false" ht="15" hidden="false" customHeight="true" outlineLevel="0" collapsed="false">
      <c r="A225" s="9" t="str">
        <f aca="false">IF(Equips_usuari!A225="","",Equips_usuari!A225)</f>
        <v/>
      </c>
      <c r="B225" s="9" t="str">
        <f aca="false">IF(Equips_usuari!B225="","",Equips_usuari!B225)</f>
        <v/>
      </c>
      <c r="C225" s="9" t="str">
        <f aca="false">IF(Equips_usuari!C225="","",Equips_usuari!C225)</f>
        <v/>
      </c>
      <c r="D225" s="9" t="str">
        <f aca="false">IF(Equips_usuari!D225="","",Equips_usuari!D225)</f>
        <v/>
      </c>
      <c r="E225" s="9" t="str">
        <f aca="false">IF(Equips_usuari!F225="","",Equips_usuari!F225)</f>
        <v/>
      </c>
      <c r="F225" s="9" t="str">
        <f aca="false">IF($C225="","",SUMIFS(Resultats_jugadores!$C:$C,Resultats_jugadores!$A:$A,$A225,Resultats_jugadores!$B:$B,$C225))</f>
        <v/>
      </c>
      <c r="G225" s="9" t="str">
        <f aca="false">IF($C225="","",SUMIFS(Resultats_jugadores!$D:$D,Resultats_jugadores!$A:$A,$A225,Resultats_jugadores!$B:$B,$C225))</f>
        <v/>
      </c>
      <c r="H225" s="9" t="str">
        <f aca="false">IF($C225="","",N($F225)-N($G225))</f>
        <v/>
      </c>
      <c r="I225" s="9" t="str">
        <f aca="false">IF($C225="","",IFERROR(INDEX(Partits!$C:$C,MATCH($A225&amp;"_"&amp;$D225,Partits!$D:$D,0)),""))</f>
        <v/>
      </c>
      <c r="J225" s="9" t="str">
        <f aca="false">IF($C225="","",IF(AND($I225="V",N($H225)&gt;0),1.2,1))</f>
        <v/>
      </c>
      <c r="K225" s="9" t="str">
        <f aca="false">IF($C225="","",N($H225)*$J225)</f>
        <v/>
      </c>
      <c r="L225" s="9" t="str">
        <f aca="false">IF($C225="","",IF($E225="SI",2,1))</f>
        <v/>
      </c>
      <c r="M225" s="9" t="str">
        <f aca="false">IF($C225="","",$K225*$L225)</f>
        <v/>
      </c>
    </row>
    <row r="226" customFormat="false" ht="15" hidden="false" customHeight="true" outlineLevel="0" collapsed="false">
      <c r="A226" s="9" t="str">
        <f aca="false">IF(Equips_usuari!A226="","",Equips_usuari!A226)</f>
        <v/>
      </c>
      <c r="B226" s="9" t="str">
        <f aca="false">IF(Equips_usuari!B226="","",Equips_usuari!B226)</f>
        <v/>
      </c>
      <c r="C226" s="9" t="str">
        <f aca="false">IF(Equips_usuari!C226="","",Equips_usuari!C226)</f>
        <v/>
      </c>
      <c r="D226" s="9" t="str">
        <f aca="false">IF(Equips_usuari!D226="","",Equips_usuari!D226)</f>
        <v/>
      </c>
      <c r="E226" s="9" t="str">
        <f aca="false">IF(Equips_usuari!F226="","",Equips_usuari!F226)</f>
        <v/>
      </c>
      <c r="F226" s="9" t="str">
        <f aca="false">IF($C226="","",SUMIFS(Resultats_jugadores!$C:$C,Resultats_jugadores!$A:$A,$A226,Resultats_jugadores!$B:$B,$C226))</f>
        <v/>
      </c>
      <c r="G226" s="9" t="str">
        <f aca="false">IF($C226="","",SUMIFS(Resultats_jugadores!$D:$D,Resultats_jugadores!$A:$A,$A226,Resultats_jugadores!$B:$B,$C226))</f>
        <v/>
      </c>
      <c r="H226" s="9" t="str">
        <f aca="false">IF($C226="","",N($F226)-N($G226))</f>
        <v/>
      </c>
      <c r="I226" s="9" t="str">
        <f aca="false">IF($C226="","",IFERROR(INDEX(Partits!$C:$C,MATCH($A226&amp;"_"&amp;$D226,Partits!$D:$D,0)),""))</f>
        <v/>
      </c>
      <c r="J226" s="9" t="str">
        <f aca="false">IF($C226="","",IF(AND($I226="V",N($H226)&gt;0),1.2,1))</f>
        <v/>
      </c>
      <c r="K226" s="9" t="str">
        <f aca="false">IF($C226="","",N($H226)*$J226)</f>
        <v/>
      </c>
      <c r="L226" s="9" t="str">
        <f aca="false">IF($C226="","",IF($E226="SI",2,1))</f>
        <v/>
      </c>
      <c r="M226" s="9" t="str">
        <f aca="false">IF($C226="","",$K226*$L226)</f>
        <v/>
      </c>
    </row>
    <row r="227" customFormat="false" ht="15" hidden="false" customHeight="true" outlineLevel="0" collapsed="false">
      <c r="A227" s="9" t="str">
        <f aca="false">IF(Equips_usuari!A227="","",Equips_usuari!A227)</f>
        <v/>
      </c>
      <c r="B227" s="9" t="str">
        <f aca="false">IF(Equips_usuari!B227="","",Equips_usuari!B227)</f>
        <v/>
      </c>
      <c r="C227" s="9" t="str">
        <f aca="false">IF(Equips_usuari!C227="","",Equips_usuari!C227)</f>
        <v/>
      </c>
      <c r="D227" s="9" t="str">
        <f aca="false">IF(Equips_usuari!D227="","",Equips_usuari!D227)</f>
        <v/>
      </c>
      <c r="E227" s="9" t="str">
        <f aca="false">IF(Equips_usuari!F227="","",Equips_usuari!F227)</f>
        <v/>
      </c>
      <c r="F227" s="9" t="str">
        <f aca="false">IF($C227="","",SUMIFS(Resultats_jugadores!$C:$C,Resultats_jugadores!$A:$A,$A227,Resultats_jugadores!$B:$B,$C227))</f>
        <v/>
      </c>
      <c r="G227" s="9" t="str">
        <f aca="false">IF($C227="","",SUMIFS(Resultats_jugadores!$D:$D,Resultats_jugadores!$A:$A,$A227,Resultats_jugadores!$B:$B,$C227))</f>
        <v/>
      </c>
      <c r="H227" s="9" t="str">
        <f aca="false">IF($C227="","",N($F227)-N($G227))</f>
        <v/>
      </c>
      <c r="I227" s="9" t="str">
        <f aca="false">IF($C227="","",IFERROR(INDEX(Partits!$C:$C,MATCH($A227&amp;"_"&amp;$D227,Partits!$D:$D,0)),""))</f>
        <v/>
      </c>
      <c r="J227" s="9" t="str">
        <f aca="false">IF($C227="","",IF(AND($I227="V",N($H227)&gt;0),1.2,1))</f>
        <v/>
      </c>
      <c r="K227" s="9" t="str">
        <f aca="false">IF($C227="","",N($H227)*$J227)</f>
        <v/>
      </c>
      <c r="L227" s="9" t="str">
        <f aca="false">IF($C227="","",IF($E227="SI",2,1))</f>
        <v/>
      </c>
      <c r="M227" s="9" t="str">
        <f aca="false">IF($C227="","",$K227*$L227)</f>
        <v/>
      </c>
    </row>
    <row r="228" customFormat="false" ht="15" hidden="false" customHeight="true" outlineLevel="0" collapsed="false">
      <c r="A228" s="9" t="str">
        <f aca="false">IF(Equips_usuari!A228="","",Equips_usuari!A228)</f>
        <v/>
      </c>
      <c r="B228" s="9" t="str">
        <f aca="false">IF(Equips_usuari!B228="","",Equips_usuari!B228)</f>
        <v/>
      </c>
      <c r="C228" s="9" t="str">
        <f aca="false">IF(Equips_usuari!C228="","",Equips_usuari!C228)</f>
        <v/>
      </c>
      <c r="D228" s="9" t="str">
        <f aca="false">IF(Equips_usuari!D228="","",Equips_usuari!D228)</f>
        <v/>
      </c>
      <c r="E228" s="9" t="str">
        <f aca="false">IF(Equips_usuari!F228="","",Equips_usuari!F228)</f>
        <v/>
      </c>
      <c r="F228" s="9" t="str">
        <f aca="false">IF($C228="","",SUMIFS(Resultats_jugadores!$C:$C,Resultats_jugadores!$A:$A,$A228,Resultats_jugadores!$B:$B,$C228))</f>
        <v/>
      </c>
      <c r="G228" s="9" t="str">
        <f aca="false">IF($C228="","",SUMIFS(Resultats_jugadores!$D:$D,Resultats_jugadores!$A:$A,$A228,Resultats_jugadores!$B:$B,$C228))</f>
        <v/>
      </c>
      <c r="H228" s="9" t="str">
        <f aca="false">IF($C228="","",N($F228)-N($G228))</f>
        <v/>
      </c>
      <c r="I228" s="9" t="str">
        <f aca="false">IF($C228="","",IFERROR(INDEX(Partits!$C:$C,MATCH($A228&amp;"_"&amp;$D228,Partits!$D:$D,0)),""))</f>
        <v/>
      </c>
      <c r="J228" s="9" t="str">
        <f aca="false">IF($C228="","",IF(AND($I228="V",N($H228)&gt;0),1.2,1))</f>
        <v/>
      </c>
      <c r="K228" s="9" t="str">
        <f aca="false">IF($C228="","",N($H228)*$J228)</f>
        <v/>
      </c>
      <c r="L228" s="9" t="str">
        <f aca="false">IF($C228="","",IF($E228="SI",2,1))</f>
        <v/>
      </c>
      <c r="M228" s="9" t="str">
        <f aca="false">IF($C228="","",$K228*$L228)</f>
        <v/>
      </c>
    </row>
    <row r="229" customFormat="false" ht="15" hidden="false" customHeight="true" outlineLevel="0" collapsed="false">
      <c r="A229" s="9" t="str">
        <f aca="false">IF(Equips_usuari!A229="","",Equips_usuari!A229)</f>
        <v/>
      </c>
      <c r="B229" s="9" t="str">
        <f aca="false">IF(Equips_usuari!B229="","",Equips_usuari!B229)</f>
        <v/>
      </c>
      <c r="C229" s="9" t="str">
        <f aca="false">IF(Equips_usuari!C229="","",Equips_usuari!C229)</f>
        <v/>
      </c>
      <c r="D229" s="9" t="str">
        <f aca="false">IF(Equips_usuari!D229="","",Equips_usuari!D229)</f>
        <v/>
      </c>
      <c r="E229" s="9" t="str">
        <f aca="false">IF(Equips_usuari!F229="","",Equips_usuari!F229)</f>
        <v/>
      </c>
      <c r="F229" s="9" t="str">
        <f aca="false">IF($C229="","",SUMIFS(Resultats_jugadores!$C:$C,Resultats_jugadores!$A:$A,$A229,Resultats_jugadores!$B:$B,$C229))</f>
        <v/>
      </c>
      <c r="G229" s="9" t="str">
        <f aca="false">IF($C229="","",SUMIFS(Resultats_jugadores!$D:$D,Resultats_jugadores!$A:$A,$A229,Resultats_jugadores!$B:$B,$C229))</f>
        <v/>
      </c>
      <c r="H229" s="9" t="str">
        <f aca="false">IF($C229="","",N($F229)-N($G229))</f>
        <v/>
      </c>
      <c r="I229" s="9" t="str">
        <f aca="false">IF($C229="","",IFERROR(INDEX(Partits!$C:$C,MATCH($A229&amp;"_"&amp;$D229,Partits!$D:$D,0)),""))</f>
        <v/>
      </c>
      <c r="J229" s="9" t="str">
        <f aca="false">IF($C229="","",IF(AND($I229="V",N($H229)&gt;0),1.2,1))</f>
        <v/>
      </c>
      <c r="K229" s="9" t="str">
        <f aca="false">IF($C229="","",N($H229)*$J229)</f>
        <v/>
      </c>
      <c r="L229" s="9" t="str">
        <f aca="false">IF($C229="","",IF($E229="SI",2,1))</f>
        <v/>
      </c>
      <c r="M229" s="9" t="str">
        <f aca="false">IF($C229="","",$K229*$L229)</f>
        <v/>
      </c>
    </row>
    <row r="230" customFormat="false" ht="15" hidden="false" customHeight="true" outlineLevel="0" collapsed="false">
      <c r="A230" s="9" t="str">
        <f aca="false">IF(Equips_usuari!A230="","",Equips_usuari!A230)</f>
        <v/>
      </c>
      <c r="B230" s="9" t="str">
        <f aca="false">IF(Equips_usuari!B230="","",Equips_usuari!B230)</f>
        <v/>
      </c>
      <c r="C230" s="9" t="str">
        <f aca="false">IF(Equips_usuari!C230="","",Equips_usuari!C230)</f>
        <v/>
      </c>
      <c r="D230" s="9" t="str">
        <f aca="false">IF(Equips_usuari!D230="","",Equips_usuari!D230)</f>
        <v/>
      </c>
      <c r="E230" s="9" t="str">
        <f aca="false">IF(Equips_usuari!F230="","",Equips_usuari!F230)</f>
        <v/>
      </c>
      <c r="F230" s="9" t="str">
        <f aca="false">IF($C230="","",SUMIFS(Resultats_jugadores!$C:$C,Resultats_jugadores!$A:$A,$A230,Resultats_jugadores!$B:$B,$C230))</f>
        <v/>
      </c>
      <c r="G230" s="9" t="str">
        <f aca="false">IF($C230="","",SUMIFS(Resultats_jugadores!$D:$D,Resultats_jugadores!$A:$A,$A230,Resultats_jugadores!$B:$B,$C230))</f>
        <v/>
      </c>
      <c r="H230" s="9" t="str">
        <f aca="false">IF($C230="","",N($F230)-N($G230))</f>
        <v/>
      </c>
      <c r="I230" s="9" t="str">
        <f aca="false">IF($C230="","",IFERROR(INDEX(Partits!$C:$C,MATCH($A230&amp;"_"&amp;$D230,Partits!$D:$D,0)),""))</f>
        <v/>
      </c>
      <c r="J230" s="9" t="str">
        <f aca="false">IF($C230="","",IF(AND($I230="V",N($H230)&gt;0),1.2,1))</f>
        <v/>
      </c>
      <c r="K230" s="9" t="str">
        <f aca="false">IF($C230="","",N($H230)*$J230)</f>
        <v/>
      </c>
      <c r="L230" s="9" t="str">
        <f aca="false">IF($C230="","",IF($E230="SI",2,1))</f>
        <v/>
      </c>
      <c r="M230" s="9" t="str">
        <f aca="false">IF($C230="","",$K230*$L230)</f>
        <v/>
      </c>
    </row>
    <row r="231" customFormat="false" ht="15" hidden="false" customHeight="true" outlineLevel="0" collapsed="false">
      <c r="A231" s="9" t="str">
        <f aca="false">IF(Equips_usuari!A231="","",Equips_usuari!A231)</f>
        <v/>
      </c>
      <c r="B231" s="9" t="str">
        <f aca="false">IF(Equips_usuari!B231="","",Equips_usuari!B231)</f>
        <v/>
      </c>
      <c r="C231" s="9" t="str">
        <f aca="false">IF(Equips_usuari!C231="","",Equips_usuari!C231)</f>
        <v/>
      </c>
      <c r="D231" s="9" t="str">
        <f aca="false">IF(Equips_usuari!D231="","",Equips_usuari!D231)</f>
        <v/>
      </c>
      <c r="E231" s="9" t="str">
        <f aca="false">IF(Equips_usuari!F231="","",Equips_usuari!F231)</f>
        <v/>
      </c>
      <c r="F231" s="9" t="str">
        <f aca="false">IF($C231="","",SUMIFS(Resultats_jugadores!$C:$C,Resultats_jugadores!$A:$A,$A231,Resultats_jugadores!$B:$B,$C231))</f>
        <v/>
      </c>
      <c r="G231" s="9" t="str">
        <f aca="false">IF($C231="","",SUMIFS(Resultats_jugadores!$D:$D,Resultats_jugadores!$A:$A,$A231,Resultats_jugadores!$B:$B,$C231))</f>
        <v/>
      </c>
      <c r="H231" s="9" t="str">
        <f aca="false">IF($C231="","",N($F231)-N($G231))</f>
        <v/>
      </c>
      <c r="I231" s="9" t="str">
        <f aca="false">IF($C231="","",IFERROR(INDEX(Partits!$C:$C,MATCH($A231&amp;"_"&amp;$D231,Partits!$D:$D,0)),""))</f>
        <v/>
      </c>
      <c r="J231" s="9" t="str">
        <f aca="false">IF($C231="","",IF(AND($I231="V",N($H231)&gt;0),1.2,1))</f>
        <v/>
      </c>
      <c r="K231" s="9" t="str">
        <f aca="false">IF($C231="","",N($H231)*$J231)</f>
        <v/>
      </c>
      <c r="L231" s="9" t="str">
        <f aca="false">IF($C231="","",IF($E231="SI",2,1))</f>
        <v/>
      </c>
      <c r="M231" s="9" t="str">
        <f aca="false">IF($C231="","",$K231*$L231)</f>
        <v/>
      </c>
    </row>
    <row r="232" customFormat="false" ht="15" hidden="false" customHeight="true" outlineLevel="0" collapsed="false">
      <c r="A232" s="9" t="str">
        <f aca="false">IF(Equips_usuari!A232="","",Equips_usuari!A232)</f>
        <v/>
      </c>
      <c r="B232" s="9" t="str">
        <f aca="false">IF(Equips_usuari!B232="","",Equips_usuari!B232)</f>
        <v/>
      </c>
      <c r="C232" s="9" t="str">
        <f aca="false">IF(Equips_usuari!C232="","",Equips_usuari!C232)</f>
        <v/>
      </c>
      <c r="D232" s="9" t="str">
        <f aca="false">IF(Equips_usuari!D232="","",Equips_usuari!D232)</f>
        <v/>
      </c>
      <c r="E232" s="9" t="str">
        <f aca="false">IF(Equips_usuari!F232="","",Equips_usuari!F232)</f>
        <v/>
      </c>
      <c r="F232" s="9" t="str">
        <f aca="false">IF($C232="","",SUMIFS(Resultats_jugadores!$C:$C,Resultats_jugadores!$A:$A,$A232,Resultats_jugadores!$B:$B,$C232))</f>
        <v/>
      </c>
      <c r="G232" s="9" t="str">
        <f aca="false">IF($C232="","",SUMIFS(Resultats_jugadores!$D:$D,Resultats_jugadores!$A:$A,$A232,Resultats_jugadores!$B:$B,$C232))</f>
        <v/>
      </c>
      <c r="H232" s="9" t="str">
        <f aca="false">IF($C232="","",N($F232)-N($G232))</f>
        <v/>
      </c>
      <c r="I232" s="9" t="str">
        <f aca="false">IF($C232="","",IFERROR(INDEX(Partits!$C:$C,MATCH($A232&amp;"_"&amp;$D232,Partits!$D:$D,0)),""))</f>
        <v/>
      </c>
      <c r="J232" s="9" t="str">
        <f aca="false">IF($C232="","",IF(AND($I232="V",N($H232)&gt;0),1.2,1))</f>
        <v/>
      </c>
      <c r="K232" s="9" t="str">
        <f aca="false">IF($C232="","",N($H232)*$J232)</f>
        <v/>
      </c>
      <c r="L232" s="9" t="str">
        <f aca="false">IF($C232="","",IF($E232="SI",2,1))</f>
        <v/>
      </c>
      <c r="M232" s="9" t="str">
        <f aca="false">IF($C232="","",$K232*$L232)</f>
        <v/>
      </c>
    </row>
    <row r="233" customFormat="false" ht="15" hidden="false" customHeight="true" outlineLevel="0" collapsed="false">
      <c r="A233" s="9" t="str">
        <f aca="false">IF(Equips_usuari!A233="","",Equips_usuari!A233)</f>
        <v/>
      </c>
      <c r="B233" s="9" t="str">
        <f aca="false">IF(Equips_usuari!B233="","",Equips_usuari!B233)</f>
        <v/>
      </c>
      <c r="C233" s="9" t="str">
        <f aca="false">IF(Equips_usuari!C233="","",Equips_usuari!C233)</f>
        <v/>
      </c>
      <c r="D233" s="9" t="str">
        <f aca="false">IF(Equips_usuari!D233="","",Equips_usuari!D233)</f>
        <v/>
      </c>
      <c r="E233" s="9" t="str">
        <f aca="false">IF(Equips_usuari!F233="","",Equips_usuari!F233)</f>
        <v/>
      </c>
      <c r="F233" s="9" t="str">
        <f aca="false">IF($C233="","",SUMIFS(Resultats_jugadores!$C:$C,Resultats_jugadores!$A:$A,$A233,Resultats_jugadores!$B:$B,$C233))</f>
        <v/>
      </c>
      <c r="G233" s="9" t="str">
        <f aca="false">IF($C233="","",SUMIFS(Resultats_jugadores!$D:$D,Resultats_jugadores!$A:$A,$A233,Resultats_jugadores!$B:$B,$C233))</f>
        <v/>
      </c>
      <c r="H233" s="9" t="str">
        <f aca="false">IF($C233="","",N($F233)-N($G233))</f>
        <v/>
      </c>
      <c r="I233" s="9" t="str">
        <f aca="false">IF($C233="","",IFERROR(INDEX(Partits!$C:$C,MATCH($A233&amp;"_"&amp;$D233,Partits!$D:$D,0)),""))</f>
        <v/>
      </c>
      <c r="J233" s="9" t="str">
        <f aca="false">IF($C233="","",IF(AND($I233="V",N($H233)&gt;0),1.2,1))</f>
        <v/>
      </c>
      <c r="K233" s="9" t="str">
        <f aca="false">IF($C233="","",N($H233)*$J233)</f>
        <v/>
      </c>
      <c r="L233" s="9" t="str">
        <f aca="false">IF($C233="","",IF($E233="SI",2,1))</f>
        <v/>
      </c>
      <c r="M233" s="9" t="str">
        <f aca="false">IF($C233="","",$K233*$L233)</f>
        <v/>
      </c>
    </row>
    <row r="234" customFormat="false" ht="15" hidden="false" customHeight="true" outlineLevel="0" collapsed="false">
      <c r="A234" s="9" t="str">
        <f aca="false">IF(Equips_usuari!A234="","",Equips_usuari!A234)</f>
        <v/>
      </c>
      <c r="B234" s="9" t="str">
        <f aca="false">IF(Equips_usuari!B234="","",Equips_usuari!B234)</f>
        <v/>
      </c>
      <c r="C234" s="9" t="str">
        <f aca="false">IF(Equips_usuari!C234="","",Equips_usuari!C234)</f>
        <v/>
      </c>
      <c r="D234" s="9" t="str">
        <f aca="false">IF(Equips_usuari!D234="","",Equips_usuari!D234)</f>
        <v/>
      </c>
      <c r="E234" s="9" t="str">
        <f aca="false">IF(Equips_usuari!F234="","",Equips_usuari!F234)</f>
        <v/>
      </c>
      <c r="F234" s="9" t="str">
        <f aca="false">IF($C234="","",SUMIFS(Resultats_jugadores!$C:$C,Resultats_jugadores!$A:$A,$A234,Resultats_jugadores!$B:$B,$C234))</f>
        <v/>
      </c>
      <c r="G234" s="9" t="str">
        <f aca="false">IF($C234="","",SUMIFS(Resultats_jugadores!$D:$D,Resultats_jugadores!$A:$A,$A234,Resultats_jugadores!$B:$B,$C234))</f>
        <v/>
      </c>
      <c r="H234" s="9" t="str">
        <f aca="false">IF($C234="","",N($F234)-N($G234))</f>
        <v/>
      </c>
      <c r="I234" s="9" t="str">
        <f aca="false">IF($C234="","",IFERROR(INDEX(Partits!$C:$C,MATCH($A234&amp;"_"&amp;$D234,Partits!$D:$D,0)),""))</f>
        <v/>
      </c>
      <c r="J234" s="9" t="str">
        <f aca="false">IF($C234="","",IF(AND($I234="V",N($H234)&gt;0),1.2,1))</f>
        <v/>
      </c>
      <c r="K234" s="9" t="str">
        <f aca="false">IF($C234="","",N($H234)*$J234)</f>
        <v/>
      </c>
      <c r="L234" s="9" t="str">
        <f aca="false">IF($C234="","",IF($E234="SI",2,1))</f>
        <v/>
      </c>
      <c r="M234" s="9" t="str">
        <f aca="false">IF($C234="","",$K234*$L234)</f>
        <v/>
      </c>
    </row>
    <row r="235" customFormat="false" ht="15" hidden="false" customHeight="true" outlineLevel="0" collapsed="false">
      <c r="A235" s="9" t="str">
        <f aca="false">IF(Equips_usuari!A235="","",Equips_usuari!A235)</f>
        <v/>
      </c>
      <c r="B235" s="9" t="str">
        <f aca="false">IF(Equips_usuari!B235="","",Equips_usuari!B235)</f>
        <v/>
      </c>
      <c r="C235" s="9" t="str">
        <f aca="false">IF(Equips_usuari!C235="","",Equips_usuari!C235)</f>
        <v/>
      </c>
      <c r="D235" s="9" t="str">
        <f aca="false">IF(Equips_usuari!D235="","",Equips_usuari!D235)</f>
        <v/>
      </c>
      <c r="E235" s="9" t="str">
        <f aca="false">IF(Equips_usuari!F235="","",Equips_usuari!F235)</f>
        <v/>
      </c>
      <c r="F235" s="9" t="str">
        <f aca="false">IF($C235="","",SUMIFS(Resultats_jugadores!$C:$C,Resultats_jugadores!$A:$A,$A235,Resultats_jugadores!$B:$B,$C235))</f>
        <v/>
      </c>
      <c r="G235" s="9" t="str">
        <f aca="false">IF($C235="","",SUMIFS(Resultats_jugadores!$D:$D,Resultats_jugadores!$A:$A,$A235,Resultats_jugadores!$B:$B,$C235))</f>
        <v/>
      </c>
      <c r="H235" s="9" t="str">
        <f aca="false">IF($C235="","",N($F235)-N($G235))</f>
        <v/>
      </c>
      <c r="I235" s="9" t="str">
        <f aca="false">IF($C235="","",IFERROR(INDEX(Partits!$C:$C,MATCH($A235&amp;"_"&amp;$D235,Partits!$D:$D,0)),""))</f>
        <v/>
      </c>
      <c r="J235" s="9" t="str">
        <f aca="false">IF($C235="","",IF(AND($I235="V",N($H235)&gt;0),1.2,1))</f>
        <v/>
      </c>
      <c r="K235" s="9" t="str">
        <f aca="false">IF($C235="","",N($H235)*$J235)</f>
        <v/>
      </c>
      <c r="L235" s="9" t="str">
        <f aca="false">IF($C235="","",IF($E235="SI",2,1))</f>
        <v/>
      </c>
      <c r="M235" s="9" t="str">
        <f aca="false">IF($C235="","",$K235*$L235)</f>
        <v/>
      </c>
    </row>
    <row r="236" customFormat="false" ht="15" hidden="false" customHeight="true" outlineLevel="0" collapsed="false">
      <c r="A236" s="9" t="str">
        <f aca="false">IF(Equips_usuari!A236="","",Equips_usuari!A236)</f>
        <v/>
      </c>
      <c r="B236" s="9" t="str">
        <f aca="false">IF(Equips_usuari!B236="","",Equips_usuari!B236)</f>
        <v/>
      </c>
      <c r="C236" s="9" t="str">
        <f aca="false">IF(Equips_usuari!C236="","",Equips_usuari!C236)</f>
        <v/>
      </c>
      <c r="D236" s="9" t="str">
        <f aca="false">IF(Equips_usuari!D236="","",Equips_usuari!D236)</f>
        <v/>
      </c>
      <c r="E236" s="9" t="str">
        <f aca="false">IF(Equips_usuari!F236="","",Equips_usuari!F236)</f>
        <v/>
      </c>
      <c r="F236" s="9" t="str">
        <f aca="false">IF($C236="","",SUMIFS(Resultats_jugadores!$C:$C,Resultats_jugadores!$A:$A,$A236,Resultats_jugadores!$B:$B,$C236))</f>
        <v/>
      </c>
      <c r="G236" s="9" t="str">
        <f aca="false">IF($C236="","",SUMIFS(Resultats_jugadores!$D:$D,Resultats_jugadores!$A:$A,$A236,Resultats_jugadores!$B:$B,$C236))</f>
        <v/>
      </c>
      <c r="H236" s="9" t="str">
        <f aca="false">IF($C236="","",N($F236)-N($G236))</f>
        <v/>
      </c>
      <c r="I236" s="9" t="str">
        <f aca="false">IF($C236="","",IFERROR(INDEX(Partits!$C:$C,MATCH($A236&amp;"_"&amp;$D236,Partits!$D:$D,0)),""))</f>
        <v/>
      </c>
      <c r="J236" s="9" t="str">
        <f aca="false">IF($C236="","",IF(AND($I236="V",N($H236)&gt;0),1.2,1))</f>
        <v/>
      </c>
      <c r="K236" s="9" t="str">
        <f aca="false">IF($C236="","",N($H236)*$J236)</f>
        <v/>
      </c>
      <c r="L236" s="9" t="str">
        <f aca="false">IF($C236="","",IF($E236="SI",2,1))</f>
        <v/>
      </c>
      <c r="M236" s="9" t="str">
        <f aca="false">IF($C236="","",$K236*$L236)</f>
        <v/>
      </c>
    </row>
    <row r="237" customFormat="false" ht="15" hidden="false" customHeight="true" outlineLevel="0" collapsed="false">
      <c r="A237" s="9" t="str">
        <f aca="false">IF(Equips_usuari!A237="","",Equips_usuari!A237)</f>
        <v/>
      </c>
      <c r="B237" s="9" t="str">
        <f aca="false">IF(Equips_usuari!B237="","",Equips_usuari!B237)</f>
        <v/>
      </c>
      <c r="C237" s="9" t="str">
        <f aca="false">IF(Equips_usuari!C237="","",Equips_usuari!C237)</f>
        <v/>
      </c>
      <c r="D237" s="9" t="str">
        <f aca="false">IF(Equips_usuari!D237="","",Equips_usuari!D237)</f>
        <v/>
      </c>
      <c r="E237" s="9" t="str">
        <f aca="false">IF(Equips_usuari!F237="","",Equips_usuari!F237)</f>
        <v/>
      </c>
      <c r="F237" s="9" t="str">
        <f aca="false">IF($C237="","",SUMIFS(Resultats_jugadores!$C:$C,Resultats_jugadores!$A:$A,$A237,Resultats_jugadores!$B:$B,$C237))</f>
        <v/>
      </c>
      <c r="G237" s="9" t="str">
        <f aca="false">IF($C237="","",SUMIFS(Resultats_jugadores!$D:$D,Resultats_jugadores!$A:$A,$A237,Resultats_jugadores!$B:$B,$C237))</f>
        <v/>
      </c>
      <c r="H237" s="9" t="str">
        <f aca="false">IF($C237="","",N($F237)-N($G237))</f>
        <v/>
      </c>
      <c r="I237" s="9" t="str">
        <f aca="false">IF($C237="","",IFERROR(INDEX(Partits!$C:$C,MATCH($A237&amp;"_"&amp;$D237,Partits!$D:$D,0)),""))</f>
        <v/>
      </c>
      <c r="J237" s="9" t="str">
        <f aca="false">IF($C237="","",IF(AND($I237="V",N($H237)&gt;0),1.2,1))</f>
        <v/>
      </c>
      <c r="K237" s="9" t="str">
        <f aca="false">IF($C237="","",N($H237)*$J237)</f>
        <v/>
      </c>
      <c r="L237" s="9" t="str">
        <f aca="false">IF($C237="","",IF($E237="SI",2,1))</f>
        <v/>
      </c>
      <c r="M237" s="9" t="str">
        <f aca="false">IF($C237="","",$K237*$L237)</f>
        <v/>
      </c>
    </row>
    <row r="238" customFormat="false" ht="15" hidden="false" customHeight="true" outlineLevel="0" collapsed="false">
      <c r="A238" s="9" t="str">
        <f aca="false">IF(Equips_usuari!A238="","",Equips_usuari!A238)</f>
        <v/>
      </c>
      <c r="B238" s="9" t="str">
        <f aca="false">IF(Equips_usuari!B238="","",Equips_usuari!B238)</f>
        <v/>
      </c>
      <c r="C238" s="9" t="str">
        <f aca="false">IF(Equips_usuari!C238="","",Equips_usuari!C238)</f>
        <v/>
      </c>
      <c r="D238" s="9" t="str">
        <f aca="false">IF(Equips_usuari!D238="","",Equips_usuari!D238)</f>
        <v/>
      </c>
      <c r="E238" s="9" t="str">
        <f aca="false">IF(Equips_usuari!F238="","",Equips_usuari!F238)</f>
        <v/>
      </c>
      <c r="F238" s="9" t="str">
        <f aca="false">IF($C238="","",SUMIFS(Resultats_jugadores!$C:$C,Resultats_jugadores!$A:$A,$A238,Resultats_jugadores!$B:$B,$C238))</f>
        <v/>
      </c>
      <c r="G238" s="9" t="str">
        <f aca="false">IF($C238="","",SUMIFS(Resultats_jugadores!$D:$D,Resultats_jugadores!$A:$A,$A238,Resultats_jugadores!$B:$B,$C238))</f>
        <v/>
      </c>
      <c r="H238" s="9" t="str">
        <f aca="false">IF($C238="","",N($F238)-N($G238))</f>
        <v/>
      </c>
      <c r="I238" s="9" t="str">
        <f aca="false">IF($C238="","",IFERROR(INDEX(Partits!$C:$C,MATCH($A238&amp;"_"&amp;$D238,Partits!$D:$D,0)),""))</f>
        <v/>
      </c>
      <c r="J238" s="9" t="str">
        <f aca="false">IF($C238="","",IF(AND($I238="V",N($H238)&gt;0),1.2,1))</f>
        <v/>
      </c>
      <c r="K238" s="9" t="str">
        <f aca="false">IF($C238="","",N($H238)*$J238)</f>
        <v/>
      </c>
      <c r="L238" s="9" t="str">
        <f aca="false">IF($C238="","",IF($E238="SI",2,1))</f>
        <v/>
      </c>
      <c r="M238" s="9" t="str">
        <f aca="false">IF($C238="","",$K238*$L238)</f>
        <v/>
      </c>
    </row>
    <row r="239" customFormat="false" ht="15" hidden="false" customHeight="true" outlineLevel="0" collapsed="false">
      <c r="A239" s="9" t="str">
        <f aca="false">IF(Equips_usuari!A239="","",Equips_usuari!A239)</f>
        <v/>
      </c>
      <c r="B239" s="9" t="str">
        <f aca="false">IF(Equips_usuari!B239="","",Equips_usuari!B239)</f>
        <v/>
      </c>
      <c r="C239" s="9" t="str">
        <f aca="false">IF(Equips_usuari!C239="","",Equips_usuari!C239)</f>
        <v/>
      </c>
      <c r="D239" s="9" t="str">
        <f aca="false">IF(Equips_usuari!D239="","",Equips_usuari!D239)</f>
        <v/>
      </c>
      <c r="E239" s="9" t="str">
        <f aca="false">IF(Equips_usuari!F239="","",Equips_usuari!F239)</f>
        <v/>
      </c>
      <c r="F239" s="9" t="str">
        <f aca="false">IF($C239="","",SUMIFS(Resultats_jugadores!$C:$C,Resultats_jugadores!$A:$A,$A239,Resultats_jugadores!$B:$B,$C239))</f>
        <v/>
      </c>
      <c r="G239" s="9" t="str">
        <f aca="false">IF($C239="","",SUMIFS(Resultats_jugadores!$D:$D,Resultats_jugadores!$A:$A,$A239,Resultats_jugadores!$B:$B,$C239))</f>
        <v/>
      </c>
      <c r="H239" s="9" t="str">
        <f aca="false">IF($C239="","",N($F239)-N($G239))</f>
        <v/>
      </c>
      <c r="I239" s="9" t="str">
        <f aca="false">IF($C239="","",IFERROR(INDEX(Partits!$C:$C,MATCH($A239&amp;"_"&amp;$D239,Partits!$D:$D,0)),""))</f>
        <v/>
      </c>
      <c r="J239" s="9" t="str">
        <f aca="false">IF($C239="","",IF(AND($I239="V",N($H239)&gt;0),1.2,1))</f>
        <v/>
      </c>
      <c r="K239" s="9" t="str">
        <f aca="false">IF($C239="","",N($H239)*$J239)</f>
        <v/>
      </c>
      <c r="L239" s="9" t="str">
        <f aca="false">IF($C239="","",IF($E239="SI",2,1))</f>
        <v/>
      </c>
      <c r="M239" s="9" t="str">
        <f aca="false">IF($C239="","",$K239*$L239)</f>
        <v/>
      </c>
    </row>
    <row r="240" customFormat="false" ht="15" hidden="false" customHeight="true" outlineLevel="0" collapsed="false">
      <c r="A240" s="9" t="str">
        <f aca="false">IF(Equips_usuari!A240="","",Equips_usuari!A240)</f>
        <v/>
      </c>
      <c r="B240" s="9" t="str">
        <f aca="false">IF(Equips_usuari!B240="","",Equips_usuari!B240)</f>
        <v/>
      </c>
      <c r="C240" s="9" t="str">
        <f aca="false">IF(Equips_usuari!C240="","",Equips_usuari!C240)</f>
        <v/>
      </c>
      <c r="D240" s="9" t="str">
        <f aca="false">IF(Equips_usuari!D240="","",Equips_usuari!D240)</f>
        <v/>
      </c>
      <c r="E240" s="9" t="str">
        <f aca="false">IF(Equips_usuari!F240="","",Equips_usuari!F240)</f>
        <v/>
      </c>
      <c r="F240" s="9" t="str">
        <f aca="false">IF($C240="","",SUMIFS(Resultats_jugadores!$C:$C,Resultats_jugadores!$A:$A,$A240,Resultats_jugadores!$B:$B,$C240))</f>
        <v/>
      </c>
      <c r="G240" s="9" t="str">
        <f aca="false">IF($C240="","",SUMIFS(Resultats_jugadores!$D:$D,Resultats_jugadores!$A:$A,$A240,Resultats_jugadores!$B:$B,$C240))</f>
        <v/>
      </c>
      <c r="H240" s="9" t="str">
        <f aca="false">IF($C240="","",N($F240)-N($G240))</f>
        <v/>
      </c>
      <c r="I240" s="9" t="str">
        <f aca="false">IF($C240="","",IFERROR(INDEX(Partits!$C:$C,MATCH($A240&amp;"_"&amp;$D240,Partits!$D:$D,0)),""))</f>
        <v/>
      </c>
      <c r="J240" s="9" t="str">
        <f aca="false">IF($C240="","",IF(AND($I240="V",N($H240)&gt;0),1.2,1))</f>
        <v/>
      </c>
      <c r="K240" s="9" t="str">
        <f aca="false">IF($C240="","",N($H240)*$J240)</f>
        <v/>
      </c>
      <c r="L240" s="9" t="str">
        <f aca="false">IF($C240="","",IF($E240="SI",2,1))</f>
        <v/>
      </c>
      <c r="M240" s="9" t="str">
        <f aca="false">IF($C240="","",$K240*$L240)</f>
        <v/>
      </c>
    </row>
    <row r="241" customFormat="false" ht="15" hidden="false" customHeight="true" outlineLevel="0" collapsed="false">
      <c r="A241" s="9" t="str">
        <f aca="false">IF(Equips_usuari!A241="","",Equips_usuari!A241)</f>
        <v/>
      </c>
      <c r="B241" s="9" t="str">
        <f aca="false">IF(Equips_usuari!B241="","",Equips_usuari!B241)</f>
        <v/>
      </c>
      <c r="C241" s="9" t="str">
        <f aca="false">IF(Equips_usuari!C241="","",Equips_usuari!C241)</f>
        <v/>
      </c>
      <c r="D241" s="9" t="str">
        <f aca="false">IF(Equips_usuari!D241="","",Equips_usuari!D241)</f>
        <v/>
      </c>
      <c r="E241" s="9" t="str">
        <f aca="false">IF(Equips_usuari!F241="","",Equips_usuari!F241)</f>
        <v/>
      </c>
      <c r="F241" s="9" t="str">
        <f aca="false">IF($C241="","",SUMIFS(Resultats_jugadores!$C:$C,Resultats_jugadores!$A:$A,$A241,Resultats_jugadores!$B:$B,$C241))</f>
        <v/>
      </c>
      <c r="G241" s="9" t="str">
        <f aca="false">IF($C241="","",SUMIFS(Resultats_jugadores!$D:$D,Resultats_jugadores!$A:$A,$A241,Resultats_jugadores!$B:$B,$C241))</f>
        <v/>
      </c>
      <c r="H241" s="9" t="str">
        <f aca="false">IF($C241="","",N($F241)-N($G241))</f>
        <v/>
      </c>
      <c r="I241" s="9" t="str">
        <f aca="false">IF($C241="","",IFERROR(INDEX(Partits!$C:$C,MATCH($A241&amp;"_"&amp;$D241,Partits!$D:$D,0)),""))</f>
        <v/>
      </c>
      <c r="J241" s="9" t="str">
        <f aca="false">IF($C241="","",IF(AND($I241="V",N($H241)&gt;0),1.2,1))</f>
        <v/>
      </c>
      <c r="K241" s="9" t="str">
        <f aca="false">IF($C241="","",N($H241)*$J241)</f>
        <v/>
      </c>
      <c r="L241" s="9" t="str">
        <f aca="false">IF($C241="","",IF($E241="SI",2,1))</f>
        <v/>
      </c>
      <c r="M241" s="9" t="str">
        <f aca="false">IF($C241="","",$K241*$L241)</f>
        <v/>
      </c>
    </row>
    <row r="242" customFormat="false" ht="15" hidden="false" customHeight="true" outlineLevel="0" collapsed="false">
      <c r="A242" s="9" t="str">
        <f aca="false">IF(Equips_usuari!A242="","",Equips_usuari!A242)</f>
        <v/>
      </c>
      <c r="B242" s="9" t="str">
        <f aca="false">IF(Equips_usuari!B242="","",Equips_usuari!B242)</f>
        <v/>
      </c>
      <c r="C242" s="9" t="str">
        <f aca="false">IF(Equips_usuari!C242="","",Equips_usuari!C242)</f>
        <v/>
      </c>
      <c r="D242" s="9" t="str">
        <f aca="false">IF(Equips_usuari!D242="","",Equips_usuari!D242)</f>
        <v/>
      </c>
      <c r="E242" s="9" t="str">
        <f aca="false">IF(Equips_usuari!F242="","",Equips_usuari!F242)</f>
        <v/>
      </c>
      <c r="F242" s="9" t="str">
        <f aca="false">IF($C242="","",SUMIFS(Resultats_jugadores!$C:$C,Resultats_jugadores!$A:$A,$A242,Resultats_jugadores!$B:$B,$C242))</f>
        <v/>
      </c>
      <c r="G242" s="9" t="str">
        <f aca="false">IF($C242="","",SUMIFS(Resultats_jugadores!$D:$D,Resultats_jugadores!$A:$A,$A242,Resultats_jugadores!$B:$B,$C242))</f>
        <v/>
      </c>
      <c r="H242" s="9" t="str">
        <f aca="false">IF($C242="","",N($F242)-N($G242))</f>
        <v/>
      </c>
      <c r="I242" s="9" t="str">
        <f aca="false">IF($C242="","",IFERROR(INDEX(Partits!$C:$C,MATCH($A242&amp;"_"&amp;$D242,Partits!$D:$D,0)),""))</f>
        <v/>
      </c>
      <c r="J242" s="9" t="str">
        <f aca="false">IF($C242="","",IF(AND($I242="V",N($H242)&gt;0),1.2,1))</f>
        <v/>
      </c>
      <c r="K242" s="9" t="str">
        <f aca="false">IF($C242="","",N($H242)*$J242)</f>
        <v/>
      </c>
      <c r="L242" s="9" t="str">
        <f aca="false">IF($C242="","",IF($E242="SI",2,1))</f>
        <v/>
      </c>
      <c r="M242" s="9" t="str">
        <f aca="false">IF($C242="","",$K242*$L242)</f>
        <v/>
      </c>
    </row>
    <row r="243" customFormat="false" ht="15" hidden="false" customHeight="true" outlineLevel="0" collapsed="false">
      <c r="A243" s="9" t="str">
        <f aca="false">IF(Equips_usuari!A243="","",Equips_usuari!A243)</f>
        <v/>
      </c>
      <c r="B243" s="9" t="str">
        <f aca="false">IF(Equips_usuari!B243="","",Equips_usuari!B243)</f>
        <v/>
      </c>
      <c r="C243" s="9" t="str">
        <f aca="false">IF(Equips_usuari!C243="","",Equips_usuari!C243)</f>
        <v/>
      </c>
      <c r="D243" s="9" t="str">
        <f aca="false">IF(Equips_usuari!D243="","",Equips_usuari!D243)</f>
        <v/>
      </c>
      <c r="E243" s="9" t="str">
        <f aca="false">IF(Equips_usuari!F243="","",Equips_usuari!F243)</f>
        <v/>
      </c>
      <c r="F243" s="9" t="str">
        <f aca="false">IF($C243="","",SUMIFS(Resultats_jugadores!$C:$C,Resultats_jugadores!$A:$A,$A243,Resultats_jugadores!$B:$B,$C243))</f>
        <v/>
      </c>
      <c r="G243" s="9" t="str">
        <f aca="false">IF($C243="","",SUMIFS(Resultats_jugadores!$D:$D,Resultats_jugadores!$A:$A,$A243,Resultats_jugadores!$B:$B,$C243))</f>
        <v/>
      </c>
      <c r="H243" s="9" t="str">
        <f aca="false">IF($C243="","",N($F243)-N($G243))</f>
        <v/>
      </c>
      <c r="I243" s="9" t="str">
        <f aca="false">IF($C243="","",IFERROR(INDEX(Partits!$C:$C,MATCH($A243&amp;"_"&amp;$D243,Partits!$D:$D,0)),""))</f>
        <v/>
      </c>
      <c r="J243" s="9" t="str">
        <f aca="false">IF($C243="","",IF(AND($I243="V",N($H243)&gt;0),1.2,1))</f>
        <v/>
      </c>
      <c r="K243" s="9" t="str">
        <f aca="false">IF($C243="","",N($H243)*$J243)</f>
        <v/>
      </c>
      <c r="L243" s="9" t="str">
        <f aca="false">IF($C243="","",IF($E243="SI",2,1))</f>
        <v/>
      </c>
      <c r="M243" s="9" t="str">
        <f aca="false">IF($C243="","",$K243*$L243)</f>
        <v/>
      </c>
    </row>
    <row r="244" customFormat="false" ht="15" hidden="false" customHeight="true" outlineLevel="0" collapsed="false">
      <c r="A244" s="9" t="str">
        <f aca="false">IF(Equips_usuari!A244="","",Equips_usuari!A244)</f>
        <v/>
      </c>
      <c r="B244" s="9" t="str">
        <f aca="false">IF(Equips_usuari!B244="","",Equips_usuari!B244)</f>
        <v/>
      </c>
      <c r="C244" s="9" t="str">
        <f aca="false">IF(Equips_usuari!C244="","",Equips_usuari!C244)</f>
        <v/>
      </c>
      <c r="D244" s="9" t="str">
        <f aca="false">IF(Equips_usuari!D244="","",Equips_usuari!D244)</f>
        <v/>
      </c>
      <c r="E244" s="9" t="str">
        <f aca="false">IF(Equips_usuari!F244="","",Equips_usuari!F244)</f>
        <v/>
      </c>
      <c r="F244" s="9" t="str">
        <f aca="false">IF($C244="","",SUMIFS(Resultats_jugadores!$C:$C,Resultats_jugadores!$A:$A,$A244,Resultats_jugadores!$B:$B,$C244))</f>
        <v/>
      </c>
      <c r="G244" s="9" t="str">
        <f aca="false">IF($C244="","",SUMIFS(Resultats_jugadores!$D:$D,Resultats_jugadores!$A:$A,$A244,Resultats_jugadores!$B:$B,$C244))</f>
        <v/>
      </c>
      <c r="H244" s="9" t="str">
        <f aca="false">IF($C244="","",N($F244)-N($G244))</f>
        <v/>
      </c>
      <c r="I244" s="9" t="str">
        <f aca="false">IF($C244="","",IFERROR(INDEX(Partits!$C:$C,MATCH($A244&amp;"_"&amp;$D244,Partits!$D:$D,0)),""))</f>
        <v/>
      </c>
      <c r="J244" s="9" t="str">
        <f aca="false">IF($C244="","",IF(AND($I244="V",N($H244)&gt;0),1.2,1))</f>
        <v/>
      </c>
      <c r="K244" s="9" t="str">
        <f aca="false">IF($C244="","",N($H244)*$J244)</f>
        <v/>
      </c>
      <c r="L244" s="9" t="str">
        <f aca="false">IF($C244="","",IF($E244="SI",2,1))</f>
        <v/>
      </c>
      <c r="M244" s="9" t="str">
        <f aca="false">IF($C244="","",$K244*$L244)</f>
        <v/>
      </c>
    </row>
    <row r="245" customFormat="false" ht="15" hidden="false" customHeight="true" outlineLevel="0" collapsed="false">
      <c r="A245" s="9" t="str">
        <f aca="false">IF(Equips_usuari!A245="","",Equips_usuari!A245)</f>
        <v/>
      </c>
      <c r="B245" s="9" t="str">
        <f aca="false">IF(Equips_usuari!B245="","",Equips_usuari!B245)</f>
        <v/>
      </c>
      <c r="C245" s="9" t="str">
        <f aca="false">IF(Equips_usuari!C245="","",Equips_usuari!C245)</f>
        <v/>
      </c>
      <c r="D245" s="9" t="str">
        <f aca="false">IF(Equips_usuari!D245="","",Equips_usuari!D245)</f>
        <v/>
      </c>
      <c r="E245" s="9" t="str">
        <f aca="false">IF(Equips_usuari!F245="","",Equips_usuari!F245)</f>
        <v/>
      </c>
      <c r="F245" s="9" t="str">
        <f aca="false">IF($C245="","",SUMIFS(Resultats_jugadores!$C:$C,Resultats_jugadores!$A:$A,$A245,Resultats_jugadores!$B:$B,$C245))</f>
        <v/>
      </c>
      <c r="G245" s="9" t="str">
        <f aca="false">IF($C245="","",SUMIFS(Resultats_jugadores!$D:$D,Resultats_jugadores!$A:$A,$A245,Resultats_jugadores!$B:$B,$C245))</f>
        <v/>
      </c>
      <c r="H245" s="9" t="str">
        <f aca="false">IF($C245="","",N($F245)-N($G245))</f>
        <v/>
      </c>
      <c r="I245" s="9" t="str">
        <f aca="false">IF($C245="","",IFERROR(INDEX(Partits!$C:$C,MATCH($A245&amp;"_"&amp;$D245,Partits!$D:$D,0)),""))</f>
        <v/>
      </c>
      <c r="J245" s="9" t="str">
        <f aca="false">IF($C245="","",IF(AND($I245="V",N($H245)&gt;0),1.2,1))</f>
        <v/>
      </c>
      <c r="K245" s="9" t="str">
        <f aca="false">IF($C245="","",N($H245)*$J245)</f>
        <v/>
      </c>
      <c r="L245" s="9" t="str">
        <f aca="false">IF($C245="","",IF($E245="SI",2,1))</f>
        <v/>
      </c>
      <c r="M245" s="9" t="str">
        <f aca="false">IF($C245="","",$K245*$L245)</f>
        <v/>
      </c>
    </row>
    <row r="246" customFormat="false" ht="15" hidden="false" customHeight="true" outlineLevel="0" collapsed="false">
      <c r="A246" s="9" t="str">
        <f aca="false">IF(Equips_usuari!A246="","",Equips_usuari!A246)</f>
        <v/>
      </c>
      <c r="B246" s="9" t="str">
        <f aca="false">IF(Equips_usuari!B246="","",Equips_usuari!B246)</f>
        <v/>
      </c>
      <c r="C246" s="9" t="str">
        <f aca="false">IF(Equips_usuari!C246="","",Equips_usuari!C246)</f>
        <v/>
      </c>
      <c r="D246" s="9" t="str">
        <f aca="false">IF(Equips_usuari!D246="","",Equips_usuari!D246)</f>
        <v/>
      </c>
      <c r="E246" s="9" t="str">
        <f aca="false">IF(Equips_usuari!F246="","",Equips_usuari!F246)</f>
        <v/>
      </c>
      <c r="F246" s="9" t="str">
        <f aca="false">IF($C246="","",SUMIFS(Resultats_jugadores!$C:$C,Resultats_jugadores!$A:$A,$A246,Resultats_jugadores!$B:$B,$C246))</f>
        <v/>
      </c>
      <c r="G246" s="9" t="str">
        <f aca="false">IF($C246="","",SUMIFS(Resultats_jugadores!$D:$D,Resultats_jugadores!$A:$A,$A246,Resultats_jugadores!$B:$B,$C246))</f>
        <v/>
      </c>
      <c r="H246" s="9" t="str">
        <f aca="false">IF($C246="","",N($F246)-N($G246))</f>
        <v/>
      </c>
      <c r="I246" s="9" t="str">
        <f aca="false">IF($C246="","",IFERROR(INDEX(Partits!$C:$C,MATCH($A246&amp;"_"&amp;$D246,Partits!$D:$D,0)),""))</f>
        <v/>
      </c>
      <c r="J246" s="9" t="str">
        <f aca="false">IF($C246="","",IF(AND($I246="V",N($H246)&gt;0),1.2,1))</f>
        <v/>
      </c>
      <c r="K246" s="9" t="str">
        <f aca="false">IF($C246="","",N($H246)*$J246)</f>
        <v/>
      </c>
      <c r="L246" s="9" t="str">
        <f aca="false">IF($C246="","",IF($E246="SI",2,1))</f>
        <v/>
      </c>
      <c r="M246" s="9" t="str">
        <f aca="false">IF($C246="","",$K246*$L246)</f>
        <v/>
      </c>
    </row>
    <row r="247" customFormat="false" ht="15" hidden="false" customHeight="true" outlineLevel="0" collapsed="false">
      <c r="A247" s="9" t="str">
        <f aca="false">IF(Equips_usuari!A247="","",Equips_usuari!A247)</f>
        <v/>
      </c>
      <c r="B247" s="9" t="str">
        <f aca="false">IF(Equips_usuari!B247="","",Equips_usuari!B247)</f>
        <v/>
      </c>
      <c r="C247" s="9" t="str">
        <f aca="false">IF(Equips_usuari!C247="","",Equips_usuari!C247)</f>
        <v/>
      </c>
      <c r="D247" s="9" t="str">
        <f aca="false">IF(Equips_usuari!D247="","",Equips_usuari!D247)</f>
        <v/>
      </c>
      <c r="E247" s="9" t="str">
        <f aca="false">IF(Equips_usuari!F247="","",Equips_usuari!F247)</f>
        <v/>
      </c>
      <c r="F247" s="9" t="str">
        <f aca="false">IF($C247="","",SUMIFS(Resultats_jugadores!$C:$C,Resultats_jugadores!$A:$A,$A247,Resultats_jugadores!$B:$B,$C247))</f>
        <v/>
      </c>
      <c r="G247" s="9" t="str">
        <f aca="false">IF($C247="","",SUMIFS(Resultats_jugadores!$D:$D,Resultats_jugadores!$A:$A,$A247,Resultats_jugadores!$B:$B,$C247))</f>
        <v/>
      </c>
      <c r="H247" s="9" t="str">
        <f aca="false">IF($C247="","",N($F247)-N($G247))</f>
        <v/>
      </c>
      <c r="I247" s="9" t="str">
        <f aca="false">IF($C247="","",IFERROR(INDEX(Partits!$C:$C,MATCH($A247&amp;"_"&amp;$D247,Partits!$D:$D,0)),""))</f>
        <v/>
      </c>
      <c r="J247" s="9" t="str">
        <f aca="false">IF($C247="","",IF(AND($I247="V",N($H247)&gt;0),1.2,1))</f>
        <v/>
      </c>
      <c r="K247" s="9" t="str">
        <f aca="false">IF($C247="","",N($H247)*$J247)</f>
        <v/>
      </c>
      <c r="L247" s="9" t="str">
        <f aca="false">IF($C247="","",IF($E247="SI",2,1))</f>
        <v/>
      </c>
      <c r="M247" s="9" t="str">
        <f aca="false">IF($C247="","",$K247*$L247)</f>
        <v/>
      </c>
    </row>
    <row r="248" customFormat="false" ht="15" hidden="false" customHeight="true" outlineLevel="0" collapsed="false">
      <c r="A248" s="9" t="str">
        <f aca="false">IF(Equips_usuari!A248="","",Equips_usuari!A248)</f>
        <v/>
      </c>
      <c r="B248" s="9" t="str">
        <f aca="false">IF(Equips_usuari!B248="","",Equips_usuari!B248)</f>
        <v/>
      </c>
      <c r="C248" s="9" t="str">
        <f aca="false">IF(Equips_usuari!C248="","",Equips_usuari!C248)</f>
        <v/>
      </c>
      <c r="D248" s="9" t="str">
        <f aca="false">IF(Equips_usuari!D248="","",Equips_usuari!D248)</f>
        <v/>
      </c>
      <c r="E248" s="9" t="str">
        <f aca="false">IF(Equips_usuari!F248="","",Equips_usuari!F248)</f>
        <v/>
      </c>
      <c r="F248" s="9" t="str">
        <f aca="false">IF($C248="","",SUMIFS(Resultats_jugadores!$C:$C,Resultats_jugadores!$A:$A,$A248,Resultats_jugadores!$B:$B,$C248))</f>
        <v/>
      </c>
      <c r="G248" s="9" t="str">
        <f aca="false">IF($C248="","",SUMIFS(Resultats_jugadores!$D:$D,Resultats_jugadores!$A:$A,$A248,Resultats_jugadores!$B:$B,$C248))</f>
        <v/>
      </c>
      <c r="H248" s="9" t="str">
        <f aca="false">IF($C248="","",N($F248)-N($G248))</f>
        <v/>
      </c>
      <c r="I248" s="9" t="str">
        <f aca="false">IF($C248="","",IFERROR(INDEX(Partits!$C:$C,MATCH($A248&amp;"_"&amp;$D248,Partits!$D:$D,0)),""))</f>
        <v/>
      </c>
      <c r="J248" s="9" t="str">
        <f aca="false">IF($C248="","",IF(AND($I248="V",N($H248)&gt;0),1.2,1))</f>
        <v/>
      </c>
      <c r="K248" s="9" t="str">
        <f aca="false">IF($C248="","",N($H248)*$J248)</f>
        <v/>
      </c>
      <c r="L248" s="9" t="str">
        <f aca="false">IF($C248="","",IF($E248="SI",2,1))</f>
        <v/>
      </c>
      <c r="M248" s="9" t="str">
        <f aca="false">IF($C248="","",$K248*$L248)</f>
        <v/>
      </c>
    </row>
    <row r="249" customFormat="false" ht="15" hidden="false" customHeight="true" outlineLevel="0" collapsed="false">
      <c r="A249" s="9" t="str">
        <f aca="false">IF(Equips_usuari!A249="","",Equips_usuari!A249)</f>
        <v/>
      </c>
      <c r="B249" s="9" t="str">
        <f aca="false">IF(Equips_usuari!B249="","",Equips_usuari!B249)</f>
        <v/>
      </c>
      <c r="C249" s="9" t="str">
        <f aca="false">IF(Equips_usuari!C249="","",Equips_usuari!C249)</f>
        <v/>
      </c>
      <c r="D249" s="9" t="str">
        <f aca="false">IF(Equips_usuari!D249="","",Equips_usuari!D249)</f>
        <v/>
      </c>
      <c r="E249" s="9" t="str">
        <f aca="false">IF(Equips_usuari!F249="","",Equips_usuari!F249)</f>
        <v/>
      </c>
      <c r="F249" s="9" t="str">
        <f aca="false">IF($C249="","",SUMIFS(Resultats_jugadores!$C:$C,Resultats_jugadores!$A:$A,$A249,Resultats_jugadores!$B:$B,$C249))</f>
        <v/>
      </c>
      <c r="G249" s="9" t="str">
        <f aca="false">IF($C249="","",SUMIFS(Resultats_jugadores!$D:$D,Resultats_jugadores!$A:$A,$A249,Resultats_jugadores!$B:$B,$C249))</f>
        <v/>
      </c>
      <c r="H249" s="9" t="str">
        <f aca="false">IF($C249="","",N($F249)-N($G249))</f>
        <v/>
      </c>
      <c r="I249" s="9" t="str">
        <f aca="false">IF($C249="","",IFERROR(INDEX(Partits!$C:$C,MATCH($A249&amp;"_"&amp;$D249,Partits!$D:$D,0)),""))</f>
        <v/>
      </c>
      <c r="J249" s="9" t="str">
        <f aca="false">IF($C249="","",IF(AND($I249="V",N($H249)&gt;0),1.2,1))</f>
        <v/>
      </c>
      <c r="K249" s="9" t="str">
        <f aca="false">IF($C249="","",N($H249)*$J249)</f>
        <v/>
      </c>
      <c r="L249" s="9" t="str">
        <f aca="false">IF($C249="","",IF($E249="SI",2,1))</f>
        <v/>
      </c>
      <c r="M249" s="9" t="str">
        <f aca="false">IF($C249="","",$K249*$L249)</f>
        <v/>
      </c>
    </row>
    <row r="250" customFormat="false" ht="15" hidden="false" customHeight="true" outlineLevel="0" collapsed="false">
      <c r="A250" s="9" t="str">
        <f aca="false">IF(Equips_usuari!A250="","",Equips_usuari!A250)</f>
        <v/>
      </c>
      <c r="B250" s="9" t="str">
        <f aca="false">IF(Equips_usuari!B250="","",Equips_usuari!B250)</f>
        <v/>
      </c>
      <c r="C250" s="9" t="str">
        <f aca="false">IF(Equips_usuari!C250="","",Equips_usuari!C250)</f>
        <v/>
      </c>
      <c r="D250" s="9" t="str">
        <f aca="false">IF(Equips_usuari!D250="","",Equips_usuari!D250)</f>
        <v/>
      </c>
      <c r="E250" s="9" t="str">
        <f aca="false">IF(Equips_usuari!F250="","",Equips_usuari!F250)</f>
        <v/>
      </c>
      <c r="F250" s="9" t="str">
        <f aca="false">IF($C250="","",SUMIFS(Resultats_jugadores!$C:$C,Resultats_jugadores!$A:$A,$A250,Resultats_jugadores!$B:$B,$C250))</f>
        <v/>
      </c>
      <c r="G250" s="9" t="str">
        <f aca="false">IF($C250="","",SUMIFS(Resultats_jugadores!$D:$D,Resultats_jugadores!$A:$A,$A250,Resultats_jugadores!$B:$B,$C250))</f>
        <v/>
      </c>
      <c r="H250" s="9" t="str">
        <f aca="false">IF($C250="","",N($F250)-N($G250))</f>
        <v/>
      </c>
      <c r="I250" s="9" t="str">
        <f aca="false">IF($C250="","",IFERROR(INDEX(Partits!$C:$C,MATCH($A250&amp;"_"&amp;$D250,Partits!$D:$D,0)),""))</f>
        <v/>
      </c>
      <c r="J250" s="9" t="str">
        <f aca="false">IF($C250="","",IF(AND($I250="V",N($H250)&gt;0),1.2,1))</f>
        <v/>
      </c>
      <c r="K250" s="9" t="str">
        <f aca="false">IF($C250="","",N($H250)*$J250)</f>
        <v/>
      </c>
      <c r="L250" s="9" t="str">
        <f aca="false">IF($C250="","",IF($E250="SI",2,1))</f>
        <v/>
      </c>
      <c r="M250" s="9" t="str">
        <f aca="false">IF($C250="","",$K250*$L250)</f>
        <v/>
      </c>
    </row>
    <row r="251" customFormat="false" ht="15" hidden="false" customHeight="true" outlineLevel="0" collapsed="false">
      <c r="A251" s="9" t="str">
        <f aca="false">IF(Equips_usuari!A251="","",Equips_usuari!A251)</f>
        <v/>
      </c>
      <c r="B251" s="9" t="str">
        <f aca="false">IF(Equips_usuari!B251="","",Equips_usuari!B251)</f>
        <v/>
      </c>
      <c r="C251" s="9" t="str">
        <f aca="false">IF(Equips_usuari!C251="","",Equips_usuari!C251)</f>
        <v/>
      </c>
      <c r="D251" s="9" t="str">
        <f aca="false">IF(Equips_usuari!D251="","",Equips_usuari!D251)</f>
        <v/>
      </c>
      <c r="E251" s="9" t="str">
        <f aca="false">IF(Equips_usuari!F251="","",Equips_usuari!F251)</f>
        <v/>
      </c>
      <c r="F251" s="9" t="str">
        <f aca="false">IF($C251="","",SUMIFS(Resultats_jugadores!$C:$C,Resultats_jugadores!$A:$A,$A251,Resultats_jugadores!$B:$B,$C251))</f>
        <v/>
      </c>
      <c r="G251" s="9" t="str">
        <f aca="false">IF($C251="","",SUMIFS(Resultats_jugadores!$D:$D,Resultats_jugadores!$A:$A,$A251,Resultats_jugadores!$B:$B,$C251))</f>
        <v/>
      </c>
      <c r="H251" s="9" t="str">
        <f aca="false">IF($C251="","",N($F251)-N($G251))</f>
        <v/>
      </c>
      <c r="I251" s="9" t="str">
        <f aca="false">IF($C251="","",IFERROR(INDEX(Partits!$C:$C,MATCH($A251&amp;"_"&amp;$D251,Partits!$D:$D,0)),""))</f>
        <v/>
      </c>
      <c r="J251" s="9" t="str">
        <f aca="false">IF($C251="","",IF(AND($I251="V",N($H251)&gt;0),1.2,1))</f>
        <v/>
      </c>
      <c r="K251" s="9" t="str">
        <f aca="false">IF($C251="","",N($H251)*$J251)</f>
        <v/>
      </c>
      <c r="L251" s="9" t="str">
        <f aca="false">IF($C251="","",IF($E251="SI",2,1))</f>
        <v/>
      </c>
      <c r="M251" s="9" t="str">
        <f aca="false">IF($C251="","",$K251*$L251)</f>
        <v/>
      </c>
    </row>
    <row r="252" customFormat="false" ht="15" hidden="false" customHeight="true" outlineLevel="0" collapsed="false">
      <c r="A252" s="9" t="str">
        <f aca="false">IF(Equips_usuari!A252="","",Equips_usuari!A252)</f>
        <v/>
      </c>
      <c r="B252" s="9" t="str">
        <f aca="false">IF(Equips_usuari!B252="","",Equips_usuari!B252)</f>
        <v/>
      </c>
      <c r="C252" s="9" t="str">
        <f aca="false">IF(Equips_usuari!C252="","",Equips_usuari!C252)</f>
        <v/>
      </c>
      <c r="D252" s="9" t="str">
        <f aca="false">IF(Equips_usuari!D252="","",Equips_usuari!D252)</f>
        <v/>
      </c>
      <c r="E252" s="9" t="str">
        <f aca="false">IF(Equips_usuari!F252="","",Equips_usuari!F252)</f>
        <v/>
      </c>
      <c r="F252" s="9" t="str">
        <f aca="false">IF($C252="","",SUMIFS(Resultats_jugadores!$C:$C,Resultats_jugadores!$A:$A,$A252,Resultats_jugadores!$B:$B,$C252))</f>
        <v/>
      </c>
      <c r="G252" s="9" t="str">
        <f aca="false">IF($C252="","",SUMIFS(Resultats_jugadores!$D:$D,Resultats_jugadores!$A:$A,$A252,Resultats_jugadores!$B:$B,$C252))</f>
        <v/>
      </c>
      <c r="H252" s="9" t="str">
        <f aca="false">IF($C252="","",N($F252)-N($G252))</f>
        <v/>
      </c>
      <c r="I252" s="9" t="str">
        <f aca="false">IF($C252="","",IFERROR(INDEX(Partits!$C:$C,MATCH($A252&amp;"_"&amp;$D252,Partits!$D:$D,0)),""))</f>
        <v/>
      </c>
      <c r="J252" s="9" t="str">
        <f aca="false">IF($C252="","",IF(AND($I252="V",N($H252)&gt;0),1.2,1))</f>
        <v/>
      </c>
      <c r="K252" s="9" t="str">
        <f aca="false">IF($C252="","",N($H252)*$J252)</f>
        <v/>
      </c>
      <c r="L252" s="9" t="str">
        <f aca="false">IF($C252="","",IF($E252="SI",2,1))</f>
        <v/>
      </c>
      <c r="M252" s="9" t="str">
        <f aca="false">IF($C252="","",$K252*$L252)</f>
        <v/>
      </c>
    </row>
    <row r="253" customFormat="false" ht="15" hidden="false" customHeight="true" outlineLevel="0" collapsed="false">
      <c r="A253" s="9" t="str">
        <f aca="false">IF(Equips_usuari!A253="","",Equips_usuari!A253)</f>
        <v/>
      </c>
      <c r="B253" s="9" t="str">
        <f aca="false">IF(Equips_usuari!B253="","",Equips_usuari!B253)</f>
        <v/>
      </c>
      <c r="C253" s="9" t="str">
        <f aca="false">IF(Equips_usuari!C253="","",Equips_usuari!C253)</f>
        <v/>
      </c>
      <c r="D253" s="9" t="str">
        <f aca="false">IF(Equips_usuari!D253="","",Equips_usuari!D253)</f>
        <v/>
      </c>
      <c r="E253" s="9" t="str">
        <f aca="false">IF(Equips_usuari!F253="","",Equips_usuari!F253)</f>
        <v/>
      </c>
      <c r="F253" s="9" t="str">
        <f aca="false">IF($C253="","",SUMIFS(Resultats_jugadores!$C:$C,Resultats_jugadores!$A:$A,$A253,Resultats_jugadores!$B:$B,$C253))</f>
        <v/>
      </c>
      <c r="G253" s="9" t="str">
        <f aca="false">IF($C253="","",SUMIFS(Resultats_jugadores!$D:$D,Resultats_jugadores!$A:$A,$A253,Resultats_jugadores!$B:$B,$C253))</f>
        <v/>
      </c>
      <c r="H253" s="9" t="str">
        <f aca="false">IF($C253="","",N($F253)-N($G253))</f>
        <v/>
      </c>
      <c r="I253" s="9" t="str">
        <f aca="false">IF($C253="","",IFERROR(INDEX(Partits!$C:$C,MATCH($A253&amp;"_"&amp;$D253,Partits!$D:$D,0)),""))</f>
        <v/>
      </c>
      <c r="J253" s="9" t="str">
        <f aca="false">IF($C253="","",IF(AND($I253="V",N($H253)&gt;0),1.2,1))</f>
        <v/>
      </c>
      <c r="K253" s="9" t="str">
        <f aca="false">IF($C253="","",N($H253)*$J253)</f>
        <v/>
      </c>
      <c r="L253" s="9" t="str">
        <f aca="false">IF($C253="","",IF($E253="SI",2,1))</f>
        <v/>
      </c>
      <c r="M253" s="9" t="str">
        <f aca="false">IF($C253="","",$K253*$L253)</f>
        <v/>
      </c>
    </row>
    <row r="254" customFormat="false" ht="15" hidden="false" customHeight="true" outlineLevel="0" collapsed="false">
      <c r="A254" s="9" t="str">
        <f aca="false">IF(Equips_usuari!A254="","",Equips_usuari!A254)</f>
        <v/>
      </c>
      <c r="B254" s="9" t="str">
        <f aca="false">IF(Equips_usuari!B254="","",Equips_usuari!B254)</f>
        <v/>
      </c>
      <c r="C254" s="9" t="str">
        <f aca="false">IF(Equips_usuari!C254="","",Equips_usuari!C254)</f>
        <v/>
      </c>
      <c r="D254" s="9" t="str">
        <f aca="false">IF(Equips_usuari!D254="","",Equips_usuari!D254)</f>
        <v/>
      </c>
      <c r="E254" s="9" t="str">
        <f aca="false">IF(Equips_usuari!F254="","",Equips_usuari!F254)</f>
        <v/>
      </c>
      <c r="F254" s="9" t="str">
        <f aca="false">IF($C254="","",SUMIFS(Resultats_jugadores!$C:$C,Resultats_jugadores!$A:$A,$A254,Resultats_jugadores!$B:$B,$C254))</f>
        <v/>
      </c>
      <c r="G254" s="9" t="str">
        <f aca="false">IF($C254="","",SUMIFS(Resultats_jugadores!$D:$D,Resultats_jugadores!$A:$A,$A254,Resultats_jugadores!$B:$B,$C254))</f>
        <v/>
      </c>
      <c r="H254" s="9" t="str">
        <f aca="false">IF($C254="","",N($F254)-N($G254))</f>
        <v/>
      </c>
      <c r="I254" s="9" t="str">
        <f aca="false">IF($C254="","",IFERROR(INDEX(Partits!$C:$C,MATCH($A254&amp;"_"&amp;$D254,Partits!$D:$D,0)),""))</f>
        <v/>
      </c>
      <c r="J254" s="9" t="str">
        <f aca="false">IF($C254="","",IF(AND($I254="V",N($H254)&gt;0),1.2,1))</f>
        <v/>
      </c>
      <c r="K254" s="9" t="str">
        <f aca="false">IF($C254="","",N($H254)*$J254)</f>
        <v/>
      </c>
      <c r="L254" s="9" t="str">
        <f aca="false">IF($C254="","",IF($E254="SI",2,1))</f>
        <v/>
      </c>
      <c r="M254" s="9" t="str">
        <f aca="false">IF($C254="","",$K254*$L254)</f>
        <v/>
      </c>
    </row>
    <row r="255" customFormat="false" ht="15" hidden="false" customHeight="true" outlineLevel="0" collapsed="false">
      <c r="A255" s="9" t="str">
        <f aca="false">IF(Equips_usuari!A255="","",Equips_usuari!A255)</f>
        <v/>
      </c>
      <c r="B255" s="9" t="str">
        <f aca="false">IF(Equips_usuari!B255="","",Equips_usuari!B255)</f>
        <v/>
      </c>
      <c r="C255" s="9" t="str">
        <f aca="false">IF(Equips_usuari!C255="","",Equips_usuari!C255)</f>
        <v/>
      </c>
      <c r="D255" s="9" t="str">
        <f aca="false">IF(Equips_usuari!D255="","",Equips_usuari!D255)</f>
        <v/>
      </c>
      <c r="E255" s="9" t="str">
        <f aca="false">IF(Equips_usuari!F255="","",Equips_usuari!F255)</f>
        <v/>
      </c>
      <c r="F255" s="9" t="str">
        <f aca="false">IF($C255="","",SUMIFS(Resultats_jugadores!$C:$C,Resultats_jugadores!$A:$A,$A255,Resultats_jugadores!$B:$B,$C255))</f>
        <v/>
      </c>
      <c r="G255" s="9" t="str">
        <f aca="false">IF($C255="","",SUMIFS(Resultats_jugadores!$D:$D,Resultats_jugadores!$A:$A,$A255,Resultats_jugadores!$B:$B,$C255))</f>
        <v/>
      </c>
      <c r="H255" s="9" t="str">
        <f aca="false">IF($C255="","",N($F255)-N($G255))</f>
        <v/>
      </c>
      <c r="I255" s="9" t="str">
        <f aca="false">IF($C255="","",IFERROR(INDEX(Partits!$C:$C,MATCH($A255&amp;"_"&amp;$D255,Partits!$D:$D,0)),""))</f>
        <v/>
      </c>
      <c r="J255" s="9" t="str">
        <f aca="false">IF($C255="","",IF(AND($I255="V",N($H255)&gt;0),1.2,1))</f>
        <v/>
      </c>
      <c r="K255" s="9" t="str">
        <f aca="false">IF($C255="","",N($H255)*$J255)</f>
        <v/>
      </c>
      <c r="L255" s="9" t="str">
        <f aca="false">IF($C255="","",IF($E255="SI",2,1))</f>
        <v/>
      </c>
      <c r="M255" s="9" t="str">
        <f aca="false">IF($C255="","",$K255*$L255)</f>
        <v/>
      </c>
    </row>
    <row r="256" customFormat="false" ht="15" hidden="false" customHeight="true" outlineLevel="0" collapsed="false">
      <c r="A256" s="9" t="str">
        <f aca="false">IF(Equips_usuari!A256="","",Equips_usuari!A256)</f>
        <v/>
      </c>
      <c r="B256" s="9" t="str">
        <f aca="false">IF(Equips_usuari!B256="","",Equips_usuari!B256)</f>
        <v/>
      </c>
      <c r="C256" s="9" t="str">
        <f aca="false">IF(Equips_usuari!C256="","",Equips_usuari!C256)</f>
        <v/>
      </c>
      <c r="D256" s="9" t="str">
        <f aca="false">IF(Equips_usuari!D256="","",Equips_usuari!D256)</f>
        <v/>
      </c>
      <c r="E256" s="9" t="str">
        <f aca="false">IF(Equips_usuari!F256="","",Equips_usuari!F256)</f>
        <v/>
      </c>
      <c r="F256" s="9" t="str">
        <f aca="false">IF($C256="","",SUMIFS(Resultats_jugadores!$C:$C,Resultats_jugadores!$A:$A,$A256,Resultats_jugadores!$B:$B,$C256))</f>
        <v/>
      </c>
      <c r="G256" s="9" t="str">
        <f aca="false">IF($C256="","",SUMIFS(Resultats_jugadores!$D:$D,Resultats_jugadores!$A:$A,$A256,Resultats_jugadores!$B:$B,$C256))</f>
        <v/>
      </c>
      <c r="H256" s="9" t="str">
        <f aca="false">IF($C256="","",N($F256)-N($G256))</f>
        <v/>
      </c>
      <c r="I256" s="9" t="str">
        <f aca="false">IF($C256="","",IFERROR(INDEX(Partits!$C:$C,MATCH($A256&amp;"_"&amp;$D256,Partits!$D:$D,0)),""))</f>
        <v/>
      </c>
      <c r="J256" s="9" t="str">
        <f aca="false">IF($C256="","",IF(AND($I256="V",N($H256)&gt;0),1.2,1))</f>
        <v/>
      </c>
      <c r="K256" s="9" t="str">
        <f aca="false">IF($C256="","",N($H256)*$J256)</f>
        <v/>
      </c>
      <c r="L256" s="9" t="str">
        <f aca="false">IF($C256="","",IF($E256="SI",2,1))</f>
        <v/>
      </c>
      <c r="M256" s="9" t="str">
        <f aca="false">IF($C256="","",$K256*$L256)</f>
        <v/>
      </c>
    </row>
    <row r="257" customFormat="false" ht="15" hidden="false" customHeight="true" outlineLevel="0" collapsed="false">
      <c r="A257" s="9" t="str">
        <f aca="false">IF(Equips_usuari!A257="","",Equips_usuari!A257)</f>
        <v/>
      </c>
      <c r="B257" s="9" t="str">
        <f aca="false">IF(Equips_usuari!B257="","",Equips_usuari!B257)</f>
        <v/>
      </c>
      <c r="C257" s="9" t="str">
        <f aca="false">IF(Equips_usuari!C257="","",Equips_usuari!C257)</f>
        <v/>
      </c>
      <c r="D257" s="9" t="str">
        <f aca="false">IF(Equips_usuari!D257="","",Equips_usuari!D257)</f>
        <v/>
      </c>
      <c r="E257" s="9" t="str">
        <f aca="false">IF(Equips_usuari!F257="","",Equips_usuari!F257)</f>
        <v/>
      </c>
      <c r="F257" s="9" t="str">
        <f aca="false">IF($C257="","",SUMIFS(Resultats_jugadores!$C:$C,Resultats_jugadores!$A:$A,$A257,Resultats_jugadores!$B:$B,$C257))</f>
        <v/>
      </c>
      <c r="G257" s="9" t="str">
        <f aca="false">IF($C257="","",SUMIFS(Resultats_jugadores!$D:$D,Resultats_jugadores!$A:$A,$A257,Resultats_jugadores!$B:$B,$C257))</f>
        <v/>
      </c>
      <c r="H257" s="9" t="str">
        <f aca="false">IF($C257="","",N($F257)-N($G257))</f>
        <v/>
      </c>
      <c r="I257" s="9" t="str">
        <f aca="false">IF($C257="","",IFERROR(INDEX(Partits!$C:$C,MATCH($A257&amp;"_"&amp;$D257,Partits!$D:$D,0)),""))</f>
        <v/>
      </c>
      <c r="J257" s="9" t="str">
        <f aca="false">IF($C257="","",IF(AND($I257="V",N($H257)&gt;0),1.2,1))</f>
        <v/>
      </c>
      <c r="K257" s="9" t="str">
        <f aca="false">IF($C257="","",N($H257)*$J257)</f>
        <v/>
      </c>
      <c r="L257" s="9" t="str">
        <f aca="false">IF($C257="","",IF($E257="SI",2,1))</f>
        <v/>
      </c>
      <c r="M257" s="9" t="str">
        <f aca="false">IF($C257="","",$K257*$L257)</f>
        <v/>
      </c>
    </row>
    <row r="258" customFormat="false" ht="15" hidden="false" customHeight="true" outlineLevel="0" collapsed="false">
      <c r="A258" s="9" t="str">
        <f aca="false">IF(Equips_usuari!A258="","",Equips_usuari!A258)</f>
        <v/>
      </c>
      <c r="B258" s="9" t="str">
        <f aca="false">IF(Equips_usuari!B258="","",Equips_usuari!B258)</f>
        <v/>
      </c>
      <c r="C258" s="9" t="str">
        <f aca="false">IF(Equips_usuari!C258="","",Equips_usuari!C258)</f>
        <v/>
      </c>
      <c r="D258" s="9" t="str">
        <f aca="false">IF(Equips_usuari!D258="","",Equips_usuari!D258)</f>
        <v/>
      </c>
      <c r="E258" s="9" t="str">
        <f aca="false">IF(Equips_usuari!F258="","",Equips_usuari!F258)</f>
        <v/>
      </c>
      <c r="F258" s="9" t="str">
        <f aca="false">IF($C258="","",SUMIFS(Resultats_jugadores!$C:$C,Resultats_jugadores!$A:$A,$A258,Resultats_jugadores!$B:$B,$C258))</f>
        <v/>
      </c>
      <c r="G258" s="9" t="str">
        <f aca="false">IF($C258="","",SUMIFS(Resultats_jugadores!$D:$D,Resultats_jugadores!$A:$A,$A258,Resultats_jugadores!$B:$B,$C258))</f>
        <v/>
      </c>
      <c r="H258" s="9" t="str">
        <f aca="false">IF($C258="","",N($F258)-N($G258))</f>
        <v/>
      </c>
      <c r="I258" s="9" t="str">
        <f aca="false">IF($C258="","",IFERROR(INDEX(Partits!$C:$C,MATCH($A258&amp;"_"&amp;$D258,Partits!$D:$D,0)),""))</f>
        <v/>
      </c>
      <c r="J258" s="9" t="str">
        <f aca="false">IF($C258="","",IF(AND($I258="V",N($H258)&gt;0),1.2,1))</f>
        <v/>
      </c>
      <c r="K258" s="9" t="str">
        <f aca="false">IF($C258="","",N($H258)*$J258)</f>
        <v/>
      </c>
      <c r="L258" s="9" t="str">
        <f aca="false">IF($C258="","",IF($E258="SI",2,1))</f>
        <v/>
      </c>
      <c r="M258" s="9" t="str">
        <f aca="false">IF($C258="","",$K258*$L258)</f>
        <v/>
      </c>
    </row>
    <row r="259" customFormat="false" ht="15" hidden="false" customHeight="true" outlineLevel="0" collapsed="false">
      <c r="A259" s="9" t="str">
        <f aca="false">IF(Equips_usuari!A259="","",Equips_usuari!A259)</f>
        <v/>
      </c>
      <c r="B259" s="9" t="str">
        <f aca="false">IF(Equips_usuari!B259="","",Equips_usuari!B259)</f>
        <v/>
      </c>
      <c r="C259" s="9" t="str">
        <f aca="false">IF(Equips_usuari!C259="","",Equips_usuari!C259)</f>
        <v/>
      </c>
      <c r="D259" s="9" t="str">
        <f aca="false">IF(Equips_usuari!D259="","",Equips_usuari!D259)</f>
        <v/>
      </c>
      <c r="E259" s="9" t="str">
        <f aca="false">IF(Equips_usuari!F259="","",Equips_usuari!F259)</f>
        <v/>
      </c>
      <c r="F259" s="9" t="str">
        <f aca="false">IF($C259="","",SUMIFS(Resultats_jugadores!$C:$C,Resultats_jugadores!$A:$A,$A259,Resultats_jugadores!$B:$B,$C259))</f>
        <v/>
      </c>
      <c r="G259" s="9" t="str">
        <f aca="false">IF($C259="","",SUMIFS(Resultats_jugadores!$D:$D,Resultats_jugadores!$A:$A,$A259,Resultats_jugadores!$B:$B,$C259))</f>
        <v/>
      </c>
      <c r="H259" s="9" t="str">
        <f aca="false">IF($C259="","",N($F259)-N($G259))</f>
        <v/>
      </c>
      <c r="I259" s="9" t="str">
        <f aca="false">IF($C259="","",IFERROR(INDEX(Partits!$C:$C,MATCH($A259&amp;"_"&amp;$D259,Partits!$D:$D,0)),""))</f>
        <v/>
      </c>
      <c r="J259" s="9" t="str">
        <f aca="false">IF($C259="","",IF(AND($I259="V",N($H259)&gt;0),1.2,1))</f>
        <v/>
      </c>
      <c r="K259" s="9" t="str">
        <f aca="false">IF($C259="","",N($H259)*$J259)</f>
        <v/>
      </c>
      <c r="L259" s="9" t="str">
        <f aca="false">IF($C259="","",IF($E259="SI",2,1))</f>
        <v/>
      </c>
      <c r="M259" s="9" t="str">
        <f aca="false">IF($C259="","",$K259*$L259)</f>
        <v/>
      </c>
    </row>
    <row r="260" customFormat="false" ht="15" hidden="false" customHeight="true" outlineLevel="0" collapsed="false">
      <c r="A260" s="9" t="str">
        <f aca="false">IF(Equips_usuari!A260="","",Equips_usuari!A260)</f>
        <v/>
      </c>
      <c r="B260" s="9" t="str">
        <f aca="false">IF(Equips_usuari!B260="","",Equips_usuari!B260)</f>
        <v/>
      </c>
      <c r="C260" s="9" t="str">
        <f aca="false">IF(Equips_usuari!C260="","",Equips_usuari!C260)</f>
        <v/>
      </c>
      <c r="D260" s="9" t="str">
        <f aca="false">IF(Equips_usuari!D260="","",Equips_usuari!D260)</f>
        <v/>
      </c>
      <c r="E260" s="9" t="str">
        <f aca="false">IF(Equips_usuari!F260="","",Equips_usuari!F260)</f>
        <v/>
      </c>
      <c r="F260" s="9" t="str">
        <f aca="false">IF($C260="","",SUMIFS(Resultats_jugadores!$C:$C,Resultats_jugadores!$A:$A,$A260,Resultats_jugadores!$B:$B,$C260))</f>
        <v/>
      </c>
      <c r="G260" s="9" t="str">
        <f aca="false">IF($C260="","",SUMIFS(Resultats_jugadores!$D:$D,Resultats_jugadores!$A:$A,$A260,Resultats_jugadores!$B:$B,$C260))</f>
        <v/>
      </c>
      <c r="H260" s="9" t="str">
        <f aca="false">IF($C260="","",N($F260)-N($G260))</f>
        <v/>
      </c>
      <c r="I260" s="9" t="str">
        <f aca="false">IF($C260="","",IFERROR(INDEX(Partits!$C:$C,MATCH($A260&amp;"_"&amp;$D260,Partits!$D:$D,0)),""))</f>
        <v/>
      </c>
      <c r="J260" s="9" t="str">
        <f aca="false">IF($C260="","",IF(AND($I260="V",N($H260)&gt;0),1.2,1))</f>
        <v/>
      </c>
      <c r="K260" s="9" t="str">
        <f aca="false">IF($C260="","",N($H260)*$J260)</f>
        <v/>
      </c>
      <c r="L260" s="9" t="str">
        <f aca="false">IF($C260="","",IF($E260="SI",2,1))</f>
        <v/>
      </c>
      <c r="M260" s="9" t="str">
        <f aca="false">IF($C260="","",$K260*$L260)</f>
        <v/>
      </c>
    </row>
    <row r="261" customFormat="false" ht="15" hidden="false" customHeight="true" outlineLevel="0" collapsed="false">
      <c r="A261" s="9" t="str">
        <f aca="false">IF(Equips_usuari!A261="","",Equips_usuari!A261)</f>
        <v/>
      </c>
      <c r="B261" s="9" t="str">
        <f aca="false">IF(Equips_usuari!B261="","",Equips_usuari!B261)</f>
        <v/>
      </c>
      <c r="C261" s="9" t="str">
        <f aca="false">IF(Equips_usuari!C261="","",Equips_usuari!C261)</f>
        <v/>
      </c>
      <c r="D261" s="9" t="str">
        <f aca="false">IF(Equips_usuari!D261="","",Equips_usuari!D261)</f>
        <v/>
      </c>
      <c r="E261" s="9" t="str">
        <f aca="false">IF(Equips_usuari!F261="","",Equips_usuari!F261)</f>
        <v/>
      </c>
      <c r="F261" s="9" t="str">
        <f aca="false">IF($C261="","",SUMIFS(Resultats_jugadores!$C:$C,Resultats_jugadores!$A:$A,$A261,Resultats_jugadores!$B:$B,$C261))</f>
        <v/>
      </c>
      <c r="G261" s="9" t="str">
        <f aca="false">IF($C261="","",SUMIFS(Resultats_jugadores!$D:$D,Resultats_jugadores!$A:$A,$A261,Resultats_jugadores!$B:$B,$C261))</f>
        <v/>
      </c>
      <c r="H261" s="9" t="str">
        <f aca="false">IF($C261="","",N($F261)-N($G261))</f>
        <v/>
      </c>
      <c r="I261" s="9" t="str">
        <f aca="false">IF($C261="","",IFERROR(INDEX(Partits!$C:$C,MATCH($A261&amp;"_"&amp;$D261,Partits!$D:$D,0)),""))</f>
        <v/>
      </c>
      <c r="J261" s="9" t="str">
        <f aca="false">IF($C261="","",IF(AND($I261="V",N($H261)&gt;0),1.2,1))</f>
        <v/>
      </c>
      <c r="K261" s="9" t="str">
        <f aca="false">IF($C261="","",N($H261)*$J261)</f>
        <v/>
      </c>
      <c r="L261" s="9" t="str">
        <f aca="false">IF($C261="","",IF($E261="SI",2,1))</f>
        <v/>
      </c>
      <c r="M261" s="9" t="str">
        <f aca="false">IF($C261="","",$K261*$L261)</f>
        <v/>
      </c>
    </row>
    <row r="262" customFormat="false" ht="15" hidden="false" customHeight="true" outlineLevel="0" collapsed="false">
      <c r="A262" s="9" t="str">
        <f aca="false">IF(Equips_usuari!A262="","",Equips_usuari!A262)</f>
        <v/>
      </c>
      <c r="B262" s="9" t="str">
        <f aca="false">IF(Equips_usuari!B262="","",Equips_usuari!B262)</f>
        <v/>
      </c>
      <c r="C262" s="9" t="str">
        <f aca="false">IF(Equips_usuari!C262="","",Equips_usuari!C262)</f>
        <v/>
      </c>
      <c r="D262" s="9" t="str">
        <f aca="false">IF(Equips_usuari!D262="","",Equips_usuari!D262)</f>
        <v/>
      </c>
      <c r="E262" s="9" t="str">
        <f aca="false">IF(Equips_usuari!F262="","",Equips_usuari!F262)</f>
        <v/>
      </c>
      <c r="F262" s="9" t="str">
        <f aca="false">IF($C262="","",SUMIFS(Resultats_jugadores!$C:$C,Resultats_jugadores!$A:$A,$A262,Resultats_jugadores!$B:$B,$C262))</f>
        <v/>
      </c>
      <c r="G262" s="9" t="str">
        <f aca="false">IF($C262="","",SUMIFS(Resultats_jugadores!$D:$D,Resultats_jugadores!$A:$A,$A262,Resultats_jugadores!$B:$B,$C262))</f>
        <v/>
      </c>
      <c r="H262" s="9" t="str">
        <f aca="false">IF($C262="","",N($F262)-N($G262))</f>
        <v/>
      </c>
      <c r="I262" s="9" t="str">
        <f aca="false">IF($C262="","",IFERROR(INDEX(Partits!$C:$C,MATCH($A262&amp;"_"&amp;$D262,Partits!$D:$D,0)),""))</f>
        <v/>
      </c>
      <c r="J262" s="9" t="str">
        <f aca="false">IF($C262="","",IF(AND($I262="V",N($H262)&gt;0),1.2,1))</f>
        <v/>
      </c>
      <c r="K262" s="9" t="str">
        <f aca="false">IF($C262="","",N($H262)*$J262)</f>
        <v/>
      </c>
      <c r="L262" s="9" t="str">
        <f aca="false">IF($C262="","",IF($E262="SI",2,1))</f>
        <v/>
      </c>
      <c r="M262" s="9" t="str">
        <f aca="false">IF($C262="","",$K262*$L262)</f>
        <v/>
      </c>
    </row>
    <row r="263" customFormat="false" ht="15" hidden="false" customHeight="true" outlineLevel="0" collapsed="false">
      <c r="A263" s="9" t="str">
        <f aca="false">IF(Equips_usuari!A263="","",Equips_usuari!A263)</f>
        <v/>
      </c>
      <c r="B263" s="9" t="str">
        <f aca="false">IF(Equips_usuari!B263="","",Equips_usuari!B263)</f>
        <v/>
      </c>
      <c r="C263" s="9" t="str">
        <f aca="false">IF(Equips_usuari!C263="","",Equips_usuari!C263)</f>
        <v/>
      </c>
      <c r="D263" s="9" t="str">
        <f aca="false">IF(Equips_usuari!D263="","",Equips_usuari!D263)</f>
        <v/>
      </c>
      <c r="E263" s="9" t="str">
        <f aca="false">IF(Equips_usuari!F263="","",Equips_usuari!F263)</f>
        <v/>
      </c>
      <c r="F263" s="9" t="str">
        <f aca="false">IF($C263="","",SUMIFS(Resultats_jugadores!$C:$C,Resultats_jugadores!$A:$A,$A263,Resultats_jugadores!$B:$B,$C263))</f>
        <v/>
      </c>
      <c r="G263" s="9" t="str">
        <f aca="false">IF($C263="","",SUMIFS(Resultats_jugadores!$D:$D,Resultats_jugadores!$A:$A,$A263,Resultats_jugadores!$B:$B,$C263))</f>
        <v/>
      </c>
      <c r="H263" s="9" t="str">
        <f aca="false">IF($C263="","",N($F263)-N($G263))</f>
        <v/>
      </c>
      <c r="I263" s="9" t="str">
        <f aca="false">IF($C263="","",IFERROR(INDEX(Partits!$C:$C,MATCH($A263&amp;"_"&amp;$D263,Partits!$D:$D,0)),""))</f>
        <v/>
      </c>
      <c r="J263" s="9" t="str">
        <f aca="false">IF($C263="","",IF(AND($I263="V",N($H263)&gt;0),1.2,1))</f>
        <v/>
      </c>
      <c r="K263" s="9" t="str">
        <f aca="false">IF($C263="","",N($H263)*$J263)</f>
        <v/>
      </c>
      <c r="L263" s="9" t="str">
        <f aca="false">IF($C263="","",IF($E263="SI",2,1))</f>
        <v/>
      </c>
      <c r="M263" s="9" t="str">
        <f aca="false">IF($C263="","",$K263*$L263)</f>
        <v/>
      </c>
    </row>
    <row r="264" customFormat="false" ht="15" hidden="false" customHeight="true" outlineLevel="0" collapsed="false">
      <c r="A264" s="9" t="str">
        <f aca="false">IF(Equips_usuari!A264="","",Equips_usuari!A264)</f>
        <v/>
      </c>
      <c r="B264" s="9" t="str">
        <f aca="false">IF(Equips_usuari!B264="","",Equips_usuari!B264)</f>
        <v/>
      </c>
      <c r="C264" s="9" t="str">
        <f aca="false">IF(Equips_usuari!C264="","",Equips_usuari!C264)</f>
        <v/>
      </c>
      <c r="D264" s="9" t="str">
        <f aca="false">IF(Equips_usuari!D264="","",Equips_usuari!D264)</f>
        <v/>
      </c>
      <c r="E264" s="9" t="str">
        <f aca="false">IF(Equips_usuari!F264="","",Equips_usuari!F264)</f>
        <v/>
      </c>
      <c r="F264" s="9" t="str">
        <f aca="false">IF($C264="","",SUMIFS(Resultats_jugadores!$C:$C,Resultats_jugadores!$A:$A,$A264,Resultats_jugadores!$B:$B,$C264))</f>
        <v/>
      </c>
      <c r="G264" s="9" t="str">
        <f aca="false">IF($C264="","",SUMIFS(Resultats_jugadores!$D:$D,Resultats_jugadores!$A:$A,$A264,Resultats_jugadores!$B:$B,$C264))</f>
        <v/>
      </c>
      <c r="H264" s="9" t="str">
        <f aca="false">IF($C264="","",N($F264)-N($G264))</f>
        <v/>
      </c>
      <c r="I264" s="9" t="str">
        <f aca="false">IF($C264="","",IFERROR(INDEX(Partits!$C:$C,MATCH($A264&amp;"_"&amp;$D264,Partits!$D:$D,0)),""))</f>
        <v/>
      </c>
      <c r="J264" s="9" t="str">
        <f aca="false">IF($C264="","",IF(AND($I264="V",N($H264)&gt;0),1.2,1))</f>
        <v/>
      </c>
      <c r="K264" s="9" t="str">
        <f aca="false">IF($C264="","",N($H264)*$J264)</f>
        <v/>
      </c>
      <c r="L264" s="9" t="str">
        <f aca="false">IF($C264="","",IF($E264="SI",2,1))</f>
        <v/>
      </c>
      <c r="M264" s="9" t="str">
        <f aca="false">IF($C264="","",$K264*$L264)</f>
        <v/>
      </c>
    </row>
    <row r="265" customFormat="false" ht="15" hidden="false" customHeight="true" outlineLevel="0" collapsed="false">
      <c r="A265" s="9" t="str">
        <f aca="false">IF(Equips_usuari!A265="","",Equips_usuari!A265)</f>
        <v/>
      </c>
      <c r="B265" s="9" t="str">
        <f aca="false">IF(Equips_usuari!B265="","",Equips_usuari!B265)</f>
        <v/>
      </c>
      <c r="C265" s="9" t="str">
        <f aca="false">IF(Equips_usuari!C265="","",Equips_usuari!C265)</f>
        <v/>
      </c>
      <c r="D265" s="9" t="str">
        <f aca="false">IF(Equips_usuari!D265="","",Equips_usuari!D265)</f>
        <v/>
      </c>
      <c r="E265" s="9" t="str">
        <f aca="false">IF(Equips_usuari!F265="","",Equips_usuari!F265)</f>
        <v/>
      </c>
      <c r="F265" s="9" t="str">
        <f aca="false">IF($C265="","",SUMIFS(Resultats_jugadores!$C:$C,Resultats_jugadores!$A:$A,$A265,Resultats_jugadores!$B:$B,$C265))</f>
        <v/>
      </c>
      <c r="G265" s="9" t="str">
        <f aca="false">IF($C265="","",SUMIFS(Resultats_jugadores!$D:$D,Resultats_jugadores!$A:$A,$A265,Resultats_jugadores!$B:$B,$C265))</f>
        <v/>
      </c>
      <c r="H265" s="9" t="str">
        <f aca="false">IF($C265="","",N($F265)-N($G265))</f>
        <v/>
      </c>
      <c r="I265" s="9" t="str">
        <f aca="false">IF($C265="","",IFERROR(INDEX(Partits!$C:$C,MATCH($A265&amp;"_"&amp;$D265,Partits!$D:$D,0)),""))</f>
        <v/>
      </c>
      <c r="J265" s="9" t="str">
        <f aca="false">IF($C265="","",IF(AND($I265="V",N($H265)&gt;0),1.2,1))</f>
        <v/>
      </c>
      <c r="K265" s="9" t="str">
        <f aca="false">IF($C265="","",N($H265)*$J265)</f>
        <v/>
      </c>
      <c r="L265" s="9" t="str">
        <f aca="false">IF($C265="","",IF($E265="SI",2,1))</f>
        <v/>
      </c>
      <c r="M265" s="9" t="str">
        <f aca="false">IF($C265="","",$K265*$L265)</f>
        <v/>
      </c>
    </row>
    <row r="266" customFormat="false" ht="15" hidden="false" customHeight="true" outlineLevel="0" collapsed="false">
      <c r="A266" s="9" t="str">
        <f aca="false">IF(Equips_usuari!A266="","",Equips_usuari!A266)</f>
        <v/>
      </c>
      <c r="B266" s="9" t="str">
        <f aca="false">IF(Equips_usuari!B266="","",Equips_usuari!B266)</f>
        <v/>
      </c>
      <c r="C266" s="9" t="str">
        <f aca="false">IF(Equips_usuari!C266="","",Equips_usuari!C266)</f>
        <v/>
      </c>
      <c r="D266" s="9" t="str">
        <f aca="false">IF(Equips_usuari!D266="","",Equips_usuari!D266)</f>
        <v/>
      </c>
      <c r="E266" s="9" t="str">
        <f aca="false">IF(Equips_usuari!F266="","",Equips_usuari!F266)</f>
        <v/>
      </c>
      <c r="F266" s="9" t="str">
        <f aca="false">IF($C266="","",SUMIFS(Resultats_jugadores!$C:$C,Resultats_jugadores!$A:$A,$A266,Resultats_jugadores!$B:$B,$C266))</f>
        <v/>
      </c>
      <c r="G266" s="9" t="str">
        <f aca="false">IF($C266="","",SUMIFS(Resultats_jugadores!$D:$D,Resultats_jugadores!$A:$A,$A266,Resultats_jugadores!$B:$B,$C266))</f>
        <v/>
      </c>
      <c r="H266" s="9" t="str">
        <f aca="false">IF($C266="","",N($F266)-N($G266))</f>
        <v/>
      </c>
      <c r="I266" s="9" t="str">
        <f aca="false">IF($C266="","",IFERROR(INDEX(Partits!$C:$C,MATCH($A266&amp;"_"&amp;$D266,Partits!$D:$D,0)),""))</f>
        <v/>
      </c>
      <c r="J266" s="9" t="str">
        <f aca="false">IF($C266="","",IF(AND($I266="V",N($H266)&gt;0),1.2,1))</f>
        <v/>
      </c>
      <c r="K266" s="9" t="str">
        <f aca="false">IF($C266="","",N($H266)*$J266)</f>
        <v/>
      </c>
      <c r="L266" s="9" t="str">
        <f aca="false">IF($C266="","",IF($E266="SI",2,1))</f>
        <v/>
      </c>
      <c r="M266" s="9" t="str">
        <f aca="false">IF($C266="","",$K266*$L266)</f>
        <v/>
      </c>
    </row>
    <row r="267" customFormat="false" ht="15" hidden="false" customHeight="true" outlineLevel="0" collapsed="false">
      <c r="A267" s="9" t="str">
        <f aca="false">IF(Equips_usuari!A267="","",Equips_usuari!A267)</f>
        <v/>
      </c>
      <c r="B267" s="9" t="str">
        <f aca="false">IF(Equips_usuari!B267="","",Equips_usuari!B267)</f>
        <v/>
      </c>
      <c r="C267" s="9" t="str">
        <f aca="false">IF(Equips_usuari!C267="","",Equips_usuari!C267)</f>
        <v/>
      </c>
      <c r="D267" s="9" t="str">
        <f aca="false">IF(Equips_usuari!D267="","",Equips_usuari!D267)</f>
        <v/>
      </c>
      <c r="E267" s="9" t="str">
        <f aca="false">IF(Equips_usuari!F267="","",Equips_usuari!F267)</f>
        <v/>
      </c>
      <c r="F267" s="9" t="str">
        <f aca="false">IF($C267="","",SUMIFS(Resultats_jugadores!$C:$C,Resultats_jugadores!$A:$A,$A267,Resultats_jugadores!$B:$B,$C267))</f>
        <v/>
      </c>
      <c r="G267" s="9" t="str">
        <f aca="false">IF($C267="","",SUMIFS(Resultats_jugadores!$D:$D,Resultats_jugadores!$A:$A,$A267,Resultats_jugadores!$B:$B,$C267))</f>
        <v/>
      </c>
      <c r="H267" s="9" t="str">
        <f aca="false">IF($C267="","",N($F267)-N($G267))</f>
        <v/>
      </c>
      <c r="I267" s="9" t="str">
        <f aca="false">IF($C267="","",IFERROR(INDEX(Partits!$C:$C,MATCH($A267&amp;"_"&amp;$D267,Partits!$D:$D,0)),""))</f>
        <v/>
      </c>
      <c r="J267" s="9" t="str">
        <f aca="false">IF($C267="","",IF(AND($I267="V",N($H267)&gt;0),1.2,1))</f>
        <v/>
      </c>
      <c r="K267" s="9" t="str">
        <f aca="false">IF($C267="","",N($H267)*$J267)</f>
        <v/>
      </c>
      <c r="L267" s="9" t="str">
        <f aca="false">IF($C267="","",IF($E267="SI",2,1))</f>
        <v/>
      </c>
      <c r="M267" s="9" t="str">
        <f aca="false">IF($C267="","",$K267*$L267)</f>
        <v/>
      </c>
    </row>
    <row r="268" customFormat="false" ht="15" hidden="false" customHeight="true" outlineLevel="0" collapsed="false">
      <c r="A268" s="9" t="str">
        <f aca="false">IF(Equips_usuari!A268="","",Equips_usuari!A268)</f>
        <v/>
      </c>
      <c r="B268" s="9" t="str">
        <f aca="false">IF(Equips_usuari!B268="","",Equips_usuari!B268)</f>
        <v/>
      </c>
      <c r="C268" s="9" t="str">
        <f aca="false">IF(Equips_usuari!C268="","",Equips_usuari!C268)</f>
        <v/>
      </c>
      <c r="D268" s="9" t="str">
        <f aca="false">IF(Equips_usuari!D268="","",Equips_usuari!D268)</f>
        <v/>
      </c>
      <c r="E268" s="9" t="str">
        <f aca="false">IF(Equips_usuari!F268="","",Equips_usuari!F268)</f>
        <v/>
      </c>
      <c r="F268" s="9" t="str">
        <f aca="false">IF($C268="","",SUMIFS(Resultats_jugadores!$C:$C,Resultats_jugadores!$A:$A,$A268,Resultats_jugadores!$B:$B,$C268))</f>
        <v/>
      </c>
      <c r="G268" s="9" t="str">
        <f aca="false">IF($C268="","",SUMIFS(Resultats_jugadores!$D:$D,Resultats_jugadores!$A:$A,$A268,Resultats_jugadores!$B:$B,$C268))</f>
        <v/>
      </c>
      <c r="H268" s="9" t="str">
        <f aca="false">IF($C268="","",N($F268)-N($G268))</f>
        <v/>
      </c>
      <c r="I268" s="9" t="str">
        <f aca="false">IF($C268="","",IFERROR(INDEX(Partits!$C:$C,MATCH($A268&amp;"_"&amp;$D268,Partits!$D:$D,0)),""))</f>
        <v/>
      </c>
      <c r="J268" s="9" t="str">
        <f aca="false">IF($C268="","",IF(AND($I268="V",N($H268)&gt;0),1.2,1))</f>
        <v/>
      </c>
      <c r="K268" s="9" t="str">
        <f aca="false">IF($C268="","",N($H268)*$J268)</f>
        <v/>
      </c>
      <c r="L268" s="9" t="str">
        <f aca="false">IF($C268="","",IF($E268="SI",2,1))</f>
        <v/>
      </c>
      <c r="M268" s="9" t="str">
        <f aca="false">IF($C268="","",$K268*$L268)</f>
        <v/>
      </c>
    </row>
    <row r="269" customFormat="false" ht="15" hidden="false" customHeight="true" outlineLevel="0" collapsed="false">
      <c r="A269" s="9" t="str">
        <f aca="false">IF(Equips_usuari!A269="","",Equips_usuari!A269)</f>
        <v/>
      </c>
      <c r="B269" s="9" t="str">
        <f aca="false">IF(Equips_usuari!B269="","",Equips_usuari!B269)</f>
        <v/>
      </c>
      <c r="C269" s="9" t="str">
        <f aca="false">IF(Equips_usuari!C269="","",Equips_usuari!C269)</f>
        <v/>
      </c>
      <c r="D269" s="9" t="str">
        <f aca="false">IF(Equips_usuari!D269="","",Equips_usuari!D269)</f>
        <v/>
      </c>
      <c r="E269" s="9" t="str">
        <f aca="false">IF(Equips_usuari!F269="","",Equips_usuari!F269)</f>
        <v/>
      </c>
      <c r="F269" s="9" t="str">
        <f aca="false">IF($C269="","",SUMIFS(Resultats_jugadores!$C:$C,Resultats_jugadores!$A:$A,$A269,Resultats_jugadores!$B:$B,$C269))</f>
        <v/>
      </c>
      <c r="G269" s="9" t="str">
        <f aca="false">IF($C269="","",SUMIFS(Resultats_jugadores!$D:$D,Resultats_jugadores!$A:$A,$A269,Resultats_jugadores!$B:$B,$C269))</f>
        <v/>
      </c>
      <c r="H269" s="9" t="str">
        <f aca="false">IF($C269="","",N($F269)-N($G269))</f>
        <v/>
      </c>
      <c r="I269" s="9" t="str">
        <f aca="false">IF($C269="","",IFERROR(INDEX(Partits!$C:$C,MATCH($A269&amp;"_"&amp;$D269,Partits!$D:$D,0)),""))</f>
        <v/>
      </c>
      <c r="J269" s="9" t="str">
        <f aca="false">IF($C269="","",IF(AND($I269="V",N($H269)&gt;0),1.2,1))</f>
        <v/>
      </c>
      <c r="K269" s="9" t="str">
        <f aca="false">IF($C269="","",N($H269)*$J269)</f>
        <v/>
      </c>
      <c r="L269" s="9" t="str">
        <f aca="false">IF($C269="","",IF($E269="SI",2,1))</f>
        <v/>
      </c>
      <c r="M269" s="9" t="str">
        <f aca="false">IF($C269="","",$K269*$L269)</f>
        <v/>
      </c>
    </row>
    <row r="270" customFormat="false" ht="15" hidden="false" customHeight="true" outlineLevel="0" collapsed="false">
      <c r="A270" s="9" t="str">
        <f aca="false">IF(Equips_usuari!A270="","",Equips_usuari!A270)</f>
        <v/>
      </c>
      <c r="B270" s="9" t="str">
        <f aca="false">IF(Equips_usuari!B270="","",Equips_usuari!B270)</f>
        <v/>
      </c>
      <c r="C270" s="9" t="str">
        <f aca="false">IF(Equips_usuari!C270="","",Equips_usuari!C270)</f>
        <v/>
      </c>
      <c r="D270" s="9" t="str">
        <f aca="false">IF(Equips_usuari!D270="","",Equips_usuari!D270)</f>
        <v/>
      </c>
      <c r="E270" s="9" t="str">
        <f aca="false">IF(Equips_usuari!F270="","",Equips_usuari!F270)</f>
        <v/>
      </c>
      <c r="F270" s="9" t="str">
        <f aca="false">IF($C270="","",SUMIFS(Resultats_jugadores!$C:$C,Resultats_jugadores!$A:$A,$A270,Resultats_jugadores!$B:$B,$C270))</f>
        <v/>
      </c>
      <c r="G270" s="9" t="str">
        <f aca="false">IF($C270="","",SUMIFS(Resultats_jugadores!$D:$D,Resultats_jugadores!$A:$A,$A270,Resultats_jugadores!$B:$B,$C270))</f>
        <v/>
      </c>
      <c r="H270" s="9" t="str">
        <f aca="false">IF($C270="","",N($F270)-N($G270))</f>
        <v/>
      </c>
      <c r="I270" s="9" t="str">
        <f aca="false">IF($C270="","",IFERROR(INDEX(Partits!$C:$C,MATCH($A270&amp;"_"&amp;$D270,Partits!$D:$D,0)),""))</f>
        <v/>
      </c>
      <c r="J270" s="9" t="str">
        <f aca="false">IF($C270="","",IF(AND($I270="V",N($H270)&gt;0),1.2,1))</f>
        <v/>
      </c>
      <c r="K270" s="9" t="str">
        <f aca="false">IF($C270="","",N($H270)*$J270)</f>
        <v/>
      </c>
      <c r="L270" s="9" t="str">
        <f aca="false">IF($C270="","",IF($E270="SI",2,1))</f>
        <v/>
      </c>
      <c r="M270" s="9" t="str">
        <f aca="false">IF($C270="","",$K270*$L270)</f>
        <v/>
      </c>
    </row>
    <row r="271" customFormat="false" ht="15" hidden="false" customHeight="true" outlineLevel="0" collapsed="false">
      <c r="A271" s="9" t="str">
        <f aca="false">IF(Equips_usuari!A271="","",Equips_usuari!A271)</f>
        <v/>
      </c>
      <c r="B271" s="9" t="str">
        <f aca="false">IF(Equips_usuari!B271="","",Equips_usuari!B271)</f>
        <v/>
      </c>
      <c r="C271" s="9" t="str">
        <f aca="false">IF(Equips_usuari!C271="","",Equips_usuari!C271)</f>
        <v/>
      </c>
      <c r="D271" s="9" t="str">
        <f aca="false">IF(Equips_usuari!D271="","",Equips_usuari!D271)</f>
        <v/>
      </c>
      <c r="E271" s="9" t="str">
        <f aca="false">IF(Equips_usuari!F271="","",Equips_usuari!F271)</f>
        <v/>
      </c>
      <c r="F271" s="9" t="str">
        <f aca="false">IF($C271="","",SUMIFS(Resultats_jugadores!$C:$C,Resultats_jugadores!$A:$A,$A271,Resultats_jugadores!$B:$B,$C271))</f>
        <v/>
      </c>
      <c r="G271" s="9" t="str">
        <f aca="false">IF($C271="","",SUMIFS(Resultats_jugadores!$D:$D,Resultats_jugadores!$A:$A,$A271,Resultats_jugadores!$B:$B,$C271))</f>
        <v/>
      </c>
      <c r="H271" s="9" t="str">
        <f aca="false">IF($C271="","",N($F271)-N($G271))</f>
        <v/>
      </c>
      <c r="I271" s="9" t="str">
        <f aca="false">IF($C271="","",IFERROR(INDEX(Partits!$C:$C,MATCH($A271&amp;"_"&amp;$D271,Partits!$D:$D,0)),""))</f>
        <v/>
      </c>
      <c r="J271" s="9" t="str">
        <f aca="false">IF($C271="","",IF(AND($I271="V",N($H271)&gt;0),1.2,1))</f>
        <v/>
      </c>
      <c r="K271" s="9" t="str">
        <f aca="false">IF($C271="","",N($H271)*$J271)</f>
        <v/>
      </c>
      <c r="L271" s="9" t="str">
        <f aca="false">IF($C271="","",IF($E271="SI",2,1))</f>
        <v/>
      </c>
      <c r="M271" s="9" t="str">
        <f aca="false">IF($C271="","",$K271*$L271)</f>
        <v/>
      </c>
    </row>
    <row r="272" customFormat="false" ht="15" hidden="false" customHeight="true" outlineLevel="0" collapsed="false">
      <c r="A272" s="9" t="str">
        <f aca="false">IF(Equips_usuari!A272="","",Equips_usuari!A272)</f>
        <v/>
      </c>
      <c r="B272" s="9" t="str">
        <f aca="false">IF(Equips_usuari!B272="","",Equips_usuari!B272)</f>
        <v/>
      </c>
      <c r="C272" s="9" t="str">
        <f aca="false">IF(Equips_usuari!C272="","",Equips_usuari!C272)</f>
        <v/>
      </c>
      <c r="D272" s="9" t="str">
        <f aca="false">IF(Equips_usuari!D272="","",Equips_usuari!D272)</f>
        <v/>
      </c>
      <c r="E272" s="9" t="str">
        <f aca="false">IF(Equips_usuari!F272="","",Equips_usuari!F272)</f>
        <v/>
      </c>
      <c r="F272" s="9" t="str">
        <f aca="false">IF($C272="","",SUMIFS(Resultats_jugadores!$C:$C,Resultats_jugadores!$A:$A,$A272,Resultats_jugadores!$B:$B,$C272))</f>
        <v/>
      </c>
      <c r="G272" s="9" t="str">
        <f aca="false">IF($C272="","",SUMIFS(Resultats_jugadores!$D:$D,Resultats_jugadores!$A:$A,$A272,Resultats_jugadores!$B:$B,$C272))</f>
        <v/>
      </c>
      <c r="H272" s="9" t="str">
        <f aca="false">IF($C272="","",N($F272)-N($G272))</f>
        <v/>
      </c>
      <c r="I272" s="9" t="str">
        <f aca="false">IF($C272="","",IFERROR(INDEX(Partits!$C:$C,MATCH($A272&amp;"_"&amp;$D272,Partits!$D:$D,0)),""))</f>
        <v/>
      </c>
      <c r="J272" s="9" t="str">
        <f aca="false">IF($C272="","",IF(AND($I272="V",N($H272)&gt;0),1.2,1))</f>
        <v/>
      </c>
      <c r="K272" s="9" t="str">
        <f aca="false">IF($C272="","",N($H272)*$J272)</f>
        <v/>
      </c>
      <c r="L272" s="9" t="str">
        <f aca="false">IF($C272="","",IF($E272="SI",2,1))</f>
        <v/>
      </c>
      <c r="M272" s="9" t="str">
        <f aca="false">IF($C272="","",$K272*$L272)</f>
        <v/>
      </c>
    </row>
    <row r="273" customFormat="false" ht="15" hidden="false" customHeight="true" outlineLevel="0" collapsed="false">
      <c r="A273" s="9" t="str">
        <f aca="false">IF(Equips_usuari!A273="","",Equips_usuari!A273)</f>
        <v/>
      </c>
      <c r="B273" s="9" t="str">
        <f aca="false">IF(Equips_usuari!B273="","",Equips_usuari!B273)</f>
        <v/>
      </c>
      <c r="C273" s="9" t="str">
        <f aca="false">IF(Equips_usuari!C273="","",Equips_usuari!C273)</f>
        <v/>
      </c>
      <c r="D273" s="9" t="str">
        <f aca="false">IF(Equips_usuari!D273="","",Equips_usuari!D273)</f>
        <v/>
      </c>
      <c r="E273" s="9" t="str">
        <f aca="false">IF(Equips_usuari!F273="","",Equips_usuari!F273)</f>
        <v/>
      </c>
      <c r="F273" s="9" t="str">
        <f aca="false">IF($C273="","",SUMIFS(Resultats_jugadores!$C:$C,Resultats_jugadores!$A:$A,$A273,Resultats_jugadores!$B:$B,$C273))</f>
        <v/>
      </c>
      <c r="G273" s="9" t="str">
        <f aca="false">IF($C273="","",SUMIFS(Resultats_jugadores!$D:$D,Resultats_jugadores!$A:$A,$A273,Resultats_jugadores!$B:$B,$C273))</f>
        <v/>
      </c>
      <c r="H273" s="9" t="str">
        <f aca="false">IF($C273="","",N($F273)-N($G273))</f>
        <v/>
      </c>
      <c r="I273" s="9" t="str">
        <f aca="false">IF($C273="","",IFERROR(INDEX(Partits!$C:$C,MATCH($A273&amp;"_"&amp;$D273,Partits!$D:$D,0)),""))</f>
        <v/>
      </c>
      <c r="J273" s="9" t="str">
        <f aca="false">IF($C273="","",IF(AND($I273="V",N($H273)&gt;0),1.2,1))</f>
        <v/>
      </c>
      <c r="K273" s="9" t="str">
        <f aca="false">IF($C273="","",N($H273)*$J273)</f>
        <v/>
      </c>
      <c r="L273" s="9" t="str">
        <f aca="false">IF($C273="","",IF($E273="SI",2,1))</f>
        <v/>
      </c>
      <c r="M273" s="9" t="str">
        <f aca="false">IF($C273="","",$K273*$L273)</f>
        <v/>
      </c>
    </row>
    <row r="274" customFormat="false" ht="15" hidden="false" customHeight="true" outlineLevel="0" collapsed="false">
      <c r="A274" s="9" t="str">
        <f aca="false">IF(Equips_usuari!A274="","",Equips_usuari!A274)</f>
        <v/>
      </c>
      <c r="B274" s="9" t="str">
        <f aca="false">IF(Equips_usuari!B274="","",Equips_usuari!B274)</f>
        <v/>
      </c>
      <c r="C274" s="9" t="str">
        <f aca="false">IF(Equips_usuari!C274="","",Equips_usuari!C274)</f>
        <v/>
      </c>
      <c r="D274" s="9" t="str">
        <f aca="false">IF(Equips_usuari!D274="","",Equips_usuari!D274)</f>
        <v/>
      </c>
      <c r="E274" s="9" t="str">
        <f aca="false">IF(Equips_usuari!F274="","",Equips_usuari!F274)</f>
        <v/>
      </c>
      <c r="F274" s="9" t="str">
        <f aca="false">IF($C274="","",SUMIFS(Resultats_jugadores!$C:$C,Resultats_jugadores!$A:$A,$A274,Resultats_jugadores!$B:$B,$C274))</f>
        <v/>
      </c>
      <c r="G274" s="9" t="str">
        <f aca="false">IF($C274="","",SUMIFS(Resultats_jugadores!$D:$D,Resultats_jugadores!$A:$A,$A274,Resultats_jugadores!$B:$B,$C274))</f>
        <v/>
      </c>
      <c r="H274" s="9" t="str">
        <f aca="false">IF($C274="","",N($F274)-N($G274))</f>
        <v/>
      </c>
      <c r="I274" s="9" t="str">
        <f aca="false">IF($C274="","",IFERROR(INDEX(Partits!$C:$C,MATCH($A274&amp;"_"&amp;$D274,Partits!$D:$D,0)),""))</f>
        <v/>
      </c>
      <c r="J274" s="9" t="str">
        <f aca="false">IF($C274="","",IF(AND($I274="V",N($H274)&gt;0),1.2,1))</f>
        <v/>
      </c>
      <c r="K274" s="9" t="str">
        <f aca="false">IF($C274="","",N($H274)*$J274)</f>
        <v/>
      </c>
      <c r="L274" s="9" t="str">
        <f aca="false">IF($C274="","",IF($E274="SI",2,1))</f>
        <v/>
      </c>
      <c r="M274" s="9" t="str">
        <f aca="false">IF($C274="","",$K274*$L274)</f>
        <v/>
      </c>
    </row>
    <row r="275" customFormat="false" ht="15" hidden="false" customHeight="true" outlineLevel="0" collapsed="false">
      <c r="A275" s="9" t="str">
        <f aca="false">IF(Equips_usuari!A275="","",Equips_usuari!A275)</f>
        <v/>
      </c>
      <c r="B275" s="9" t="str">
        <f aca="false">IF(Equips_usuari!B275="","",Equips_usuari!B275)</f>
        <v/>
      </c>
      <c r="C275" s="9" t="str">
        <f aca="false">IF(Equips_usuari!C275="","",Equips_usuari!C275)</f>
        <v/>
      </c>
      <c r="D275" s="9" t="str">
        <f aca="false">IF(Equips_usuari!D275="","",Equips_usuari!D275)</f>
        <v/>
      </c>
      <c r="E275" s="9" t="str">
        <f aca="false">IF(Equips_usuari!F275="","",Equips_usuari!F275)</f>
        <v/>
      </c>
      <c r="F275" s="9" t="str">
        <f aca="false">IF($C275="","",SUMIFS(Resultats_jugadores!$C:$C,Resultats_jugadores!$A:$A,$A275,Resultats_jugadores!$B:$B,$C275))</f>
        <v/>
      </c>
      <c r="G275" s="9" t="str">
        <f aca="false">IF($C275="","",SUMIFS(Resultats_jugadores!$D:$D,Resultats_jugadores!$A:$A,$A275,Resultats_jugadores!$B:$B,$C275))</f>
        <v/>
      </c>
      <c r="H275" s="9" t="str">
        <f aca="false">IF($C275="","",N($F275)-N($G275))</f>
        <v/>
      </c>
      <c r="I275" s="9" t="str">
        <f aca="false">IF($C275="","",IFERROR(INDEX(Partits!$C:$C,MATCH($A275&amp;"_"&amp;$D275,Partits!$D:$D,0)),""))</f>
        <v/>
      </c>
      <c r="J275" s="9" t="str">
        <f aca="false">IF($C275="","",IF(AND($I275="V",N($H275)&gt;0),1.2,1))</f>
        <v/>
      </c>
      <c r="K275" s="9" t="str">
        <f aca="false">IF($C275="","",N($H275)*$J275)</f>
        <v/>
      </c>
      <c r="L275" s="9" t="str">
        <f aca="false">IF($C275="","",IF($E275="SI",2,1))</f>
        <v/>
      </c>
      <c r="M275" s="9" t="str">
        <f aca="false">IF($C275="","",$K275*$L275)</f>
        <v/>
      </c>
    </row>
    <row r="276" customFormat="false" ht="15" hidden="false" customHeight="true" outlineLevel="0" collapsed="false">
      <c r="A276" s="9" t="str">
        <f aca="false">IF(Equips_usuari!A276="","",Equips_usuari!A276)</f>
        <v/>
      </c>
      <c r="B276" s="9" t="str">
        <f aca="false">IF(Equips_usuari!B276="","",Equips_usuari!B276)</f>
        <v/>
      </c>
      <c r="C276" s="9" t="str">
        <f aca="false">IF(Equips_usuari!C276="","",Equips_usuari!C276)</f>
        <v/>
      </c>
      <c r="D276" s="9" t="str">
        <f aca="false">IF(Equips_usuari!D276="","",Equips_usuari!D276)</f>
        <v/>
      </c>
      <c r="E276" s="9" t="str">
        <f aca="false">IF(Equips_usuari!F276="","",Equips_usuari!F276)</f>
        <v/>
      </c>
      <c r="F276" s="9" t="str">
        <f aca="false">IF($C276="","",SUMIFS(Resultats_jugadores!$C:$C,Resultats_jugadores!$A:$A,$A276,Resultats_jugadores!$B:$B,$C276))</f>
        <v/>
      </c>
      <c r="G276" s="9" t="str">
        <f aca="false">IF($C276="","",SUMIFS(Resultats_jugadores!$D:$D,Resultats_jugadores!$A:$A,$A276,Resultats_jugadores!$B:$B,$C276))</f>
        <v/>
      </c>
      <c r="H276" s="9" t="str">
        <f aca="false">IF($C276="","",N($F276)-N($G276))</f>
        <v/>
      </c>
      <c r="I276" s="9" t="str">
        <f aca="false">IF($C276="","",IFERROR(INDEX(Partits!$C:$C,MATCH($A276&amp;"_"&amp;$D276,Partits!$D:$D,0)),""))</f>
        <v/>
      </c>
      <c r="J276" s="9" t="str">
        <f aca="false">IF($C276="","",IF(AND($I276="V",N($H276)&gt;0),1.2,1))</f>
        <v/>
      </c>
      <c r="K276" s="9" t="str">
        <f aca="false">IF($C276="","",N($H276)*$J276)</f>
        <v/>
      </c>
      <c r="L276" s="9" t="str">
        <f aca="false">IF($C276="","",IF($E276="SI",2,1))</f>
        <v/>
      </c>
      <c r="M276" s="9" t="str">
        <f aca="false">IF($C276="","",$K276*$L276)</f>
        <v/>
      </c>
    </row>
    <row r="277" customFormat="false" ht="15" hidden="false" customHeight="true" outlineLevel="0" collapsed="false">
      <c r="A277" s="9" t="str">
        <f aca="false">IF(Equips_usuari!A277="","",Equips_usuari!A277)</f>
        <v/>
      </c>
      <c r="B277" s="9" t="str">
        <f aca="false">IF(Equips_usuari!B277="","",Equips_usuari!B277)</f>
        <v/>
      </c>
      <c r="C277" s="9" t="str">
        <f aca="false">IF(Equips_usuari!C277="","",Equips_usuari!C277)</f>
        <v/>
      </c>
      <c r="D277" s="9" t="str">
        <f aca="false">IF(Equips_usuari!D277="","",Equips_usuari!D277)</f>
        <v/>
      </c>
      <c r="E277" s="9" t="str">
        <f aca="false">IF(Equips_usuari!F277="","",Equips_usuari!F277)</f>
        <v/>
      </c>
      <c r="F277" s="9" t="str">
        <f aca="false">IF($C277="","",SUMIFS(Resultats_jugadores!$C:$C,Resultats_jugadores!$A:$A,$A277,Resultats_jugadores!$B:$B,$C277))</f>
        <v/>
      </c>
      <c r="G277" s="9" t="str">
        <f aca="false">IF($C277="","",SUMIFS(Resultats_jugadores!$D:$D,Resultats_jugadores!$A:$A,$A277,Resultats_jugadores!$B:$B,$C277))</f>
        <v/>
      </c>
      <c r="H277" s="9" t="str">
        <f aca="false">IF($C277="","",N($F277)-N($G277))</f>
        <v/>
      </c>
      <c r="I277" s="9" t="str">
        <f aca="false">IF($C277="","",IFERROR(INDEX(Partits!$C:$C,MATCH($A277&amp;"_"&amp;$D277,Partits!$D:$D,0)),""))</f>
        <v/>
      </c>
      <c r="J277" s="9" t="str">
        <f aca="false">IF($C277="","",IF(AND($I277="V",N($H277)&gt;0),1.2,1))</f>
        <v/>
      </c>
      <c r="K277" s="9" t="str">
        <f aca="false">IF($C277="","",N($H277)*$J277)</f>
        <v/>
      </c>
      <c r="L277" s="9" t="str">
        <f aca="false">IF($C277="","",IF($E277="SI",2,1))</f>
        <v/>
      </c>
      <c r="M277" s="9" t="str">
        <f aca="false">IF($C277="","",$K277*$L277)</f>
        <v/>
      </c>
    </row>
    <row r="278" customFormat="false" ht="15" hidden="false" customHeight="true" outlineLevel="0" collapsed="false">
      <c r="A278" s="9" t="str">
        <f aca="false">IF(Equips_usuari!A278="","",Equips_usuari!A278)</f>
        <v/>
      </c>
      <c r="B278" s="9" t="str">
        <f aca="false">IF(Equips_usuari!B278="","",Equips_usuari!B278)</f>
        <v/>
      </c>
      <c r="C278" s="9" t="str">
        <f aca="false">IF(Equips_usuari!C278="","",Equips_usuari!C278)</f>
        <v/>
      </c>
      <c r="D278" s="9" t="str">
        <f aca="false">IF(Equips_usuari!D278="","",Equips_usuari!D278)</f>
        <v/>
      </c>
      <c r="E278" s="9" t="str">
        <f aca="false">IF(Equips_usuari!F278="","",Equips_usuari!F278)</f>
        <v/>
      </c>
      <c r="F278" s="9" t="str">
        <f aca="false">IF($C278="","",SUMIFS(Resultats_jugadores!$C:$C,Resultats_jugadores!$A:$A,$A278,Resultats_jugadores!$B:$B,$C278))</f>
        <v/>
      </c>
      <c r="G278" s="9" t="str">
        <f aca="false">IF($C278="","",SUMIFS(Resultats_jugadores!$D:$D,Resultats_jugadores!$A:$A,$A278,Resultats_jugadores!$B:$B,$C278))</f>
        <v/>
      </c>
      <c r="H278" s="9" t="str">
        <f aca="false">IF($C278="","",N($F278)-N($G278))</f>
        <v/>
      </c>
      <c r="I278" s="9" t="str">
        <f aca="false">IF($C278="","",IFERROR(INDEX(Partits!$C:$C,MATCH($A278&amp;"_"&amp;$D278,Partits!$D:$D,0)),""))</f>
        <v/>
      </c>
      <c r="J278" s="9" t="str">
        <f aca="false">IF($C278="","",IF(AND($I278="V",N($H278)&gt;0),1.2,1))</f>
        <v/>
      </c>
      <c r="K278" s="9" t="str">
        <f aca="false">IF($C278="","",N($H278)*$J278)</f>
        <v/>
      </c>
      <c r="L278" s="9" t="str">
        <f aca="false">IF($C278="","",IF($E278="SI",2,1))</f>
        <v/>
      </c>
      <c r="M278" s="9" t="str">
        <f aca="false">IF($C278="","",$K278*$L278)</f>
        <v/>
      </c>
    </row>
    <row r="279" customFormat="false" ht="15" hidden="false" customHeight="true" outlineLevel="0" collapsed="false">
      <c r="A279" s="9" t="str">
        <f aca="false">IF(Equips_usuari!A279="","",Equips_usuari!A279)</f>
        <v/>
      </c>
      <c r="B279" s="9" t="str">
        <f aca="false">IF(Equips_usuari!B279="","",Equips_usuari!B279)</f>
        <v/>
      </c>
      <c r="C279" s="9" t="str">
        <f aca="false">IF(Equips_usuari!C279="","",Equips_usuari!C279)</f>
        <v/>
      </c>
      <c r="D279" s="9" t="str">
        <f aca="false">IF(Equips_usuari!D279="","",Equips_usuari!D279)</f>
        <v/>
      </c>
      <c r="E279" s="9" t="str">
        <f aca="false">IF(Equips_usuari!F279="","",Equips_usuari!F279)</f>
        <v/>
      </c>
      <c r="F279" s="9" t="str">
        <f aca="false">IF($C279="","",SUMIFS(Resultats_jugadores!$C:$C,Resultats_jugadores!$A:$A,$A279,Resultats_jugadores!$B:$B,$C279))</f>
        <v/>
      </c>
      <c r="G279" s="9" t="str">
        <f aca="false">IF($C279="","",SUMIFS(Resultats_jugadores!$D:$D,Resultats_jugadores!$A:$A,$A279,Resultats_jugadores!$B:$B,$C279))</f>
        <v/>
      </c>
      <c r="H279" s="9" t="str">
        <f aca="false">IF($C279="","",N($F279)-N($G279))</f>
        <v/>
      </c>
      <c r="I279" s="9" t="str">
        <f aca="false">IF($C279="","",IFERROR(INDEX(Partits!$C:$C,MATCH($A279&amp;"_"&amp;$D279,Partits!$D:$D,0)),""))</f>
        <v/>
      </c>
      <c r="J279" s="9" t="str">
        <f aca="false">IF($C279="","",IF(AND($I279="V",N($H279)&gt;0),1.2,1))</f>
        <v/>
      </c>
      <c r="K279" s="9" t="str">
        <f aca="false">IF($C279="","",N($H279)*$J279)</f>
        <v/>
      </c>
      <c r="L279" s="9" t="str">
        <f aca="false">IF($C279="","",IF($E279="SI",2,1))</f>
        <v/>
      </c>
      <c r="M279" s="9" t="str">
        <f aca="false">IF($C279="","",$K279*$L279)</f>
        <v/>
      </c>
    </row>
    <row r="280" customFormat="false" ht="15" hidden="false" customHeight="true" outlineLevel="0" collapsed="false">
      <c r="A280" s="9" t="str">
        <f aca="false">IF(Equips_usuari!A280="","",Equips_usuari!A280)</f>
        <v/>
      </c>
      <c r="B280" s="9" t="str">
        <f aca="false">IF(Equips_usuari!B280="","",Equips_usuari!B280)</f>
        <v/>
      </c>
      <c r="C280" s="9" t="str">
        <f aca="false">IF(Equips_usuari!C280="","",Equips_usuari!C280)</f>
        <v/>
      </c>
      <c r="D280" s="9" t="str">
        <f aca="false">IF(Equips_usuari!D280="","",Equips_usuari!D280)</f>
        <v/>
      </c>
      <c r="E280" s="9" t="str">
        <f aca="false">IF(Equips_usuari!F280="","",Equips_usuari!F280)</f>
        <v/>
      </c>
      <c r="F280" s="9" t="str">
        <f aca="false">IF($C280="","",SUMIFS(Resultats_jugadores!$C:$C,Resultats_jugadores!$A:$A,$A280,Resultats_jugadores!$B:$B,$C280))</f>
        <v/>
      </c>
      <c r="G280" s="9" t="str">
        <f aca="false">IF($C280="","",SUMIFS(Resultats_jugadores!$D:$D,Resultats_jugadores!$A:$A,$A280,Resultats_jugadores!$B:$B,$C280))</f>
        <v/>
      </c>
      <c r="H280" s="9" t="str">
        <f aca="false">IF($C280="","",N($F280)-N($G280))</f>
        <v/>
      </c>
      <c r="I280" s="9" t="str">
        <f aca="false">IF($C280="","",IFERROR(INDEX(Partits!$C:$C,MATCH($A280&amp;"_"&amp;$D280,Partits!$D:$D,0)),""))</f>
        <v/>
      </c>
      <c r="J280" s="9" t="str">
        <f aca="false">IF($C280="","",IF(AND($I280="V",N($H280)&gt;0),1.2,1))</f>
        <v/>
      </c>
      <c r="K280" s="9" t="str">
        <f aca="false">IF($C280="","",N($H280)*$J280)</f>
        <v/>
      </c>
      <c r="L280" s="9" t="str">
        <f aca="false">IF($C280="","",IF($E280="SI",2,1))</f>
        <v/>
      </c>
      <c r="M280" s="9" t="str">
        <f aca="false">IF($C280="","",$K280*$L280)</f>
        <v/>
      </c>
    </row>
    <row r="281" customFormat="false" ht="15" hidden="false" customHeight="true" outlineLevel="0" collapsed="false">
      <c r="A281" s="9" t="str">
        <f aca="false">IF(Equips_usuari!A281="","",Equips_usuari!A281)</f>
        <v/>
      </c>
      <c r="B281" s="9" t="str">
        <f aca="false">IF(Equips_usuari!B281="","",Equips_usuari!B281)</f>
        <v/>
      </c>
      <c r="C281" s="9" t="str">
        <f aca="false">IF(Equips_usuari!C281="","",Equips_usuari!C281)</f>
        <v/>
      </c>
      <c r="D281" s="9" t="str">
        <f aca="false">IF(Equips_usuari!D281="","",Equips_usuari!D281)</f>
        <v/>
      </c>
      <c r="E281" s="9" t="str">
        <f aca="false">IF(Equips_usuari!F281="","",Equips_usuari!F281)</f>
        <v/>
      </c>
      <c r="F281" s="9" t="str">
        <f aca="false">IF($C281="","",SUMIFS(Resultats_jugadores!$C:$C,Resultats_jugadores!$A:$A,$A281,Resultats_jugadores!$B:$B,$C281))</f>
        <v/>
      </c>
      <c r="G281" s="9" t="str">
        <f aca="false">IF($C281="","",SUMIFS(Resultats_jugadores!$D:$D,Resultats_jugadores!$A:$A,$A281,Resultats_jugadores!$B:$B,$C281))</f>
        <v/>
      </c>
      <c r="H281" s="9" t="str">
        <f aca="false">IF($C281="","",N($F281)-N($G281))</f>
        <v/>
      </c>
      <c r="I281" s="9" t="str">
        <f aca="false">IF($C281="","",IFERROR(INDEX(Partits!$C:$C,MATCH($A281&amp;"_"&amp;$D281,Partits!$D:$D,0)),""))</f>
        <v/>
      </c>
      <c r="J281" s="9" t="str">
        <f aca="false">IF($C281="","",IF(AND($I281="V",N($H281)&gt;0),1.2,1))</f>
        <v/>
      </c>
      <c r="K281" s="9" t="str">
        <f aca="false">IF($C281="","",N($H281)*$J281)</f>
        <v/>
      </c>
      <c r="L281" s="9" t="str">
        <f aca="false">IF($C281="","",IF($E281="SI",2,1))</f>
        <v/>
      </c>
      <c r="M281" s="9" t="str">
        <f aca="false">IF($C281="","",$K281*$L281)</f>
        <v/>
      </c>
    </row>
    <row r="282" customFormat="false" ht="15" hidden="false" customHeight="true" outlineLevel="0" collapsed="false">
      <c r="A282" s="9" t="str">
        <f aca="false">IF(Equips_usuari!A282="","",Equips_usuari!A282)</f>
        <v/>
      </c>
      <c r="B282" s="9" t="str">
        <f aca="false">IF(Equips_usuari!B282="","",Equips_usuari!B282)</f>
        <v/>
      </c>
      <c r="C282" s="9" t="str">
        <f aca="false">IF(Equips_usuari!C282="","",Equips_usuari!C282)</f>
        <v/>
      </c>
      <c r="D282" s="9" t="str">
        <f aca="false">IF(Equips_usuari!D282="","",Equips_usuari!D282)</f>
        <v/>
      </c>
      <c r="E282" s="9" t="str">
        <f aca="false">IF(Equips_usuari!F282="","",Equips_usuari!F282)</f>
        <v/>
      </c>
      <c r="F282" s="9" t="str">
        <f aca="false">IF($C282="","",SUMIFS(Resultats_jugadores!$C:$C,Resultats_jugadores!$A:$A,$A282,Resultats_jugadores!$B:$B,$C282))</f>
        <v/>
      </c>
      <c r="G282" s="9" t="str">
        <f aca="false">IF($C282="","",SUMIFS(Resultats_jugadores!$D:$D,Resultats_jugadores!$A:$A,$A282,Resultats_jugadores!$B:$B,$C282))</f>
        <v/>
      </c>
      <c r="H282" s="9" t="str">
        <f aca="false">IF($C282="","",N($F282)-N($G282))</f>
        <v/>
      </c>
      <c r="I282" s="9" t="str">
        <f aca="false">IF($C282="","",IFERROR(INDEX(Partits!$C:$C,MATCH($A282&amp;"_"&amp;$D282,Partits!$D:$D,0)),""))</f>
        <v/>
      </c>
      <c r="J282" s="9" t="str">
        <f aca="false">IF($C282="","",IF(AND($I282="V",N($H282)&gt;0),1.2,1))</f>
        <v/>
      </c>
      <c r="K282" s="9" t="str">
        <f aca="false">IF($C282="","",N($H282)*$J282)</f>
        <v/>
      </c>
      <c r="L282" s="9" t="str">
        <f aca="false">IF($C282="","",IF($E282="SI",2,1))</f>
        <v/>
      </c>
      <c r="M282" s="9" t="str">
        <f aca="false">IF($C282="","",$K282*$L282)</f>
        <v/>
      </c>
    </row>
    <row r="283" customFormat="false" ht="15" hidden="false" customHeight="true" outlineLevel="0" collapsed="false">
      <c r="A283" s="9" t="str">
        <f aca="false">IF(Equips_usuari!A283="","",Equips_usuari!A283)</f>
        <v/>
      </c>
      <c r="B283" s="9" t="str">
        <f aca="false">IF(Equips_usuari!B283="","",Equips_usuari!B283)</f>
        <v/>
      </c>
      <c r="C283" s="9" t="str">
        <f aca="false">IF(Equips_usuari!C283="","",Equips_usuari!C283)</f>
        <v/>
      </c>
      <c r="D283" s="9" t="str">
        <f aca="false">IF(Equips_usuari!D283="","",Equips_usuari!D283)</f>
        <v/>
      </c>
      <c r="E283" s="9" t="str">
        <f aca="false">IF(Equips_usuari!F283="","",Equips_usuari!F283)</f>
        <v/>
      </c>
      <c r="F283" s="9" t="str">
        <f aca="false">IF($C283="","",SUMIFS(Resultats_jugadores!$C:$C,Resultats_jugadores!$A:$A,$A283,Resultats_jugadores!$B:$B,$C283))</f>
        <v/>
      </c>
      <c r="G283" s="9" t="str">
        <f aca="false">IF($C283="","",SUMIFS(Resultats_jugadores!$D:$D,Resultats_jugadores!$A:$A,$A283,Resultats_jugadores!$B:$B,$C283))</f>
        <v/>
      </c>
      <c r="H283" s="9" t="str">
        <f aca="false">IF($C283="","",N($F283)-N($G283))</f>
        <v/>
      </c>
      <c r="I283" s="9" t="str">
        <f aca="false">IF($C283="","",IFERROR(INDEX(Partits!$C:$C,MATCH($A283&amp;"_"&amp;$D283,Partits!$D:$D,0)),""))</f>
        <v/>
      </c>
      <c r="J283" s="9" t="str">
        <f aca="false">IF($C283="","",IF(AND($I283="V",N($H283)&gt;0),1.2,1))</f>
        <v/>
      </c>
      <c r="K283" s="9" t="str">
        <f aca="false">IF($C283="","",N($H283)*$J283)</f>
        <v/>
      </c>
      <c r="L283" s="9" t="str">
        <f aca="false">IF($C283="","",IF($E283="SI",2,1))</f>
        <v/>
      </c>
      <c r="M283" s="9" t="str">
        <f aca="false">IF($C283="","",$K283*$L283)</f>
        <v/>
      </c>
    </row>
    <row r="284" customFormat="false" ht="15" hidden="false" customHeight="true" outlineLevel="0" collapsed="false">
      <c r="A284" s="9" t="str">
        <f aca="false">IF(Equips_usuari!A284="","",Equips_usuari!A284)</f>
        <v/>
      </c>
      <c r="B284" s="9" t="str">
        <f aca="false">IF(Equips_usuari!B284="","",Equips_usuari!B284)</f>
        <v/>
      </c>
      <c r="C284" s="9" t="str">
        <f aca="false">IF(Equips_usuari!C284="","",Equips_usuari!C284)</f>
        <v/>
      </c>
      <c r="D284" s="9" t="str">
        <f aca="false">IF(Equips_usuari!D284="","",Equips_usuari!D284)</f>
        <v/>
      </c>
      <c r="E284" s="9" t="str">
        <f aca="false">IF(Equips_usuari!F284="","",Equips_usuari!F284)</f>
        <v/>
      </c>
      <c r="F284" s="9" t="str">
        <f aca="false">IF($C284="","",SUMIFS(Resultats_jugadores!$C:$C,Resultats_jugadores!$A:$A,$A284,Resultats_jugadores!$B:$B,$C284))</f>
        <v/>
      </c>
      <c r="G284" s="9" t="str">
        <f aca="false">IF($C284="","",SUMIFS(Resultats_jugadores!$D:$D,Resultats_jugadores!$A:$A,$A284,Resultats_jugadores!$B:$B,$C284))</f>
        <v/>
      </c>
      <c r="H284" s="9" t="str">
        <f aca="false">IF($C284="","",N($F284)-N($G284))</f>
        <v/>
      </c>
      <c r="I284" s="9" t="str">
        <f aca="false">IF($C284="","",IFERROR(INDEX(Partits!$C:$C,MATCH($A284&amp;"_"&amp;$D284,Partits!$D:$D,0)),""))</f>
        <v/>
      </c>
      <c r="J284" s="9" t="str">
        <f aca="false">IF($C284="","",IF(AND($I284="V",N($H284)&gt;0),1.2,1))</f>
        <v/>
      </c>
      <c r="K284" s="9" t="str">
        <f aca="false">IF($C284="","",N($H284)*$J284)</f>
        <v/>
      </c>
      <c r="L284" s="9" t="str">
        <f aca="false">IF($C284="","",IF($E284="SI",2,1))</f>
        <v/>
      </c>
      <c r="M284" s="9" t="str">
        <f aca="false">IF($C284="","",$K284*$L284)</f>
        <v/>
      </c>
    </row>
    <row r="285" customFormat="false" ht="15" hidden="false" customHeight="true" outlineLevel="0" collapsed="false">
      <c r="A285" s="9" t="str">
        <f aca="false">IF(Equips_usuari!A285="","",Equips_usuari!A285)</f>
        <v/>
      </c>
      <c r="B285" s="9" t="str">
        <f aca="false">IF(Equips_usuari!B285="","",Equips_usuari!B285)</f>
        <v/>
      </c>
      <c r="C285" s="9" t="str">
        <f aca="false">IF(Equips_usuari!C285="","",Equips_usuari!C285)</f>
        <v/>
      </c>
      <c r="D285" s="9" t="str">
        <f aca="false">IF(Equips_usuari!D285="","",Equips_usuari!D285)</f>
        <v/>
      </c>
      <c r="E285" s="9" t="str">
        <f aca="false">IF(Equips_usuari!F285="","",Equips_usuari!F285)</f>
        <v/>
      </c>
      <c r="F285" s="9" t="str">
        <f aca="false">IF($C285="","",SUMIFS(Resultats_jugadores!$C:$C,Resultats_jugadores!$A:$A,$A285,Resultats_jugadores!$B:$B,$C285))</f>
        <v/>
      </c>
      <c r="G285" s="9" t="str">
        <f aca="false">IF($C285="","",SUMIFS(Resultats_jugadores!$D:$D,Resultats_jugadores!$A:$A,$A285,Resultats_jugadores!$B:$B,$C285))</f>
        <v/>
      </c>
      <c r="H285" s="9" t="str">
        <f aca="false">IF($C285="","",N($F285)-N($G285))</f>
        <v/>
      </c>
      <c r="I285" s="9" t="str">
        <f aca="false">IF($C285="","",IFERROR(INDEX(Partits!$C:$C,MATCH($A285&amp;"_"&amp;$D285,Partits!$D:$D,0)),""))</f>
        <v/>
      </c>
      <c r="J285" s="9" t="str">
        <f aca="false">IF($C285="","",IF(AND($I285="V",N($H285)&gt;0),1.2,1))</f>
        <v/>
      </c>
      <c r="K285" s="9" t="str">
        <f aca="false">IF($C285="","",N($H285)*$J285)</f>
        <v/>
      </c>
      <c r="L285" s="9" t="str">
        <f aca="false">IF($C285="","",IF($E285="SI",2,1))</f>
        <v/>
      </c>
      <c r="M285" s="9" t="str">
        <f aca="false">IF($C285="","",$K285*$L285)</f>
        <v/>
      </c>
    </row>
    <row r="286" customFormat="false" ht="15" hidden="false" customHeight="true" outlineLevel="0" collapsed="false">
      <c r="A286" s="9" t="str">
        <f aca="false">IF(Equips_usuari!A286="","",Equips_usuari!A286)</f>
        <v/>
      </c>
      <c r="B286" s="9" t="str">
        <f aca="false">IF(Equips_usuari!B286="","",Equips_usuari!B286)</f>
        <v/>
      </c>
      <c r="C286" s="9" t="str">
        <f aca="false">IF(Equips_usuari!C286="","",Equips_usuari!C286)</f>
        <v/>
      </c>
      <c r="D286" s="9" t="str">
        <f aca="false">IF(Equips_usuari!D286="","",Equips_usuari!D286)</f>
        <v/>
      </c>
      <c r="E286" s="9" t="str">
        <f aca="false">IF(Equips_usuari!F286="","",Equips_usuari!F286)</f>
        <v/>
      </c>
      <c r="F286" s="9" t="str">
        <f aca="false">IF($C286="","",SUMIFS(Resultats_jugadores!$C:$C,Resultats_jugadores!$A:$A,$A286,Resultats_jugadores!$B:$B,$C286))</f>
        <v/>
      </c>
      <c r="G286" s="9" t="str">
        <f aca="false">IF($C286="","",SUMIFS(Resultats_jugadores!$D:$D,Resultats_jugadores!$A:$A,$A286,Resultats_jugadores!$B:$B,$C286))</f>
        <v/>
      </c>
      <c r="H286" s="9" t="str">
        <f aca="false">IF($C286="","",N($F286)-N($G286))</f>
        <v/>
      </c>
      <c r="I286" s="9" t="str">
        <f aca="false">IF($C286="","",IFERROR(INDEX(Partits!$C:$C,MATCH($A286&amp;"_"&amp;$D286,Partits!$D:$D,0)),""))</f>
        <v/>
      </c>
      <c r="J286" s="9" t="str">
        <f aca="false">IF($C286="","",IF(AND($I286="V",N($H286)&gt;0),1.2,1))</f>
        <v/>
      </c>
      <c r="K286" s="9" t="str">
        <f aca="false">IF($C286="","",N($H286)*$J286)</f>
        <v/>
      </c>
      <c r="L286" s="9" t="str">
        <f aca="false">IF($C286="","",IF($E286="SI",2,1))</f>
        <v/>
      </c>
      <c r="M286" s="9" t="str">
        <f aca="false">IF($C286="","",$K286*$L286)</f>
        <v/>
      </c>
    </row>
    <row r="287" customFormat="false" ht="15" hidden="false" customHeight="true" outlineLevel="0" collapsed="false">
      <c r="A287" s="9" t="str">
        <f aca="false">IF(Equips_usuari!A287="","",Equips_usuari!A287)</f>
        <v/>
      </c>
      <c r="B287" s="9" t="str">
        <f aca="false">IF(Equips_usuari!B287="","",Equips_usuari!B287)</f>
        <v/>
      </c>
      <c r="C287" s="9" t="str">
        <f aca="false">IF(Equips_usuari!C287="","",Equips_usuari!C287)</f>
        <v/>
      </c>
      <c r="D287" s="9" t="str">
        <f aca="false">IF(Equips_usuari!D287="","",Equips_usuari!D287)</f>
        <v/>
      </c>
      <c r="E287" s="9" t="str">
        <f aca="false">IF(Equips_usuari!F287="","",Equips_usuari!F287)</f>
        <v/>
      </c>
      <c r="F287" s="9" t="str">
        <f aca="false">IF($C287="","",SUMIFS(Resultats_jugadores!$C:$C,Resultats_jugadores!$A:$A,$A287,Resultats_jugadores!$B:$B,$C287))</f>
        <v/>
      </c>
      <c r="G287" s="9" t="str">
        <f aca="false">IF($C287="","",SUMIFS(Resultats_jugadores!$D:$D,Resultats_jugadores!$A:$A,$A287,Resultats_jugadores!$B:$B,$C287))</f>
        <v/>
      </c>
      <c r="H287" s="9" t="str">
        <f aca="false">IF($C287="","",N($F287)-N($G287))</f>
        <v/>
      </c>
      <c r="I287" s="9" t="str">
        <f aca="false">IF($C287="","",IFERROR(INDEX(Partits!$C:$C,MATCH($A287&amp;"_"&amp;$D287,Partits!$D:$D,0)),""))</f>
        <v/>
      </c>
      <c r="J287" s="9" t="str">
        <f aca="false">IF($C287="","",IF(AND($I287="V",N($H287)&gt;0),1.2,1))</f>
        <v/>
      </c>
      <c r="K287" s="9" t="str">
        <f aca="false">IF($C287="","",N($H287)*$J287)</f>
        <v/>
      </c>
      <c r="L287" s="9" t="str">
        <f aca="false">IF($C287="","",IF($E287="SI",2,1))</f>
        <v/>
      </c>
      <c r="M287" s="9" t="str">
        <f aca="false">IF($C287="","",$K287*$L287)</f>
        <v/>
      </c>
    </row>
    <row r="288" customFormat="false" ht="15" hidden="false" customHeight="true" outlineLevel="0" collapsed="false">
      <c r="A288" s="9" t="str">
        <f aca="false">IF(Equips_usuari!A288="","",Equips_usuari!A288)</f>
        <v/>
      </c>
      <c r="B288" s="9" t="str">
        <f aca="false">IF(Equips_usuari!B288="","",Equips_usuari!B288)</f>
        <v/>
      </c>
      <c r="C288" s="9" t="str">
        <f aca="false">IF(Equips_usuari!C288="","",Equips_usuari!C288)</f>
        <v/>
      </c>
      <c r="D288" s="9" t="str">
        <f aca="false">IF(Equips_usuari!D288="","",Equips_usuari!D288)</f>
        <v/>
      </c>
      <c r="E288" s="9" t="str">
        <f aca="false">IF(Equips_usuari!F288="","",Equips_usuari!F288)</f>
        <v/>
      </c>
      <c r="F288" s="9" t="str">
        <f aca="false">IF($C288="","",SUMIFS(Resultats_jugadores!$C:$C,Resultats_jugadores!$A:$A,$A288,Resultats_jugadores!$B:$B,$C288))</f>
        <v/>
      </c>
      <c r="G288" s="9" t="str">
        <f aca="false">IF($C288="","",SUMIFS(Resultats_jugadores!$D:$D,Resultats_jugadores!$A:$A,$A288,Resultats_jugadores!$B:$B,$C288))</f>
        <v/>
      </c>
      <c r="H288" s="9" t="str">
        <f aca="false">IF($C288="","",N($F288)-N($G288))</f>
        <v/>
      </c>
      <c r="I288" s="9" t="str">
        <f aca="false">IF($C288="","",IFERROR(INDEX(Partits!$C:$C,MATCH($A288&amp;"_"&amp;$D288,Partits!$D:$D,0)),""))</f>
        <v/>
      </c>
      <c r="J288" s="9" t="str">
        <f aca="false">IF($C288="","",IF(AND($I288="V",N($H288)&gt;0),1.2,1))</f>
        <v/>
      </c>
      <c r="K288" s="9" t="str">
        <f aca="false">IF($C288="","",N($H288)*$J288)</f>
        <v/>
      </c>
      <c r="L288" s="9" t="str">
        <f aca="false">IF($C288="","",IF($E288="SI",2,1))</f>
        <v/>
      </c>
      <c r="M288" s="9" t="str">
        <f aca="false">IF($C288="","",$K288*$L288)</f>
        <v/>
      </c>
    </row>
    <row r="289" customFormat="false" ht="15" hidden="false" customHeight="true" outlineLevel="0" collapsed="false">
      <c r="A289" s="9" t="str">
        <f aca="false">IF(Equips_usuari!A289="","",Equips_usuari!A289)</f>
        <v/>
      </c>
      <c r="B289" s="9" t="str">
        <f aca="false">IF(Equips_usuari!B289="","",Equips_usuari!B289)</f>
        <v/>
      </c>
      <c r="C289" s="9" t="str">
        <f aca="false">IF(Equips_usuari!C289="","",Equips_usuari!C289)</f>
        <v/>
      </c>
      <c r="D289" s="9" t="str">
        <f aca="false">IF(Equips_usuari!D289="","",Equips_usuari!D289)</f>
        <v/>
      </c>
      <c r="E289" s="9" t="str">
        <f aca="false">IF(Equips_usuari!F289="","",Equips_usuari!F289)</f>
        <v/>
      </c>
      <c r="F289" s="9" t="str">
        <f aca="false">IF($C289="","",SUMIFS(Resultats_jugadores!$C:$C,Resultats_jugadores!$A:$A,$A289,Resultats_jugadores!$B:$B,$C289))</f>
        <v/>
      </c>
      <c r="G289" s="9" t="str">
        <f aca="false">IF($C289="","",SUMIFS(Resultats_jugadores!$D:$D,Resultats_jugadores!$A:$A,$A289,Resultats_jugadores!$B:$B,$C289))</f>
        <v/>
      </c>
      <c r="H289" s="9" t="str">
        <f aca="false">IF($C289="","",N($F289)-N($G289))</f>
        <v/>
      </c>
      <c r="I289" s="9" t="str">
        <f aca="false">IF($C289="","",IFERROR(INDEX(Partits!$C:$C,MATCH($A289&amp;"_"&amp;$D289,Partits!$D:$D,0)),""))</f>
        <v/>
      </c>
      <c r="J289" s="9" t="str">
        <f aca="false">IF($C289="","",IF(AND($I289="V",N($H289)&gt;0),1.2,1))</f>
        <v/>
      </c>
      <c r="K289" s="9" t="str">
        <f aca="false">IF($C289="","",N($H289)*$J289)</f>
        <v/>
      </c>
      <c r="L289" s="9" t="str">
        <f aca="false">IF($C289="","",IF($E289="SI",2,1))</f>
        <v/>
      </c>
      <c r="M289" s="9" t="str">
        <f aca="false">IF($C289="","",$K289*$L289)</f>
        <v/>
      </c>
    </row>
    <row r="290" customFormat="false" ht="15" hidden="false" customHeight="true" outlineLevel="0" collapsed="false">
      <c r="A290" s="9" t="str">
        <f aca="false">IF(Equips_usuari!A290="","",Equips_usuari!A290)</f>
        <v/>
      </c>
      <c r="B290" s="9" t="str">
        <f aca="false">IF(Equips_usuari!B290="","",Equips_usuari!B290)</f>
        <v/>
      </c>
      <c r="C290" s="9" t="str">
        <f aca="false">IF(Equips_usuari!C290="","",Equips_usuari!C290)</f>
        <v/>
      </c>
      <c r="D290" s="9" t="str">
        <f aca="false">IF(Equips_usuari!D290="","",Equips_usuari!D290)</f>
        <v/>
      </c>
      <c r="E290" s="9" t="str">
        <f aca="false">IF(Equips_usuari!F290="","",Equips_usuari!F290)</f>
        <v/>
      </c>
      <c r="F290" s="9" t="str">
        <f aca="false">IF($C290="","",SUMIFS(Resultats_jugadores!$C:$C,Resultats_jugadores!$A:$A,$A290,Resultats_jugadores!$B:$B,$C290))</f>
        <v/>
      </c>
      <c r="G290" s="9" t="str">
        <f aca="false">IF($C290="","",SUMIFS(Resultats_jugadores!$D:$D,Resultats_jugadores!$A:$A,$A290,Resultats_jugadores!$B:$B,$C290))</f>
        <v/>
      </c>
      <c r="H290" s="9" t="str">
        <f aca="false">IF($C290="","",N($F290)-N($G290))</f>
        <v/>
      </c>
      <c r="I290" s="9" t="str">
        <f aca="false">IF($C290="","",IFERROR(INDEX(Partits!$C:$C,MATCH($A290&amp;"_"&amp;$D290,Partits!$D:$D,0)),""))</f>
        <v/>
      </c>
      <c r="J290" s="9" t="str">
        <f aca="false">IF($C290="","",IF(AND($I290="V",N($H290)&gt;0),1.2,1))</f>
        <v/>
      </c>
      <c r="K290" s="9" t="str">
        <f aca="false">IF($C290="","",N($H290)*$J290)</f>
        <v/>
      </c>
      <c r="L290" s="9" t="str">
        <f aca="false">IF($C290="","",IF($E290="SI",2,1))</f>
        <v/>
      </c>
      <c r="M290" s="9" t="str">
        <f aca="false">IF($C290="","",$K290*$L290)</f>
        <v/>
      </c>
    </row>
    <row r="291" customFormat="false" ht="15" hidden="false" customHeight="true" outlineLevel="0" collapsed="false">
      <c r="A291" s="9" t="str">
        <f aca="false">IF(Equips_usuari!A291="","",Equips_usuari!A291)</f>
        <v/>
      </c>
      <c r="B291" s="9" t="str">
        <f aca="false">IF(Equips_usuari!B291="","",Equips_usuari!B291)</f>
        <v/>
      </c>
      <c r="C291" s="9" t="str">
        <f aca="false">IF(Equips_usuari!C291="","",Equips_usuari!C291)</f>
        <v/>
      </c>
      <c r="D291" s="9" t="str">
        <f aca="false">IF(Equips_usuari!D291="","",Equips_usuari!D291)</f>
        <v/>
      </c>
      <c r="E291" s="9" t="str">
        <f aca="false">IF(Equips_usuari!F291="","",Equips_usuari!F291)</f>
        <v/>
      </c>
      <c r="F291" s="9" t="str">
        <f aca="false">IF($C291="","",SUMIFS(Resultats_jugadores!$C:$C,Resultats_jugadores!$A:$A,$A291,Resultats_jugadores!$B:$B,$C291))</f>
        <v/>
      </c>
      <c r="G291" s="9" t="str">
        <f aca="false">IF($C291="","",SUMIFS(Resultats_jugadores!$D:$D,Resultats_jugadores!$A:$A,$A291,Resultats_jugadores!$B:$B,$C291))</f>
        <v/>
      </c>
      <c r="H291" s="9" t="str">
        <f aca="false">IF($C291="","",N($F291)-N($G291))</f>
        <v/>
      </c>
      <c r="I291" s="9" t="str">
        <f aca="false">IF($C291="","",IFERROR(INDEX(Partits!$C:$C,MATCH($A291&amp;"_"&amp;$D291,Partits!$D:$D,0)),""))</f>
        <v/>
      </c>
      <c r="J291" s="9" t="str">
        <f aca="false">IF($C291="","",IF(AND($I291="V",N($H291)&gt;0),1.2,1))</f>
        <v/>
      </c>
      <c r="K291" s="9" t="str">
        <f aca="false">IF($C291="","",N($H291)*$J291)</f>
        <v/>
      </c>
      <c r="L291" s="9" t="str">
        <f aca="false">IF($C291="","",IF($E291="SI",2,1))</f>
        <v/>
      </c>
      <c r="M291" s="9" t="str">
        <f aca="false">IF($C291="","",$K291*$L291)</f>
        <v/>
      </c>
    </row>
    <row r="292" customFormat="false" ht="15" hidden="false" customHeight="true" outlineLevel="0" collapsed="false">
      <c r="A292" s="9" t="str">
        <f aca="false">IF(Equips_usuari!A292="","",Equips_usuari!A292)</f>
        <v/>
      </c>
      <c r="B292" s="9" t="str">
        <f aca="false">IF(Equips_usuari!B292="","",Equips_usuari!B292)</f>
        <v/>
      </c>
      <c r="C292" s="9" t="str">
        <f aca="false">IF(Equips_usuari!C292="","",Equips_usuari!C292)</f>
        <v/>
      </c>
      <c r="D292" s="9" t="str">
        <f aca="false">IF(Equips_usuari!D292="","",Equips_usuari!D292)</f>
        <v/>
      </c>
      <c r="E292" s="9" t="str">
        <f aca="false">IF(Equips_usuari!F292="","",Equips_usuari!F292)</f>
        <v/>
      </c>
      <c r="F292" s="9" t="str">
        <f aca="false">IF($C292="","",SUMIFS(Resultats_jugadores!$C:$C,Resultats_jugadores!$A:$A,$A292,Resultats_jugadores!$B:$B,$C292))</f>
        <v/>
      </c>
      <c r="G292" s="9" t="str">
        <f aca="false">IF($C292="","",SUMIFS(Resultats_jugadores!$D:$D,Resultats_jugadores!$A:$A,$A292,Resultats_jugadores!$B:$B,$C292))</f>
        <v/>
      </c>
      <c r="H292" s="9" t="str">
        <f aca="false">IF($C292="","",N($F292)-N($G292))</f>
        <v/>
      </c>
      <c r="I292" s="9" t="str">
        <f aca="false">IF($C292="","",IFERROR(INDEX(Partits!$C:$C,MATCH($A292&amp;"_"&amp;$D292,Partits!$D:$D,0)),""))</f>
        <v/>
      </c>
      <c r="J292" s="9" t="str">
        <f aca="false">IF($C292="","",IF(AND($I292="V",N($H292)&gt;0),1.2,1))</f>
        <v/>
      </c>
      <c r="K292" s="9" t="str">
        <f aca="false">IF($C292="","",N($H292)*$J292)</f>
        <v/>
      </c>
      <c r="L292" s="9" t="str">
        <f aca="false">IF($C292="","",IF($E292="SI",2,1))</f>
        <v/>
      </c>
      <c r="M292" s="9" t="str">
        <f aca="false">IF($C292="","",$K292*$L292)</f>
        <v/>
      </c>
    </row>
    <row r="293" customFormat="false" ht="15" hidden="false" customHeight="true" outlineLevel="0" collapsed="false">
      <c r="A293" s="9" t="str">
        <f aca="false">IF(Equips_usuari!A293="","",Equips_usuari!A293)</f>
        <v/>
      </c>
      <c r="B293" s="9" t="str">
        <f aca="false">IF(Equips_usuari!B293="","",Equips_usuari!B293)</f>
        <v/>
      </c>
      <c r="C293" s="9" t="str">
        <f aca="false">IF(Equips_usuari!C293="","",Equips_usuari!C293)</f>
        <v/>
      </c>
      <c r="D293" s="9" t="str">
        <f aca="false">IF(Equips_usuari!D293="","",Equips_usuari!D293)</f>
        <v/>
      </c>
      <c r="E293" s="9" t="str">
        <f aca="false">IF(Equips_usuari!F293="","",Equips_usuari!F293)</f>
        <v/>
      </c>
      <c r="F293" s="9" t="str">
        <f aca="false">IF($C293="","",SUMIFS(Resultats_jugadores!$C:$C,Resultats_jugadores!$A:$A,$A293,Resultats_jugadores!$B:$B,$C293))</f>
        <v/>
      </c>
      <c r="G293" s="9" t="str">
        <f aca="false">IF($C293="","",SUMIFS(Resultats_jugadores!$D:$D,Resultats_jugadores!$A:$A,$A293,Resultats_jugadores!$B:$B,$C293))</f>
        <v/>
      </c>
      <c r="H293" s="9" t="str">
        <f aca="false">IF($C293="","",N($F293)-N($G293))</f>
        <v/>
      </c>
      <c r="I293" s="9" t="str">
        <f aca="false">IF($C293="","",IFERROR(INDEX(Partits!$C:$C,MATCH($A293&amp;"_"&amp;$D293,Partits!$D:$D,0)),""))</f>
        <v/>
      </c>
      <c r="J293" s="9" t="str">
        <f aca="false">IF($C293="","",IF(AND($I293="V",N($H293)&gt;0),1.2,1))</f>
        <v/>
      </c>
      <c r="K293" s="9" t="str">
        <f aca="false">IF($C293="","",N($H293)*$J293)</f>
        <v/>
      </c>
      <c r="L293" s="9" t="str">
        <f aca="false">IF($C293="","",IF($E293="SI",2,1))</f>
        <v/>
      </c>
      <c r="M293" s="9" t="str">
        <f aca="false">IF($C293="","",$K293*$L293)</f>
        <v/>
      </c>
    </row>
    <row r="294" customFormat="false" ht="15" hidden="false" customHeight="true" outlineLevel="0" collapsed="false">
      <c r="A294" s="9" t="str">
        <f aca="false">IF(Equips_usuari!A294="","",Equips_usuari!A294)</f>
        <v/>
      </c>
      <c r="B294" s="9" t="str">
        <f aca="false">IF(Equips_usuari!B294="","",Equips_usuari!B294)</f>
        <v/>
      </c>
      <c r="C294" s="9" t="str">
        <f aca="false">IF(Equips_usuari!C294="","",Equips_usuari!C294)</f>
        <v/>
      </c>
      <c r="D294" s="9" t="str">
        <f aca="false">IF(Equips_usuari!D294="","",Equips_usuari!D294)</f>
        <v/>
      </c>
      <c r="E294" s="9" t="str">
        <f aca="false">IF(Equips_usuari!F294="","",Equips_usuari!F294)</f>
        <v/>
      </c>
      <c r="F294" s="9" t="str">
        <f aca="false">IF($C294="","",SUMIFS(Resultats_jugadores!$C:$C,Resultats_jugadores!$A:$A,$A294,Resultats_jugadores!$B:$B,$C294))</f>
        <v/>
      </c>
      <c r="G294" s="9" t="str">
        <f aca="false">IF($C294="","",SUMIFS(Resultats_jugadores!$D:$D,Resultats_jugadores!$A:$A,$A294,Resultats_jugadores!$B:$B,$C294))</f>
        <v/>
      </c>
      <c r="H294" s="9" t="str">
        <f aca="false">IF($C294="","",N($F294)-N($G294))</f>
        <v/>
      </c>
      <c r="I294" s="9" t="str">
        <f aca="false">IF($C294="","",IFERROR(INDEX(Partits!$C:$C,MATCH($A294&amp;"_"&amp;$D294,Partits!$D:$D,0)),""))</f>
        <v/>
      </c>
      <c r="J294" s="9" t="str">
        <f aca="false">IF($C294="","",IF(AND($I294="V",N($H294)&gt;0),1.2,1))</f>
        <v/>
      </c>
      <c r="K294" s="9" t="str">
        <f aca="false">IF($C294="","",N($H294)*$J294)</f>
        <v/>
      </c>
      <c r="L294" s="9" t="str">
        <f aca="false">IF($C294="","",IF($E294="SI",2,1))</f>
        <v/>
      </c>
      <c r="M294" s="9" t="str">
        <f aca="false">IF($C294="","",$K294*$L294)</f>
        <v/>
      </c>
    </row>
    <row r="295" customFormat="false" ht="15" hidden="false" customHeight="true" outlineLevel="0" collapsed="false">
      <c r="A295" s="9" t="str">
        <f aca="false">IF(Equips_usuari!A295="","",Equips_usuari!A295)</f>
        <v/>
      </c>
      <c r="B295" s="9" t="str">
        <f aca="false">IF(Equips_usuari!B295="","",Equips_usuari!B295)</f>
        <v/>
      </c>
      <c r="C295" s="9" t="str">
        <f aca="false">IF(Equips_usuari!C295="","",Equips_usuari!C295)</f>
        <v/>
      </c>
      <c r="D295" s="9" t="str">
        <f aca="false">IF(Equips_usuari!D295="","",Equips_usuari!D295)</f>
        <v/>
      </c>
      <c r="E295" s="9" t="str">
        <f aca="false">IF(Equips_usuari!F295="","",Equips_usuari!F295)</f>
        <v/>
      </c>
      <c r="F295" s="9" t="str">
        <f aca="false">IF($C295="","",SUMIFS(Resultats_jugadores!$C:$C,Resultats_jugadores!$A:$A,$A295,Resultats_jugadores!$B:$B,$C295))</f>
        <v/>
      </c>
      <c r="G295" s="9" t="str">
        <f aca="false">IF($C295="","",SUMIFS(Resultats_jugadores!$D:$D,Resultats_jugadores!$A:$A,$A295,Resultats_jugadores!$B:$B,$C295))</f>
        <v/>
      </c>
      <c r="H295" s="9" t="str">
        <f aca="false">IF($C295="","",N($F295)-N($G295))</f>
        <v/>
      </c>
      <c r="I295" s="9" t="str">
        <f aca="false">IF($C295="","",IFERROR(INDEX(Partits!$C:$C,MATCH($A295&amp;"_"&amp;$D295,Partits!$D:$D,0)),""))</f>
        <v/>
      </c>
      <c r="J295" s="9" t="str">
        <f aca="false">IF($C295="","",IF(AND($I295="V",N($H295)&gt;0),1.2,1))</f>
        <v/>
      </c>
      <c r="K295" s="9" t="str">
        <f aca="false">IF($C295="","",N($H295)*$J295)</f>
        <v/>
      </c>
      <c r="L295" s="9" t="str">
        <f aca="false">IF($C295="","",IF($E295="SI",2,1))</f>
        <v/>
      </c>
      <c r="M295" s="9" t="str">
        <f aca="false">IF($C295="","",$K295*$L295)</f>
        <v/>
      </c>
    </row>
    <row r="296" customFormat="false" ht="15" hidden="false" customHeight="true" outlineLevel="0" collapsed="false">
      <c r="A296" s="9" t="str">
        <f aca="false">IF(Equips_usuari!A296="","",Equips_usuari!A296)</f>
        <v/>
      </c>
      <c r="B296" s="9" t="str">
        <f aca="false">IF(Equips_usuari!B296="","",Equips_usuari!B296)</f>
        <v/>
      </c>
      <c r="C296" s="9" t="str">
        <f aca="false">IF(Equips_usuari!C296="","",Equips_usuari!C296)</f>
        <v/>
      </c>
      <c r="D296" s="9" t="str">
        <f aca="false">IF(Equips_usuari!D296="","",Equips_usuari!D296)</f>
        <v/>
      </c>
      <c r="E296" s="9" t="str">
        <f aca="false">IF(Equips_usuari!F296="","",Equips_usuari!F296)</f>
        <v/>
      </c>
      <c r="F296" s="9" t="str">
        <f aca="false">IF($C296="","",SUMIFS(Resultats_jugadores!$C:$C,Resultats_jugadores!$A:$A,$A296,Resultats_jugadores!$B:$B,$C296))</f>
        <v/>
      </c>
      <c r="G296" s="9" t="str">
        <f aca="false">IF($C296="","",SUMIFS(Resultats_jugadores!$D:$D,Resultats_jugadores!$A:$A,$A296,Resultats_jugadores!$B:$B,$C296))</f>
        <v/>
      </c>
      <c r="H296" s="9" t="str">
        <f aca="false">IF($C296="","",N($F296)-N($G296))</f>
        <v/>
      </c>
      <c r="I296" s="9" t="str">
        <f aca="false">IF($C296="","",IFERROR(INDEX(Partits!$C:$C,MATCH($A296&amp;"_"&amp;$D296,Partits!$D:$D,0)),""))</f>
        <v/>
      </c>
      <c r="J296" s="9" t="str">
        <f aca="false">IF($C296="","",IF(AND($I296="V",N($H296)&gt;0),1.2,1))</f>
        <v/>
      </c>
      <c r="K296" s="9" t="str">
        <f aca="false">IF($C296="","",N($H296)*$J296)</f>
        <v/>
      </c>
      <c r="L296" s="9" t="str">
        <f aca="false">IF($C296="","",IF($E296="SI",2,1))</f>
        <v/>
      </c>
      <c r="M296" s="9" t="str">
        <f aca="false">IF($C296="","",$K296*$L296)</f>
        <v/>
      </c>
    </row>
    <row r="297" customFormat="false" ht="15" hidden="false" customHeight="true" outlineLevel="0" collapsed="false">
      <c r="A297" s="9" t="str">
        <f aca="false">IF(Equips_usuari!A297="","",Equips_usuari!A297)</f>
        <v/>
      </c>
      <c r="B297" s="9" t="str">
        <f aca="false">IF(Equips_usuari!B297="","",Equips_usuari!B297)</f>
        <v/>
      </c>
      <c r="C297" s="9" t="str">
        <f aca="false">IF(Equips_usuari!C297="","",Equips_usuari!C297)</f>
        <v/>
      </c>
      <c r="D297" s="9" t="str">
        <f aca="false">IF(Equips_usuari!D297="","",Equips_usuari!D297)</f>
        <v/>
      </c>
      <c r="E297" s="9" t="str">
        <f aca="false">IF(Equips_usuari!F297="","",Equips_usuari!F297)</f>
        <v/>
      </c>
      <c r="F297" s="9" t="str">
        <f aca="false">IF($C297="","",SUMIFS(Resultats_jugadores!$C:$C,Resultats_jugadores!$A:$A,$A297,Resultats_jugadores!$B:$B,$C297))</f>
        <v/>
      </c>
      <c r="G297" s="9" t="str">
        <f aca="false">IF($C297="","",SUMIFS(Resultats_jugadores!$D:$D,Resultats_jugadores!$A:$A,$A297,Resultats_jugadores!$B:$B,$C297))</f>
        <v/>
      </c>
      <c r="H297" s="9" t="str">
        <f aca="false">IF($C297="","",N($F297)-N($G297))</f>
        <v/>
      </c>
      <c r="I297" s="9" t="str">
        <f aca="false">IF($C297="","",IFERROR(INDEX(Partits!$C:$C,MATCH($A297&amp;"_"&amp;$D297,Partits!$D:$D,0)),""))</f>
        <v/>
      </c>
      <c r="J297" s="9" t="str">
        <f aca="false">IF($C297="","",IF(AND($I297="V",N($H297)&gt;0),1.2,1))</f>
        <v/>
      </c>
      <c r="K297" s="9" t="str">
        <f aca="false">IF($C297="","",N($H297)*$J297)</f>
        <v/>
      </c>
      <c r="L297" s="9" t="str">
        <f aca="false">IF($C297="","",IF($E297="SI",2,1))</f>
        <v/>
      </c>
      <c r="M297" s="9" t="str">
        <f aca="false">IF($C297="","",$K297*$L297)</f>
        <v/>
      </c>
    </row>
    <row r="298" customFormat="false" ht="15" hidden="false" customHeight="true" outlineLevel="0" collapsed="false">
      <c r="A298" s="9" t="str">
        <f aca="false">IF(Equips_usuari!A298="","",Equips_usuari!A298)</f>
        <v/>
      </c>
      <c r="B298" s="9" t="str">
        <f aca="false">IF(Equips_usuari!B298="","",Equips_usuari!B298)</f>
        <v/>
      </c>
      <c r="C298" s="9" t="str">
        <f aca="false">IF(Equips_usuari!C298="","",Equips_usuari!C298)</f>
        <v/>
      </c>
      <c r="D298" s="9" t="str">
        <f aca="false">IF(Equips_usuari!D298="","",Equips_usuari!D298)</f>
        <v/>
      </c>
      <c r="E298" s="9" t="str">
        <f aca="false">IF(Equips_usuari!F298="","",Equips_usuari!F298)</f>
        <v/>
      </c>
      <c r="F298" s="9" t="str">
        <f aca="false">IF($C298="","",SUMIFS(Resultats_jugadores!$C:$C,Resultats_jugadores!$A:$A,$A298,Resultats_jugadores!$B:$B,$C298))</f>
        <v/>
      </c>
      <c r="G298" s="9" t="str">
        <f aca="false">IF($C298="","",SUMIFS(Resultats_jugadores!$D:$D,Resultats_jugadores!$A:$A,$A298,Resultats_jugadores!$B:$B,$C298))</f>
        <v/>
      </c>
      <c r="H298" s="9" t="str">
        <f aca="false">IF($C298="","",N($F298)-N($G298))</f>
        <v/>
      </c>
      <c r="I298" s="9" t="str">
        <f aca="false">IF($C298="","",IFERROR(INDEX(Partits!$C:$C,MATCH($A298&amp;"_"&amp;$D298,Partits!$D:$D,0)),""))</f>
        <v/>
      </c>
      <c r="J298" s="9" t="str">
        <f aca="false">IF($C298="","",IF(AND($I298="V",N($H298)&gt;0),1.2,1))</f>
        <v/>
      </c>
      <c r="K298" s="9" t="str">
        <f aca="false">IF($C298="","",N($H298)*$J298)</f>
        <v/>
      </c>
      <c r="L298" s="9" t="str">
        <f aca="false">IF($C298="","",IF($E298="SI",2,1))</f>
        <v/>
      </c>
      <c r="M298" s="9" t="str">
        <f aca="false">IF($C298="","",$K298*$L298)</f>
        <v/>
      </c>
    </row>
    <row r="299" customFormat="false" ht="15" hidden="false" customHeight="true" outlineLevel="0" collapsed="false">
      <c r="A299" s="9" t="str">
        <f aca="false">IF(Equips_usuari!A299="","",Equips_usuari!A299)</f>
        <v/>
      </c>
      <c r="B299" s="9" t="str">
        <f aca="false">IF(Equips_usuari!B299="","",Equips_usuari!B299)</f>
        <v/>
      </c>
      <c r="C299" s="9" t="str">
        <f aca="false">IF(Equips_usuari!C299="","",Equips_usuari!C299)</f>
        <v/>
      </c>
      <c r="D299" s="9" t="str">
        <f aca="false">IF(Equips_usuari!D299="","",Equips_usuari!D299)</f>
        <v/>
      </c>
      <c r="E299" s="9" t="str">
        <f aca="false">IF(Equips_usuari!F299="","",Equips_usuari!F299)</f>
        <v/>
      </c>
      <c r="F299" s="9" t="str">
        <f aca="false">IF($C299="","",SUMIFS(Resultats_jugadores!$C:$C,Resultats_jugadores!$A:$A,$A299,Resultats_jugadores!$B:$B,$C299))</f>
        <v/>
      </c>
      <c r="G299" s="9" t="str">
        <f aca="false">IF($C299="","",SUMIFS(Resultats_jugadores!$D:$D,Resultats_jugadores!$A:$A,$A299,Resultats_jugadores!$B:$B,$C299))</f>
        <v/>
      </c>
      <c r="H299" s="9" t="str">
        <f aca="false">IF($C299="","",N($F299)-N($G299))</f>
        <v/>
      </c>
      <c r="I299" s="9" t="str">
        <f aca="false">IF($C299="","",IFERROR(INDEX(Partits!$C:$C,MATCH($A299&amp;"_"&amp;$D299,Partits!$D:$D,0)),""))</f>
        <v/>
      </c>
      <c r="J299" s="9" t="str">
        <f aca="false">IF($C299="","",IF(AND($I299="V",N($H299)&gt;0),1.2,1))</f>
        <v/>
      </c>
      <c r="K299" s="9" t="str">
        <f aca="false">IF($C299="","",N($H299)*$J299)</f>
        <v/>
      </c>
      <c r="L299" s="9" t="str">
        <f aca="false">IF($C299="","",IF($E299="SI",2,1))</f>
        <v/>
      </c>
      <c r="M299" s="9" t="str">
        <f aca="false">IF($C299="","",$K299*$L299)</f>
        <v/>
      </c>
    </row>
    <row r="300" customFormat="false" ht="15" hidden="false" customHeight="true" outlineLevel="0" collapsed="false">
      <c r="A300" s="9" t="str">
        <f aca="false">IF(Equips_usuari!A300="","",Equips_usuari!A300)</f>
        <v/>
      </c>
      <c r="B300" s="9" t="str">
        <f aca="false">IF(Equips_usuari!B300="","",Equips_usuari!B300)</f>
        <v/>
      </c>
      <c r="C300" s="9" t="str">
        <f aca="false">IF(Equips_usuari!C300="","",Equips_usuari!C300)</f>
        <v/>
      </c>
      <c r="D300" s="9" t="str">
        <f aca="false">IF(Equips_usuari!D300="","",Equips_usuari!D300)</f>
        <v/>
      </c>
      <c r="E300" s="9" t="str">
        <f aca="false">IF(Equips_usuari!F300="","",Equips_usuari!F300)</f>
        <v/>
      </c>
      <c r="F300" s="9" t="str">
        <f aca="false">IF($C300="","",SUMIFS(Resultats_jugadores!$C:$C,Resultats_jugadores!$A:$A,$A300,Resultats_jugadores!$B:$B,$C300))</f>
        <v/>
      </c>
      <c r="G300" s="9" t="str">
        <f aca="false">IF($C300="","",SUMIFS(Resultats_jugadores!$D:$D,Resultats_jugadores!$A:$A,$A300,Resultats_jugadores!$B:$B,$C300))</f>
        <v/>
      </c>
      <c r="H300" s="9" t="str">
        <f aca="false">IF($C300="","",N($F300)-N($G300))</f>
        <v/>
      </c>
      <c r="I300" s="9" t="str">
        <f aca="false">IF($C300="","",IFERROR(INDEX(Partits!$C:$C,MATCH($A300&amp;"_"&amp;$D300,Partits!$D:$D,0)),""))</f>
        <v/>
      </c>
      <c r="J300" s="9" t="str">
        <f aca="false">IF($C300="","",IF(AND($I300="V",N($H300)&gt;0),1.2,1))</f>
        <v/>
      </c>
      <c r="K300" s="9" t="str">
        <f aca="false">IF($C300="","",N($H300)*$J300)</f>
        <v/>
      </c>
      <c r="L300" s="9" t="str">
        <f aca="false">IF($C300="","",IF($E300="SI",2,1))</f>
        <v/>
      </c>
      <c r="M300" s="9" t="str">
        <f aca="false">IF($C300="","",$K300*$L300)</f>
        <v/>
      </c>
    </row>
    <row r="301" customFormat="false" ht="15" hidden="false" customHeight="true" outlineLevel="0" collapsed="false">
      <c r="A301" s="9" t="str">
        <f aca="false">IF(Equips_usuari!A301="","",Equips_usuari!A301)</f>
        <v/>
      </c>
      <c r="B301" s="9" t="str">
        <f aca="false">IF(Equips_usuari!B301="","",Equips_usuari!B301)</f>
        <v/>
      </c>
      <c r="C301" s="9" t="str">
        <f aca="false">IF(Equips_usuari!C301="","",Equips_usuari!C301)</f>
        <v/>
      </c>
      <c r="D301" s="9" t="str">
        <f aca="false">IF(Equips_usuari!D301="","",Equips_usuari!D301)</f>
        <v/>
      </c>
      <c r="E301" s="9" t="str">
        <f aca="false">IF(Equips_usuari!F301="","",Equips_usuari!F301)</f>
        <v/>
      </c>
      <c r="F301" s="9" t="str">
        <f aca="false">IF($C301="","",SUMIFS(Resultats_jugadores!$C:$C,Resultats_jugadores!$A:$A,$A301,Resultats_jugadores!$B:$B,$C301))</f>
        <v/>
      </c>
      <c r="G301" s="9" t="str">
        <f aca="false">IF($C301="","",SUMIFS(Resultats_jugadores!$D:$D,Resultats_jugadores!$A:$A,$A301,Resultats_jugadores!$B:$B,$C301))</f>
        <v/>
      </c>
      <c r="H301" s="9" t="str">
        <f aca="false">IF($C301="","",N($F301)-N($G301))</f>
        <v/>
      </c>
      <c r="I301" s="9" t="str">
        <f aca="false">IF($C301="","",IFERROR(INDEX(Partits!$C:$C,MATCH($A301&amp;"_"&amp;$D301,Partits!$D:$D,0)),""))</f>
        <v/>
      </c>
      <c r="J301" s="9" t="str">
        <f aca="false">IF($C301="","",IF(AND($I301="V",N($H301)&gt;0),1.2,1))</f>
        <v/>
      </c>
      <c r="K301" s="9" t="str">
        <f aca="false">IF($C301="","",N($H301)*$J301)</f>
        <v/>
      </c>
      <c r="L301" s="9" t="str">
        <f aca="false">IF($C301="","",IF($E301="SI",2,1))</f>
        <v/>
      </c>
      <c r="M301" s="9" t="str">
        <f aca="false">IF($C301="","",$K301*$L301)</f>
        <v/>
      </c>
    </row>
    <row r="302" customFormat="false" ht="15" hidden="false" customHeight="true" outlineLevel="0" collapsed="false">
      <c r="A302" s="9" t="str">
        <f aca="false">IF(Equips_usuari!A302="","",Equips_usuari!A302)</f>
        <v/>
      </c>
      <c r="B302" s="9" t="str">
        <f aca="false">IF(Equips_usuari!B302="","",Equips_usuari!B302)</f>
        <v/>
      </c>
      <c r="C302" s="9" t="str">
        <f aca="false">IF(Equips_usuari!C302="","",Equips_usuari!C302)</f>
        <v/>
      </c>
      <c r="D302" s="9" t="str">
        <f aca="false">IF(Equips_usuari!D302="","",Equips_usuari!D302)</f>
        <v/>
      </c>
      <c r="E302" s="9" t="str">
        <f aca="false">IF(Equips_usuari!F302="","",Equips_usuari!F302)</f>
        <v/>
      </c>
      <c r="F302" s="9" t="str">
        <f aca="false">IF($C302="","",SUMIFS(Resultats_jugadores!$C:$C,Resultats_jugadores!$A:$A,$A302,Resultats_jugadores!$B:$B,$C302))</f>
        <v/>
      </c>
      <c r="G302" s="9" t="str">
        <f aca="false">IF($C302="","",SUMIFS(Resultats_jugadores!$D:$D,Resultats_jugadores!$A:$A,$A302,Resultats_jugadores!$B:$B,$C302))</f>
        <v/>
      </c>
      <c r="H302" s="9" t="str">
        <f aca="false">IF($C302="","",N($F302)-N($G302))</f>
        <v/>
      </c>
      <c r="I302" s="9" t="str">
        <f aca="false">IF($C302="","",IFERROR(INDEX(Partits!$C:$C,MATCH($A302&amp;"_"&amp;$D302,Partits!$D:$D,0)),""))</f>
        <v/>
      </c>
      <c r="J302" s="9" t="str">
        <f aca="false">IF($C302="","",IF(AND($I302="V",N($H302)&gt;0),1.2,1))</f>
        <v/>
      </c>
      <c r="K302" s="9" t="str">
        <f aca="false">IF($C302="","",N($H302)*$J302)</f>
        <v/>
      </c>
      <c r="L302" s="9" t="str">
        <f aca="false">IF($C302="","",IF($E302="SI",2,1))</f>
        <v/>
      </c>
      <c r="M302" s="9" t="str">
        <f aca="false">IF($C302="","",$K302*$L302)</f>
        <v/>
      </c>
    </row>
    <row r="303" customFormat="false" ht="15" hidden="false" customHeight="true" outlineLevel="0" collapsed="false">
      <c r="A303" s="9" t="str">
        <f aca="false">IF(Equips_usuari!A303="","",Equips_usuari!A303)</f>
        <v/>
      </c>
      <c r="B303" s="9" t="str">
        <f aca="false">IF(Equips_usuari!B303="","",Equips_usuari!B303)</f>
        <v/>
      </c>
      <c r="C303" s="9" t="str">
        <f aca="false">IF(Equips_usuari!C303="","",Equips_usuari!C303)</f>
        <v/>
      </c>
      <c r="D303" s="9" t="str">
        <f aca="false">IF(Equips_usuari!D303="","",Equips_usuari!D303)</f>
        <v/>
      </c>
      <c r="E303" s="9" t="str">
        <f aca="false">IF(Equips_usuari!F303="","",Equips_usuari!F303)</f>
        <v/>
      </c>
      <c r="F303" s="9" t="str">
        <f aca="false">IF($C303="","",SUMIFS(Resultats_jugadores!$C:$C,Resultats_jugadores!$A:$A,$A303,Resultats_jugadores!$B:$B,$C303))</f>
        <v/>
      </c>
      <c r="G303" s="9" t="str">
        <f aca="false">IF($C303="","",SUMIFS(Resultats_jugadores!$D:$D,Resultats_jugadores!$A:$A,$A303,Resultats_jugadores!$B:$B,$C303))</f>
        <v/>
      </c>
      <c r="H303" s="9" t="str">
        <f aca="false">IF($C303="","",N($F303)-N($G303))</f>
        <v/>
      </c>
      <c r="I303" s="9" t="str">
        <f aca="false">IF($C303="","",IFERROR(INDEX(Partits!$C:$C,MATCH($A303&amp;"_"&amp;$D303,Partits!$D:$D,0)),""))</f>
        <v/>
      </c>
      <c r="J303" s="9" t="str">
        <f aca="false">IF($C303="","",IF(AND($I303="V",N($H303)&gt;0),1.2,1))</f>
        <v/>
      </c>
      <c r="K303" s="9" t="str">
        <f aca="false">IF($C303="","",N($H303)*$J303)</f>
        <v/>
      </c>
      <c r="L303" s="9" t="str">
        <f aca="false">IF($C303="","",IF($E303="SI",2,1))</f>
        <v/>
      </c>
      <c r="M303" s="9" t="str">
        <f aca="false">IF($C303="","",$K303*$L303)</f>
        <v/>
      </c>
    </row>
    <row r="304" customFormat="false" ht="15" hidden="false" customHeight="true" outlineLevel="0" collapsed="false">
      <c r="A304" s="9" t="str">
        <f aca="false">IF(Equips_usuari!A304="","",Equips_usuari!A304)</f>
        <v/>
      </c>
      <c r="B304" s="9" t="str">
        <f aca="false">IF(Equips_usuari!B304="","",Equips_usuari!B304)</f>
        <v/>
      </c>
      <c r="C304" s="9" t="str">
        <f aca="false">IF(Equips_usuari!C304="","",Equips_usuari!C304)</f>
        <v/>
      </c>
      <c r="D304" s="9" t="str">
        <f aca="false">IF(Equips_usuari!D304="","",Equips_usuari!D304)</f>
        <v/>
      </c>
      <c r="E304" s="9" t="str">
        <f aca="false">IF(Equips_usuari!F304="","",Equips_usuari!F304)</f>
        <v/>
      </c>
      <c r="F304" s="9" t="str">
        <f aca="false">IF($C304="","",SUMIFS(Resultats_jugadores!$C:$C,Resultats_jugadores!$A:$A,$A304,Resultats_jugadores!$B:$B,$C304))</f>
        <v/>
      </c>
      <c r="G304" s="9" t="str">
        <f aca="false">IF($C304="","",SUMIFS(Resultats_jugadores!$D:$D,Resultats_jugadores!$A:$A,$A304,Resultats_jugadores!$B:$B,$C304))</f>
        <v/>
      </c>
      <c r="H304" s="9" t="str">
        <f aca="false">IF($C304="","",N($F304)-N($G304))</f>
        <v/>
      </c>
      <c r="I304" s="9" t="str">
        <f aca="false">IF($C304="","",IFERROR(INDEX(Partits!$C:$C,MATCH($A304&amp;"_"&amp;$D304,Partits!$D:$D,0)),""))</f>
        <v/>
      </c>
      <c r="J304" s="9" t="str">
        <f aca="false">IF($C304="","",IF(AND($I304="V",N($H304)&gt;0),1.2,1))</f>
        <v/>
      </c>
      <c r="K304" s="9" t="str">
        <f aca="false">IF($C304="","",N($H304)*$J304)</f>
        <v/>
      </c>
      <c r="L304" s="9" t="str">
        <f aca="false">IF($C304="","",IF($E304="SI",2,1))</f>
        <v/>
      </c>
      <c r="M304" s="9" t="str">
        <f aca="false">IF($C304="","",$K304*$L304)</f>
        <v/>
      </c>
    </row>
    <row r="305" customFormat="false" ht="15" hidden="false" customHeight="true" outlineLevel="0" collapsed="false">
      <c r="A305" s="9" t="str">
        <f aca="false">IF(Equips_usuari!A305="","",Equips_usuari!A305)</f>
        <v/>
      </c>
      <c r="B305" s="9" t="str">
        <f aca="false">IF(Equips_usuari!B305="","",Equips_usuari!B305)</f>
        <v/>
      </c>
      <c r="C305" s="9" t="str">
        <f aca="false">IF(Equips_usuari!C305="","",Equips_usuari!C305)</f>
        <v/>
      </c>
      <c r="D305" s="9" t="str">
        <f aca="false">IF(Equips_usuari!D305="","",Equips_usuari!D305)</f>
        <v/>
      </c>
      <c r="E305" s="9" t="str">
        <f aca="false">IF(Equips_usuari!F305="","",Equips_usuari!F305)</f>
        <v/>
      </c>
      <c r="F305" s="9" t="str">
        <f aca="false">IF($C305="","",SUMIFS(Resultats_jugadores!$C:$C,Resultats_jugadores!$A:$A,$A305,Resultats_jugadores!$B:$B,$C305))</f>
        <v/>
      </c>
      <c r="G305" s="9" t="str">
        <f aca="false">IF($C305="","",SUMIFS(Resultats_jugadores!$D:$D,Resultats_jugadores!$A:$A,$A305,Resultats_jugadores!$B:$B,$C305))</f>
        <v/>
      </c>
      <c r="H305" s="9" t="str">
        <f aca="false">IF($C305="","",N($F305)-N($G305))</f>
        <v/>
      </c>
      <c r="I305" s="9" t="str">
        <f aca="false">IF($C305="","",IFERROR(INDEX(Partits!$C:$C,MATCH($A305&amp;"_"&amp;$D305,Partits!$D:$D,0)),""))</f>
        <v/>
      </c>
      <c r="J305" s="9" t="str">
        <f aca="false">IF($C305="","",IF(AND($I305="V",N($H305)&gt;0),1.2,1))</f>
        <v/>
      </c>
      <c r="K305" s="9" t="str">
        <f aca="false">IF($C305="","",N($H305)*$J305)</f>
        <v/>
      </c>
      <c r="L305" s="9" t="str">
        <f aca="false">IF($C305="","",IF($E305="SI",2,1))</f>
        <v/>
      </c>
      <c r="M305" s="9" t="str">
        <f aca="false">IF($C305="","",$K305*$L305)</f>
        <v/>
      </c>
    </row>
    <row r="306" customFormat="false" ht="15" hidden="false" customHeight="true" outlineLevel="0" collapsed="false">
      <c r="A306" s="9" t="str">
        <f aca="false">IF(Equips_usuari!A306="","",Equips_usuari!A306)</f>
        <v/>
      </c>
      <c r="B306" s="9" t="str">
        <f aca="false">IF(Equips_usuari!B306="","",Equips_usuari!B306)</f>
        <v/>
      </c>
      <c r="C306" s="9" t="str">
        <f aca="false">IF(Equips_usuari!C306="","",Equips_usuari!C306)</f>
        <v/>
      </c>
      <c r="D306" s="9" t="str">
        <f aca="false">IF(Equips_usuari!D306="","",Equips_usuari!D306)</f>
        <v/>
      </c>
      <c r="E306" s="9" t="str">
        <f aca="false">IF(Equips_usuari!F306="","",Equips_usuari!F306)</f>
        <v/>
      </c>
      <c r="F306" s="9" t="str">
        <f aca="false">IF($C306="","",SUMIFS(Resultats_jugadores!$C:$C,Resultats_jugadores!$A:$A,$A306,Resultats_jugadores!$B:$B,$C306))</f>
        <v/>
      </c>
      <c r="G306" s="9" t="str">
        <f aca="false">IF($C306="","",SUMIFS(Resultats_jugadores!$D:$D,Resultats_jugadores!$A:$A,$A306,Resultats_jugadores!$B:$B,$C306))</f>
        <v/>
      </c>
      <c r="H306" s="9" t="str">
        <f aca="false">IF($C306="","",N($F306)-N($G306))</f>
        <v/>
      </c>
      <c r="I306" s="9" t="str">
        <f aca="false">IF($C306="","",IFERROR(INDEX(Partits!$C:$C,MATCH($A306&amp;"_"&amp;$D306,Partits!$D:$D,0)),""))</f>
        <v/>
      </c>
      <c r="J306" s="9" t="str">
        <f aca="false">IF($C306="","",IF(AND($I306="V",N($H306)&gt;0),1.2,1))</f>
        <v/>
      </c>
      <c r="K306" s="9" t="str">
        <f aca="false">IF($C306="","",N($H306)*$J306)</f>
        <v/>
      </c>
      <c r="L306" s="9" t="str">
        <f aca="false">IF($C306="","",IF($E306="SI",2,1))</f>
        <v/>
      </c>
      <c r="M306" s="9" t="str">
        <f aca="false">IF($C306="","",$K306*$L306)</f>
        <v/>
      </c>
    </row>
    <row r="307" customFormat="false" ht="15" hidden="false" customHeight="true" outlineLevel="0" collapsed="false">
      <c r="A307" s="9" t="str">
        <f aca="false">IF(Equips_usuari!A307="","",Equips_usuari!A307)</f>
        <v/>
      </c>
      <c r="B307" s="9" t="str">
        <f aca="false">IF(Equips_usuari!B307="","",Equips_usuari!B307)</f>
        <v/>
      </c>
      <c r="C307" s="9" t="str">
        <f aca="false">IF(Equips_usuari!C307="","",Equips_usuari!C307)</f>
        <v/>
      </c>
      <c r="D307" s="9" t="str">
        <f aca="false">IF(Equips_usuari!D307="","",Equips_usuari!D307)</f>
        <v/>
      </c>
      <c r="E307" s="9" t="str">
        <f aca="false">IF(Equips_usuari!F307="","",Equips_usuari!F307)</f>
        <v/>
      </c>
      <c r="F307" s="9" t="str">
        <f aca="false">IF($C307="","",SUMIFS(Resultats_jugadores!$C:$C,Resultats_jugadores!$A:$A,$A307,Resultats_jugadores!$B:$B,$C307))</f>
        <v/>
      </c>
      <c r="G307" s="9" t="str">
        <f aca="false">IF($C307="","",SUMIFS(Resultats_jugadores!$D:$D,Resultats_jugadores!$A:$A,$A307,Resultats_jugadores!$B:$B,$C307))</f>
        <v/>
      </c>
      <c r="H307" s="9" t="str">
        <f aca="false">IF($C307="","",N($F307)-N($G307))</f>
        <v/>
      </c>
      <c r="I307" s="9" t="str">
        <f aca="false">IF($C307="","",IFERROR(INDEX(Partits!$C:$C,MATCH($A307&amp;"_"&amp;$D307,Partits!$D:$D,0)),""))</f>
        <v/>
      </c>
      <c r="J307" s="9" t="str">
        <f aca="false">IF($C307="","",IF(AND($I307="V",N($H307)&gt;0),1.2,1))</f>
        <v/>
      </c>
      <c r="K307" s="9" t="str">
        <f aca="false">IF($C307="","",N($H307)*$J307)</f>
        <v/>
      </c>
      <c r="L307" s="9" t="str">
        <f aca="false">IF($C307="","",IF($E307="SI",2,1))</f>
        <v/>
      </c>
      <c r="M307" s="9" t="str">
        <f aca="false">IF($C307="","",$K307*$L307)</f>
        <v/>
      </c>
    </row>
    <row r="308" customFormat="false" ht="15" hidden="false" customHeight="true" outlineLevel="0" collapsed="false">
      <c r="A308" s="9" t="str">
        <f aca="false">IF(Equips_usuari!A308="","",Equips_usuari!A308)</f>
        <v/>
      </c>
      <c r="B308" s="9" t="str">
        <f aca="false">IF(Equips_usuari!B308="","",Equips_usuari!B308)</f>
        <v/>
      </c>
      <c r="C308" s="9" t="str">
        <f aca="false">IF(Equips_usuari!C308="","",Equips_usuari!C308)</f>
        <v/>
      </c>
      <c r="D308" s="9" t="str">
        <f aca="false">IF(Equips_usuari!D308="","",Equips_usuari!D308)</f>
        <v/>
      </c>
      <c r="E308" s="9" t="str">
        <f aca="false">IF(Equips_usuari!F308="","",Equips_usuari!F308)</f>
        <v/>
      </c>
      <c r="F308" s="9" t="str">
        <f aca="false">IF($C308="","",SUMIFS(Resultats_jugadores!$C:$C,Resultats_jugadores!$A:$A,$A308,Resultats_jugadores!$B:$B,$C308))</f>
        <v/>
      </c>
      <c r="G308" s="9" t="str">
        <f aca="false">IF($C308="","",SUMIFS(Resultats_jugadores!$D:$D,Resultats_jugadores!$A:$A,$A308,Resultats_jugadores!$B:$B,$C308))</f>
        <v/>
      </c>
      <c r="H308" s="9" t="str">
        <f aca="false">IF($C308="","",N($F308)-N($G308))</f>
        <v/>
      </c>
      <c r="I308" s="9" t="str">
        <f aca="false">IF($C308="","",IFERROR(INDEX(Partits!$C:$C,MATCH($A308&amp;"_"&amp;$D308,Partits!$D:$D,0)),""))</f>
        <v/>
      </c>
      <c r="J308" s="9" t="str">
        <f aca="false">IF($C308="","",IF(AND($I308="V",N($H308)&gt;0),1.2,1))</f>
        <v/>
      </c>
      <c r="K308" s="9" t="str">
        <f aca="false">IF($C308="","",N($H308)*$J308)</f>
        <v/>
      </c>
      <c r="L308" s="9" t="str">
        <f aca="false">IF($C308="","",IF($E308="SI",2,1))</f>
        <v/>
      </c>
      <c r="M308" s="9" t="str">
        <f aca="false">IF($C308="","",$K308*$L308)</f>
        <v/>
      </c>
    </row>
    <row r="309" customFormat="false" ht="15" hidden="false" customHeight="true" outlineLevel="0" collapsed="false">
      <c r="A309" s="9" t="str">
        <f aca="false">IF(Equips_usuari!A309="","",Equips_usuari!A309)</f>
        <v/>
      </c>
      <c r="B309" s="9" t="str">
        <f aca="false">IF(Equips_usuari!B309="","",Equips_usuari!B309)</f>
        <v/>
      </c>
      <c r="C309" s="9" t="str">
        <f aca="false">IF(Equips_usuari!C309="","",Equips_usuari!C309)</f>
        <v/>
      </c>
      <c r="D309" s="9" t="str">
        <f aca="false">IF(Equips_usuari!D309="","",Equips_usuari!D309)</f>
        <v/>
      </c>
      <c r="E309" s="9" t="str">
        <f aca="false">IF(Equips_usuari!F309="","",Equips_usuari!F309)</f>
        <v/>
      </c>
      <c r="F309" s="9" t="str">
        <f aca="false">IF($C309="","",SUMIFS(Resultats_jugadores!$C:$C,Resultats_jugadores!$A:$A,$A309,Resultats_jugadores!$B:$B,$C309))</f>
        <v/>
      </c>
      <c r="G309" s="9" t="str">
        <f aca="false">IF($C309="","",SUMIFS(Resultats_jugadores!$D:$D,Resultats_jugadores!$A:$A,$A309,Resultats_jugadores!$B:$B,$C309))</f>
        <v/>
      </c>
      <c r="H309" s="9" t="str">
        <f aca="false">IF($C309="","",N($F309)-N($G309))</f>
        <v/>
      </c>
      <c r="I309" s="9" t="str">
        <f aca="false">IF($C309="","",IFERROR(INDEX(Partits!$C:$C,MATCH($A309&amp;"_"&amp;$D309,Partits!$D:$D,0)),""))</f>
        <v/>
      </c>
      <c r="J309" s="9" t="str">
        <f aca="false">IF($C309="","",IF(AND($I309="V",N($H309)&gt;0),1.2,1))</f>
        <v/>
      </c>
      <c r="K309" s="9" t="str">
        <f aca="false">IF($C309="","",N($H309)*$J309)</f>
        <v/>
      </c>
      <c r="L309" s="9" t="str">
        <f aca="false">IF($C309="","",IF($E309="SI",2,1))</f>
        <v/>
      </c>
      <c r="M309" s="9" t="str">
        <f aca="false">IF($C309="","",$K309*$L309)</f>
        <v/>
      </c>
    </row>
    <row r="310" customFormat="false" ht="15" hidden="false" customHeight="true" outlineLevel="0" collapsed="false">
      <c r="A310" s="9" t="str">
        <f aca="false">IF(Equips_usuari!A310="","",Equips_usuari!A310)</f>
        <v/>
      </c>
      <c r="B310" s="9" t="str">
        <f aca="false">IF(Equips_usuari!B310="","",Equips_usuari!B310)</f>
        <v/>
      </c>
      <c r="C310" s="9" t="str">
        <f aca="false">IF(Equips_usuari!C310="","",Equips_usuari!C310)</f>
        <v/>
      </c>
      <c r="D310" s="9" t="str">
        <f aca="false">IF(Equips_usuari!D310="","",Equips_usuari!D310)</f>
        <v/>
      </c>
      <c r="E310" s="9" t="str">
        <f aca="false">IF(Equips_usuari!F310="","",Equips_usuari!F310)</f>
        <v/>
      </c>
      <c r="F310" s="9" t="str">
        <f aca="false">IF($C310="","",SUMIFS(Resultats_jugadores!$C:$C,Resultats_jugadores!$A:$A,$A310,Resultats_jugadores!$B:$B,$C310))</f>
        <v/>
      </c>
      <c r="G310" s="9" t="str">
        <f aca="false">IF($C310="","",SUMIFS(Resultats_jugadores!$D:$D,Resultats_jugadores!$A:$A,$A310,Resultats_jugadores!$B:$B,$C310))</f>
        <v/>
      </c>
      <c r="H310" s="9" t="str">
        <f aca="false">IF($C310="","",N($F310)-N($G310))</f>
        <v/>
      </c>
      <c r="I310" s="9" t="str">
        <f aca="false">IF($C310="","",IFERROR(INDEX(Partits!$C:$C,MATCH($A310&amp;"_"&amp;$D310,Partits!$D:$D,0)),""))</f>
        <v/>
      </c>
      <c r="J310" s="9" t="str">
        <f aca="false">IF($C310="","",IF(AND($I310="V",N($H310)&gt;0),1.2,1))</f>
        <v/>
      </c>
      <c r="K310" s="9" t="str">
        <f aca="false">IF($C310="","",N($H310)*$J310)</f>
        <v/>
      </c>
      <c r="L310" s="9" t="str">
        <f aca="false">IF($C310="","",IF($E310="SI",2,1))</f>
        <v/>
      </c>
      <c r="M310" s="9" t="str">
        <f aca="false">IF($C310="","",$K310*$L310)</f>
        <v/>
      </c>
    </row>
    <row r="311" customFormat="false" ht="15" hidden="false" customHeight="true" outlineLevel="0" collapsed="false">
      <c r="A311" s="9" t="str">
        <f aca="false">IF(Equips_usuari!A311="","",Equips_usuari!A311)</f>
        <v/>
      </c>
      <c r="B311" s="9" t="str">
        <f aca="false">IF(Equips_usuari!B311="","",Equips_usuari!B311)</f>
        <v/>
      </c>
      <c r="C311" s="9" t="str">
        <f aca="false">IF(Equips_usuari!C311="","",Equips_usuari!C311)</f>
        <v/>
      </c>
      <c r="D311" s="9" t="str">
        <f aca="false">IF(Equips_usuari!D311="","",Equips_usuari!D311)</f>
        <v/>
      </c>
      <c r="E311" s="9" t="str">
        <f aca="false">IF(Equips_usuari!F311="","",Equips_usuari!F311)</f>
        <v/>
      </c>
      <c r="F311" s="9" t="str">
        <f aca="false">IF($C311="","",SUMIFS(Resultats_jugadores!$C:$C,Resultats_jugadores!$A:$A,$A311,Resultats_jugadores!$B:$B,$C311))</f>
        <v/>
      </c>
      <c r="G311" s="9" t="str">
        <f aca="false">IF($C311="","",SUMIFS(Resultats_jugadores!$D:$D,Resultats_jugadores!$A:$A,$A311,Resultats_jugadores!$B:$B,$C311))</f>
        <v/>
      </c>
      <c r="H311" s="9" t="str">
        <f aca="false">IF($C311="","",N($F311)-N($G311))</f>
        <v/>
      </c>
      <c r="I311" s="9" t="str">
        <f aca="false">IF($C311="","",IFERROR(INDEX(Partits!$C:$C,MATCH($A311&amp;"_"&amp;$D311,Partits!$D:$D,0)),""))</f>
        <v/>
      </c>
      <c r="J311" s="9" t="str">
        <f aca="false">IF($C311="","",IF(AND($I311="V",N($H311)&gt;0),1.2,1))</f>
        <v/>
      </c>
      <c r="K311" s="9" t="str">
        <f aca="false">IF($C311="","",N($H311)*$J311)</f>
        <v/>
      </c>
      <c r="L311" s="9" t="str">
        <f aca="false">IF($C311="","",IF($E311="SI",2,1))</f>
        <v/>
      </c>
      <c r="M311" s="9" t="str">
        <f aca="false">IF($C311="","",$K311*$L311)</f>
        <v/>
      </c>
    </row>
    <row r="312" customFormat="false" ht="15" hidden="false" customHeight="true" outlineLevel="0" collapsed="false">
      <c r="A312" s="9" t="str">
        <f aca="false">IF(Equips_usuari!A312="","",Equips_usuari!A312)</f>
        <v/>
      </c>
      <c r="B312" s="9" t="str">
        <f aca="false">IF(Equips_usuari!B312="","",Equips_usuari!B312)</f>
        <v/>
      </c>
      <c r="C312" s="9" t="str">
        <f aca="false">IF(Equips_usuari!C312="","",Equips_usuari!C312)</f>
        <v/>
      </c>
      <c r="D312" s="9" t="str">
        <f aca="false">IF(Equips_usuari!D312="","",Equips_usuari!D312)</f>
        <v/>
      </c>
      <c r="E312" s="9" t="str">
        <f aca="false">IF(Equips_usuari!F312="","",Equips_usuari!F312)</f>
        <v/>
      </c>
      <c r="F312" s="9" t="str">
        <f aca="false">IF($C312="","",SUMIFS(Resultats_jugadores!$C:$C,Resultats_jugadores!$A:$A,$A312,Resultats_jugadores!$B:$B,$C312))</f>
        <v/>
      </c>
      <c r="G312" s="9" t="str">
        <f aca="false">IF($C312="","",SUMIFS(Resultats_jugadores!$D:$D,Resultats_jugadores!$A:$A,$A312,Resultats_jugadores!$B:$B,$C312))</f>
        <v/>
      </c>
      <c r="H312" s="9" t="str">
        <f aca="false">IF($C312="","",N($F312)-N($G312))</f>
        <v/>
      </c>
      <c r="I312" s="9" t="str">
        <f aca="false">IF($C312="","",IFERROR(INDEX(Partits!$C:$C,MATCH($A312&amp;"_"&amp;$D312,Partits!$D:$D,0)),""))</f>
        <v/>
      </c>
      <c r="J312" s="9" t="str">
        <f aca="false">IF($C312="","",IF(AND($I312="V",N($H312)&gt;0),1.2,1))</f>
        <v/>
      </c>
      <c r="K312" s="9" t="str">
        <f aca="false">IF($C312="","",N($H312)*$J312)</f>
        <v/>
      </c>
      <c r="L312" s="9" t="str">
        <f aca="false">IF($C312="","",IF($E312="SI",2,1))</f>
        <v/>
      </c>
      <c r="M312" s="9" t="str">
        <f aca="false">IF($C312="","",$K312*$L312)</f>
        <v/>
      </c>
    </row>
    <row r="313" customFormat="false" ht="15" hidden="false" customHeight="true" outlineLevel="0" collapsed="false">
      <c r="A313" s="9" t="str">
        <f aca="false">IF(Equips_usuari!A313="","",Equips_usuari!A313)</f>
        <v/>
      </c>
      <c r="B313" s="9" t="str">
        <f aca="false">IF(Equips_usuari!B313="","",Equips_usuari!B313)</f>
        <v/>
      </c>
      <c r="C313" s="9" t="str">
        <f aca="false">IF(Equips_usuari!C313="","",Equips_usuari!C313)</f>
        <v/>
      </c>
      <c r="D313" s="9" t="str">
        <f aca="false">IF(Equips_usuari!D313="","",Equips_usuari!D313)</f>
        <v/>
      </c>
      <c r="E313" s="9" t="str">
        <f aca="false">IF(Equips_usuari!F313="","",Equips_usuari!F313)</f>
        <v/>
      </c>
      <c r="F313" s="9" t="str">
        <f aca="false">IF($C313="","",SUMIFS(Resultats_jugadores!$C:$C,Resultats_jugadores!$A:$A,$A313,Resultats_jugadores!$B:$B,$C313))</f>
        <v/>
      </c>
      <c r="G313" s="9" t="str">
        <f aca="false">IF($C313="","",SUMIFS(Resultats_jugadores!$D:$D,Resultats_jugadores!$A:$A,$A313,Resultats_jugadores!$B:$B,$C313))</f>
        <v/>
      </c>
      <c r="H313" s="9" t="str">
        <f aca="false">IF($C313="","",N($F313)-N($G313))</f>
        <v/>
      </c>
      <c r="I313" s="9" t="str">
        <f aca="false">IF($C313="","",IFERROR(INDEX(Partits!$C:$C,MATCH($A313&amp;"_"&amp;$D313,Partits!$D:$D,0)),""))</f>
        <v/>
      </c>
      <c r="J313" s="9" t="str">
        <f aca="false">IF($C313="","",IF(AND($I313="V",N($H313)&gt;0),1.2,1))</f>
        <v/>
      </c>
      <c r="K313" s="9" t="str">
        <f aca="false">IF($C313="","",N($H313)*$J313)</f>
        <v/>
      </c>
      <c r="L313" s="9" t="str">
        <f aca="false">IF($C313="","",IF($E313="SI",2,1))</f>
        <v/>
      </c>
      <c r="M313" s="9" t="str">
        <f aca="false">IF($C313="","",$K313*$L313)</f>
        <v/>
      </c>
    </row>
    <row r="314" customFormat="false" ht="15" hidden="false" customHeight="true" outlineLevel="0" collapsed="false">
      <c r="A314" s="9" t="str">
        <f aca="false">IF(Equips_usuari!A314="","",Equips_usuari!A314)</f>
        <v/>
      </c>
      <c r="B314" s="9" t="str">
        <f aca="false">IF(Equips_usuari!B314="","",Equips_usuari!B314)</f>
        <v/>
      </c>
      <c r="C314" s="9" t="str">
        <f aca="false">IF(Equips_usuari!C314="","",Equips_usuari!C314)</f>
        <v/>
      </c>
      <c r="D314" s="9" t="str">
        <f aca="false">IF(Equips_usuari!D314="","",Equips_usuari!D314)</f>
        <v/>
      </c>
      <c r="E314" s="9" t="str">
        <f aca="false">IF(Equips_usuari!F314="","",Equips_usuari!F314)</f>
        <v/>
      </c>
      <c r="F314" s="9" t="str">
        <f aca="false">IF($C314="","",SUMIFS(Resultats_jugadores!$C:$C,Resultats_jugadores!$A:$A,$A314,Resultats_jugadores!$B:$B,$C314))</f>
        <v/>
      </c>
      <c r="G314" s="9" t="str">
        <f aca="false">IF($C314="","",SUMIFS(Resultats_jugadores!$D:$D,Resultats_jugadores!$A:$A,$A314,Resultats_jugadores!$B:$B,$C314))</f>
        <v/>
      </c>
      <c r="H314" s="9" t="str">
        <f aca="false">IF($C314="","",N($F314)-N($G314))</f>
        <v/>
      </c>
      <c r="I314" s="9" t="str">
        <f aca="false">IF($C314="","",IFERROR(INDEX(Partits!$C:$C,MATCH($A314&amp;"_"&amp;$D314,Partits!$D:$D,0)),""))</f>
        <v/>
      </c>
      <c r="J314" s="9" t="str">
        <f aca="false">IF($C314="","",IF(AND($I314="V",N($H314)&gt;0),1.2,1))</f>
        <v/>
      </c>
      <c r="K314" s="9" t="str">
        <f aca="false">IF($C314="","",N($H314)*$J314)</f>
        <v/>
      </c>
      <c r="L314" s="9" t="str">
        <f aca="false">IF($C314="","",IF($E314="SI",2,1))</f>
        <v/>
      </c>
      <c r="M314" s="9" t="str">
        <f aca="false">IF($C314="","",$K314*$L314)</f>
        <v/>
      </c>
    </row>
    <row r="315" customFormat="false" ht="15" hidden="false" customHeight="true" outlineLevel="0" collapsed="false">
      <c r="A315" s="9" t="str">
        <f aca="false">IF(Equips_usuari!A315="","",Equips_usuari!A315)</f>
        <v/>
      </c>
      <c r="B315" s="9" t="str">
        <f aca="false">IF(Equips_usuari!B315="","",Equips_usuari!B315)</f>
        <v/>
      </c>
      <c r="C315" s="9" t="str">
        <f aca="false">IF(Equips_usuari!C315="","",Equips_usuari!C315)</f>
        <v/>
      </c>
      <c r="D315" s="9" t="str">
        <f aca="false">IF(Equips_usuari!D315="","",Equips_usuari!D315)</f>
        <v/>
      </c>
      <c r="E315" s="9" t="str">
        <f aca="false">IF(Equips_usuari!F315="","",Equips_usuari!F315)</f>
        <v/>
      </c>
      <c r="F315" s="9" t="str">
        <f aca="false">IF($C315="","",SUMIFS(Resultats_jugadores!$C:$C,Resultats_jugadores!$A:$A,$A315,Resultats_jugadores!$B:$B,$C315))</f>
        <v/>
      </c>
      <c r="G315" s="9" t="str">
        <f aca="false">IF($C315="","",SUMIFS(Resultats_jugadores!$D:$D,Resultats_jugadores!$A:$A,$A315,Resultats_jugadores!$B:$B,$C315))</f>
        <v/>
      </c>
      <c r="H315" s="9" t="str">
        <f aca="false">IF($C315="","",N($F315)-N($G315))</f>
        <v/>
      </c>
      <c r="I315" s="9" t="str">
        <f aca="false">IF($C315="","",IFERROR(INDEX(Partits!$C:$C,MATCH($A315&amp;"_"&amp;$D315,Partits!$D:$D,0)),""))</f>
        <v/>
      </c>
      <c r="J315" s="9" t="str">
        <f aca="false">IF($C315="","",IF(AND($I315="V",N($H315)&gt;0),1.2,1))</f>
        <v/>
      </c>
      <c r="K315" s="9" t="str">
        <f aca="false">IF($C315="","",N($H315)*$J315)</f>
        <v/>
      </c>
      <c r="L315" s="9" t="str">
        <f aca="false">IF($C315="","",IF($E315="SI",2,1))</f>
        <v/>
      </c>
      <c r="M315" s="9" t="str">
        <f aca="false">IF($C315="","",$K315*$L315)</f>
        <v/>
      </c>
    </row>
    <row r="316" customFormat="false" ht="15" hidden="false" customHeight="true" outlineLevel="0" collapsed="false">
      <c r="A316" s="9" t="str">
        <f aca="false">IF(Equips_usuari!A316="","",Equips_usuari!A316)</f>
        <v/>
      </c>
      <c r="B316" s="9" t="str">
        <f aca="false">IF(Equips_usuari!B316="","",Equips_usuari!B316)</f>
        <v/>
      </c>
      <c r="C316" s="9" t="str">
        <f aca="false">IF(Equips_usuari!C316="","",Equips_usuari!C316)</f>
        <v/>
      </c>
      <c r="D316" s="9" t="str">
        <f aca="false">IF(Equips_usuari!D316="","",Equips_usuari!D316)</f>
        <v/>
      </c>
      <c r="E316" s="9" t="str">
        <f aca="false">IF(Equips_usuari!F316="","",Equips_usuari!F316)</f>
        <v/>
      </c>
      <c r="F316" s="9" t="str">
        <f aca="false">IF($C316="","",SUMIFS(Resultats_jugadores!$C:$C,Resultats_jugadores!$A:$A,$A316,Resultats_jugadores!$B:$B,$C316))</f>
        <v/>
      </c>
      <c r="G316" s="9" t="str">
        <f aca="false">IF($C316="","",SUMIFS(Resultats_jugadores!$D:$D,Resultats_jugadores!$A:$A,$A316,Resultats_jugadores!$B:$B,$C316))</f>
        <v/>
      </c>
      <c r="H316" s="9" t="str">
        <f aca="false">IF($C316="","",N($F316)-N($G316))</f>
        <v/>
      </c>
      <c r="I316" s="9" t="str">
        <f aca="false">IF($C316="","",IFERROR(INDEX(Partits!$C:$C,MATCH($A316&amp;"_"&amp;$D316,Partits!$D:$D,0)),""))</f>
        <v/>
      </c>
      <c r="J316" s="9" t="str">
        <f aca="false">IF($C316="","",IF(AND($I316="V",N($H316)&gt;0),1.2,1))</f>
        <v/>
      </c>
      <c r="K316" s="9" t="str">
        <f aca="false">IF($C316="","",N($H316)*$J316)</f>
        <v/>
      </c>
      <c r="L316" s="9" t="str">
        <f aca="false">IF($C316="","",IF($E316="SI",2,1))</f>
        <v/>
      </c>
      <c r="M316" s="9" t="str">
        <f aca="false">IF($C316="","",$K316*$L316)</f>
        <v/>
      </c>
    </row>
    <row r="317" customFormat="false" ht="15" hidden="false" customHeight="true" outlineLevel="0" collapsed="false">
      <c r="A317" s="9" t="str">
        <f aca="false">IF(Equips_usuari!A317="","",Equips_usuari!A317)</f>
        <v/>
      </c>
      <c r="B317" s="9" t="str">
        <f aca="false">IF(Equips_usuari!B317="","",Equips_usuari!B317)</f>
        <v/>
      </c>
      <c r="C317" s="9" t="str">
        <f aca="false">IF(Equips_usuari!C317="","",Equips_usuari!C317)</f>
        <v/>
      </c>
      <c r="D317" s="9" t="str">
        <f aca="false">IF(Equips_usuari!D317="","",Equips_usuari!D317)</f>
        <v/>
      </c>
      <c r="E317" s="9" t="str">
        <f aca="false">IF(Equips_usuari!F317="","",Equips_usuari!F317)</f>
        <v/>
      </c>
      <c r="F317" s="9" t="str">
        <f aca="false">IF($C317="","",SUMIFS(Resultats_jugadores!$C:$C,Resultats_jugadores!$A:$A,$A317,Resultats_jugadores!$B:$B,$C317))</f>
        <v/>
      </c>
      <c r="G317" s="9" t="str">
        <f aca="false">IF($C317="","",SUMIFS(Resultats_jugadores!$D:$D,Resultats_jugadores!$A:$A,$A317,Resultats_jugadores!$B:$B,$C317))</f>
        <v/>
      </c>
      <c r="H317" s="9" t="str">
        <f aca="false">IF($C317="","",N($F317)-N($G317))</f>
        <v/>
      </c>
      <c r="I317" s="9" t="str">
        <f aca="false">IF($C317="","",IFERROR(INDEX(Partits!$C:$C,MATCH($A317&amp;"_"&amp;$D317,Partits!$D:$D,0)),""))</f>
        <v/>
      </c>
      <c r="J317" s="9" t="str">
        <f aca="false">IF($C317="","",IF(AND($I317="V",N($H317)&gt;0),1.2,1))</f>
        <v/>
      </c>
      <c r="K317" s="9" t="str">
        <f aca="false">IF($C317="","",N($H317)*$J317)</f>
        <v/>
      </c>
      <c r="L317" s="9" t="str">
        <f aca="false">IF($C317="","",IF($E317="SI",2,1))</f>
        <v/>
      </c>
      <c r="M317" s="9" t="str">
        <f aca="false">IF($C317="","",$K317*$L317)</f>
        <v/>
      </c>
    </row>
    <row r="318" customFormat="false" ht="15" hidden="false" customHeight="true" outlineLevel="0" collapsed="false">
      <c r="A318" s="9" t="str">
        <f aca="false">IF(Equips_usuari!A318="","",Equips_usuari!A318)</f>
        <v/>
      </c>
      <c r="B318" s="9" t="str">
        <f aca="false">IF(Equips_usuari!B318="","",Equips_usuari!B318)</f>
        <v/>
      </c>
      <c r="C318" s="9" t="str">
        <f aca="false">IF(Equips_usuari!C318="","",Equips_usuari!C318)</f>
        <v/>
      </c>
      <c r="D318" s="9" t="str">
        <f aca="false">IF(Equips_usuari!D318="","",Equips_usuari!D318)</f>
        <v/>
      </c>
      <c r="E318" s="9" t="str">
        <f aca="false">IF(Equips_usuari!F318="","",Equips_usuari!F318)</f>
        <v/>
      </c>
      <c r="F318" s="9" t="str">
        <f aca="false">IF($C318="","",SUMIFS(Resultats_jugadores!$C:$C,Resultats_jugadores!$A:$A,$A318,Resultats_jugadores!$B:$B,$C318))</f>
        <v/>
      </c>
      <c r="G318" s="9" t="str">
        <f aca="false">IF($C318="","",SUMIFS(Resultats_jugadores!$D:$D,Resultats_jugadores!$A:$A,$A318,Resultats_jugadores!$B:$B,$C318))</f>
        <v/>
      </c>
      <c r="H318" s="9" t="str">
        <f aca="false">IF($C318="","",N($F318)-N($G318))</f>
        <v/>
      </c>
      <c r="I318" s="9" t="str">
        <f aca="false">IF($C318="","",IFERROR(INDEX(Partits!$C:$C,MATCH($A318&amp;"_"&amp;$D318,Partits!$D:$D,0)),""))</f>
        <v/>
      </c>
      <c r="J318" s="9" t="str">
        <f aca="false">IF($C318="","",IF(AND($I318="V",N($H318)&gt;0),1.2,1))</f>
        <v/>
      </c>
      <c r="K318" s="9" t="str">
        <f aca="false">IF($C318="","",N($H318)*$J318)</f>
        <v/>
      </c>
      <c r="L318" s="9" t="str">
        <f aca="false">IF($C318="","",IF($E318="SI",2,1))</f>
        <v/>
      </c>
      <c r="M318" s="9" t="str">
        <f aca="false">IF($C318="","",$K318*$L318)</f>
        <v/>
      </c>
    </row>
    <row r="319" customFormat="false" ht="15" hidden="false" customHeight="true" outlineLevel="0" collapsed="false">
      <c r="A319" s="9" t="str">
        <f aca="false">IF(Equips_usuari!A319="","",Equips_usuari!A319)</f>
        <v/>
      </c>
      <c r="B319" s="9" t="str">
        <f aca="false">IF(Equips_usuari!B319="","",Equips_usuari!B319)</f>
        <v/>
      </c>
      <c r="C319" s="9" t="str">
        <f aca="false">IF(Equips_usuari!C319="","",Equips_usuari!C319)</f>
        <v/>
      </c>
      <c r="D319" s="9" t="str">
        <f aca="false">IF(Equips_usuari!D319="","",Equips_usuari!D319)</f>
        <v/>
      </c>
      <c r="E319" s="9" t="str">
        <f aca="false">IF(Equips_usuari!F319="","",Equips_usuari!F319)</f>
        <v/>
      </c>
      <c r="F319" s="9" t="str">
        <f aca="false">IF($C319="","",SUMIFS(Resultats_jugadores!$C:$C,Resultats_jugadores!$A:$A,$A319,Resultats_jugadores!$B:$B,$C319))</f>
        <v/>
      </c>
      <c r="G319" s="9" t="str">
        <f aca="false">IF($C319="","",SUMIFS(Resultats_jugadores!$D:$D,Resultats_jugadores!$A:$A,$A319,Resultats_jugadores!$B:$B,$C319))</f>
        <v/>
      </c>
      <c r="H319" s="9" t="str">
        <f aca="false">IF($C319="","",N($F319)-N($G319))</f>
        <v/>
      </c>
      <c r="I319" s="9" t="str">
        <f aca="false">IF($C319="","",IFERROR(INDEX(Partits!$C:$C,MATCH($A319&amp;"_"&amp;$D319,Partits!$D:$D,0)),""))</f>
        <v/>
      </c>
      <c r="J319" s="9" t="str">
        <f aca="false">IF($C319="","",IF(AND($I319="V",N($H319)&gt;0),1.2,1))</f>
        <v/>
      </c>
      <c r="K319" s="9" t="str">
        <f aca="false">IF($C319="","",N($H319)*$J319)</f>
        <v/>
      </c>
      <c r="L319" s="9" t="str">
        <f aca="false">IF($C319="","",IF($E319="SI",2,1))</f>
        <v/>
      </c>
      <c r="M319" s="9" t="str">
        <f aca="false">IF($C319="","",$K319*$L319)</f>
        <v/>
      </c>
    </row>
    <row r="320" customFormat="false" ht="15" hidden="false" customHeight="true" outlineLevel="0" collapsed="false">
      <c r="A320" s="9" t="str">
        <f aca="false">IF(Equips_usuari!A320="","",Equips_usuari!A320)</f>
        <v/>
      </c>
      <c r="B320" s="9" t="str">
        <f aca="false">IF(Equips_usuari!B320="","",Equips_usuari!B320)</f>
        <v/>
      </c>
      <c r="C320" s="9" t="str">
        <f aca="false">IF(Equips_usuari!C320="","",Equips_usuari!C320)</f>
        <v/>
      </c>
      <c r="D320" s="9" t="str">
        <f aca="false">IF(Equips_usuari!D320="","",Equips_usuari!D320)</f>
        <v/>
      </c>
      <c r="E320" s="9" t="str">
        <f aca="false">IF(Equips_usuari!F320="","",Equips_usuari!F320)</f>
        <v/>
      </c>
      <c r="F320" s="9" t="str">
        <f aca="false">IF($C320="","",SUMIFS(Resultats_jugadores!$C:$C,Resultats_jugadores!$A:$A,$A320,Resultats_jugadores!$B:$B,$C320))</f>
        <v/>
      </c>
      <c r="G320" s="9" t="str">
        <f aca="false">IF($C320="","",SUMIFS(Resultats_jugadores!$D:$D,Resultats_jugadores!$A:$A,$A320,Resultats_jugadores!$B:$B,$C320))</f>
        <v/>
      </c>
      <c r="H320" s="9" t="str">
        <f aca="false">IF($C320="","",N($F320)-N($G320))</f>
        <v/>
      </c>
      <c r="I320" s="9" t="str">
        <f aca="false">IF($C320="","",IFERROR(INDEX(Partits!$C:$C,MATCH($A320&amp;"_"&amp;$D320,Partits!$D:$D,0)),""))</f>
        <v/>
      </c>
      <c r="J320" s="9" t="str">
        <f aca="false">IF($C320="","",IF(AND($I320="V",N($H320)&gt;0),1.2,1))</f>
        <v/>
      </c>
      <c r="K320" s="9" t="str">
        <f aca="false">IF($C320="","",N($H320)*$J320)</f>
        <v/>
      </c>
      <c r="L320" s="9" t="str">
        <f aca="false">IF($C320="","",IF($E320="SI",2,1))</f>
        <v/>
      </c>
      <c r="M320" s="9" t="str">
        <f aca="false">IF($C320="","",$K320*$L320)</f>
        <v/>
      </c>
    </row>
    <row r="321" customFormat="false" ht="15" hidden="false" customHeight="true" outlineLevel="0" collapsed="false">
      <c r="A321" s="9" t="str">
        <f aca="false">IF(Equips_usuari!A321="","",Equips_usuari!A321)</f>
        <v/>
      </c>
      <c r="B321" s="9" t="str">
        <f aca="false">IF(Equips_usuari!B321="","",Equips_usuari!B321)</f>
        <v/>
      </c>
      <c r="C321" s="9" t="str">
        <f aca="false">IF(Equips_usuari!C321="","",Equips_usuari!C321)</f>
        <v/>
      </c>
      <c r="D321" s="9" t="str">
        <f aca="false">IF(Equips_usuari!D321="","",Equips_usuari!D321)</f>
        <v/>
      </c>
      <c r="E321" s="9" t="str">
        <f aca="false">IF(Equips_usuari!F321="","",Equips_usuari!F321)</f>
        <v/>
      </c>
      <c r="F321" s="9" t="str">
        <f aca="false">IF($C321="","",SUMIFS(Resultats_jugadores!$C:$C,Resultats_jugadores!$A:$A,$A321,Resultats_jugadores!$B:$B,$C321))</f>
        <v/>
      </c>
      <c r="G321" s="9" t="str">
        <f aca="false">IF($C321="","",SUMIFS(Resultats_jugadores!$D:$D,Resultats_jugadores!$A:$A,$A321,Resultats_jugadores!$B:$B,$C321))</f>
        <v/>
      </c>
      <c r="H321" s="9" t="str">
        <f aca="false">IF($C321="","",N($F321)-N($G321))</f>
        <v/>
      </c>
      <c r="I321" s="9" t="str">
        <f aca="false">IF($C321="","",IFERROR(INDEX(Partits!$C:$C,MATCH($A321&amp;"_"&amp;$D321,Partits!$D:$D,0)),""))</f>
        <v/>
      </c>
      <c r="J321" s="9" t="str">
        <f aca="false">IF($C321="","",IF(AND($I321="V",N($H321)&gt;0),1.2,1))</f>
        <v/>
      </c>
      <c r="K321" s="9" t="str">
        <f aca="false">IF($C321="","",N($H321)*$J321)</f>
        <v/>
      </c>
      <c r="L321" s="9" t="str">
        <f aca="false">IF($C321="","",IF($E321="SI",2,1))</f>
        <v/>
      </c>
      <c r="M321" s="9" t="str">
        <f aca="false">IF($C321="","",$K321*$L321)</f>
        <v/>
      </c>
    </row>
    <row r="322" customFormat="false" ht="15" hidden="false" customHeight="true" outlineLevel="0" collapsed="false">
      <c r="A322" s="9" t="str">
        <f aca="false">IF(Equips_usuari!A322="","",Equips_usuari!A322)</f>
        <v/>
      </c>
      <c r="B322" s="9" t="str">
        <f aca="false">IF(Equips_usuari!B322="","",Equips_usuari!B322)</f>
        <v/>
      </c>
      <c r="C322" s="9" t="str">
        <f aca="false">IF(Equips_usuari!C322="","",Equips_usuari!C322)</f>
        <v/>
      </c>
      <c r="D322" s="9" t="str">
        <f aca="false">IF(Equips_usuari!D322="","",Equips_usuari!D322)</f>
        <v/>
      </c>
      <c r="E322" s="9" t="str">
        <f aca="false">IF(Equips_usuari!F322="","",Equips_usuari!F322)</f>
        <v/>
      </c>
      <c r="F322" s="9" t="str">
        <f aca="false">IF($C322="","",SUMIFS(Resultats_jugadores!$C:$C,Resultats_jugadores!$A:$A,$A322,Resultats_jugadores!$B:$B,$C322))</f>
        <v/>
      </c>
      <c r="G322" s="9" t="str">
        <f aca="false">IF($C322="","",SUMIFS(Resultats_jugadores!$D:$D,Resultats_jugadores!$A:$A,$A322,Resultats_jugadores!$B:$B,$C322))</f>
        <v/>
      </c>
      <c r="H322" s="9" t="str">
        <f aca="false">IF($C322="","",N($F322)-N($G322))</f>
        <v/>
      </c>
      <c r="I322" s="9" t="str">
        <f aca="false">IF($C322="","",IFERROR(INDEX(Partits!$C:$C,MATCH($A322&amp;"_"&amp;$D322,Partits!$D:$D,0)),""))</f>
        <v/>
      </c>
      <c r="J322" s="9" t="str">
        <f aca="false">IF($C322="","",IF(AND($I322="V",N($H322)&gt;0),1.2,1))</f>
        <v/>
      </c>
      <c r="K322" s="9" t="str">
        <f aca="false">IF($C322="","",N($H322)*$J322)</f>
        <v/>
      </c>
      <c r="L322" s="9" t="str">
        <f aca="false">IF($C322="","",IF($E322="SI",2,1))</f>
        <v/>
      </c>
      <c r="M322" s="9" t="str">
        <f aca="false">IF($C322="","",$K322*$L322)</f>
        <v/>
      </c>
    </row>
    <row r="323" customFormat="false" ht="15" hidden="false" customHeight="true" outlineLevel="0" collapsed="false">
      <c r="A323" s="9" t="str">
        <f aca="false">IF(Equips_usuari!A323="","",Equips_usuari!A323)</f>
        <v/>
      </c>
      <c r="B323" s="9" t="str">
        <f aca="false">IF(Equips_usuari!B323="","",Equips_usuari!B323)</f>
        <v/>
      </c>
      <c r="C323" s="9" t="str">
        <f aca="false">IF(Equips_usuari!C323="","",Equips_usuari!C323)</f>
        <v/>
      </c>
      <c r="D323" s="9" t="str">
        <f aca="false">IF(Equips_usuari!D323="","",Equips_usuari!D323)</f>
        <v/>
      </c>
      <c r="E323" s="9" t="str">
        <f aca="false">IF(Equips_usuari!F323="","",Equips_usuari!F323)</f>
        <v/>
      </c>
      <c r="F323" s="9" t="str">
        <f aca="false">IF($C323="","",SUMIFS(Resultats_jugadores!$C:$C,Resultats_jugadores!$A:$A,$A323,Resultats_jugadores!$B:$B,$C323))</f>
        <v/>
      </c>
      <c r="G323" s="9" t="str">
        <f aca="false">IF($C323="","",SUMIFS(Resultats_jugadores!$D:$D,Resultats_jugadores!$A:$A,$A323,Resultats_jugadores!$B:$B,$C323))</f>
        <v/>
      </c>
      <c r="H323" s="9" t="str">
        <f aca="false">IF($C323="","",N($F323)-N($G323))</f>
        <v/>
      </c>
      <c r="I323" s="9" t="str">
        <f aca="false">IF($C323="","",IFERROR(INDEX(Partits!$C:$C,MATCH($A323&amp;"_"&amp;$D323,Partits!$D:$D,0)),""))</f>
        <v/>
      </c>
      <c r="J323" s="9" t="str">
        <f aca="false">IF($C323="","",IF(AND($I323="V",N($H323)&gt;0),1.2,1))</f>
        <v/>
      </c>
      <c r="K323" s="9" t="str">
        <f aca="false">IF($C323="","",N($H323)*$J323)</f>
        <v/>
      </c>
      <c r="L323" s="9" t="str">
        <f aca="false">IF($C323="","",IF($E323="SI",2,1))</f>
        <v/>
      </c>
      <c r="M323" s="9" t="str">
        <f aca="false">IF($C323="","",$K323*$L323)</f>
        <v/>
      </c>
    </row>
    <row r="324" customFormat="false" ht="15" hidden="false" customHeight="true" outlineLevel="0" collapsed="false">
      <c r="A324" s="9" t="str">
        <f aca="false">IF(Equips_usuari!A324="","",Equips_usuari!A324)</f>
        <v/>
      </c>
      <c r="B324" s="9" t="str">
        <f aca="false">IF(Equips_usuari!B324="","",Equips_usuari!B324)</f>
        <v/>
      </c>
      <c r="C324" s="9" t="str">
        <f aca="false">IF(Equips_usuari!C324="","",Equips_usuari!C324)</f>
        <v/>
      </c>
      <c r="D324" s="9" t="str">
        <f aca="false">IF(Equips_usuari!D324="","",Equips_usuari!D324)</f>
        <v/>
      </c>
      <c r="E324" s="9" t="str">
        <f aca="false">IF(Equips_usuari!F324="","",Equips_usuari!F324)</f>
        <v/>
      </c>
      <c r="F324" s="9" t="str">
        <f aca="false">IF($C324="","",SUMIFS(Resultats_jugadores!$C:$C,Resultats_jugadores!$A:$A,$A324,Resultats_jugadores!$B:$B,$C324))</f>
        <v/>
      </c>
      <c r="G324" s="9" t="str">
        <f aca="false">IF($C324="","",SUMIFS(Resultats_jugadores!$D:$D,Resultats_jugadores!$A:$A,$A324,Resultats_jugadores!$B:$B,$C324))</f>
        <v/>
      </c>
      <c r="H324" s="9" t="str">
        <f aca="false">IF($C324="","",N($F324)-N($G324))</f>
        <v/>
      </c>
      <c r="I324" s="9" t="str">
        <f aca="false">IF($C324="","",IFERROR(INDEX(Partits!$C:$C,MATCH($A324&amp;"_"&amp;$D324,Partits!$D:$D,0)),""))</f>
        <v/>
      </c>
      <c r="J324" s="9" t="str">
        <f aca="false">IF($C324="","",IF(AND($I324="V",N($H324)&gt;0),1.2,1))</f>
        <v/>
      </c>
      <c r="K324" s="9" t="str">
        <f aca="false">IF($C324="","",N($H324)*$J324)</f>
        <v/>
      </c>
      <c r="L324" s="9" t="str">
        <f aca="false">IF($C324="","",IF($E324="SI",2,1))</f>
        <v/>
      </c>
      <c r="M324" s="9" t="str">
        <f aca="false">IF($C324="","",$K324*$L324)</f>
        <v/>
      </c>
    </row>
    <row r="325" customFormat="false" ht="15" hidden="false" customHeight="true" outlineLevel="0" collapsed="false">
      <c r="A325" s="9" t="str">
        <f aca="false">IF(Equips_usuari!A325="","",Equips_usuari!A325)</f>
        <v/>
      </c>
      <c r="B325" s="9" t="str">
        <f aca="false">IF(Equips_usuari!B325="","",Equips_usuari!B325)</f>
        <v/>
      </c>
      <c r="C325" s="9" t="str">
        <f aca="false">IF(Equips_usuari!C325="","",Equips_usuari!C325)</f>
        <v/>
      </c>
      <c r="D325" s="9" t="str">
        <f aca="false">IF(Equips_usuari!D325="","",Equips_usuari!D325)</f>
        <v/>
      </c>
      <c r="E325" s="9" t="str">
        <f aca="false">IF(Equips_usuari!F325="","",Equips_usuari!F325)</f>
        <v/>
      </c>
      <c r="F325" s="9" t="str">
        <f aca="false">IF($C325="","",SUMIFS(Resultats_jugadores!$C:$C,Resultats_jugadores!$A:$A,$A325,Resultats_jugadores!$B:$B,$C325))</f>
        <v/>
      </c>
      <c r="G325" s="9" t="str">
        <f aca="false">IF($C325="","",SUMIFS(Resultats_jugadores!$D:$D,Resultats_jugadores!$A:$A,$A325,Resultats_jugadores!$B:$B,$C325))</f>
        <v/>
      </c>
      <c r="H325" s="9" t="str">
        <f aca="false">IF($C325="","",N($F325)-N($G325))</f>
        <v/>
      </c>
      <c r="I325" s="9" t="str">
        <f aca="false">IF($C325="","",IFERROR(INDEX(Partits!$C:$C,MATCH($A325&amp;"_"&amp;$D325,Partits!$D:$D,0)),""))</f>
        <v/>
      </c>
      <c r="J325" s="9" t="str">
        <f aca="false">IF($C325="","",IF(AND($I325="V",N($H325)&gt;0),1.2,1))</f>
        <v/>
      </c>
      <c r="K325" s="9" t="str">
        <f aca="false">IF($C325="","",N($H325)*$J325)</f>
        <v/>
      </c>
      <c r="L325" s="9" t="str">
        <f aca="false">IF($C325="","",IF($E325="SI",2,1))</f>
        <v/>
      </c>
      <c r="M325" s="9" t="str">
        <f aca="false">IF($C325="","",$K325*$L325)</f>
        <v/>
      </c>
    </row>
    <row r="326" customFormat="false" ht="15" hidden="false" customHeight="true" outlineLevel="0" collapsed="false">
      <c r="A326" s="9" t="str">
        <f aca="false">IF(Equips_usuari!A326="","",Equips_usuari!A326)</f>
        <v/>
      </c>
      <c r="B326" s="9" t="str">
        <f aca="false">IF(Equips_usuari!B326="","",Equips_usuari!B326)</f>
        <v/>
      </c>
      <c r="C326" s="9" t="str">
        <f aca="false">IF(Equips_usuari!C326="","",Equips_usuari!C326)</f>
        <v/>
      </c>
      <c r="D326" s="9" t="str">
        <f aca="false">IF(Equips_usuari!D326="","",Equips_usuari!D326)</f>
        <v/>
      </c>
      <c r="E326" s="9" t="str">
        <f aca="false">IF(Equips_usuari!F326="","",Equips_usuari!F326)</f>
        <v/>
      </c>
      <c r="F326" s="9" t="str">
        <f aca="false">IF($C326="","",SUMIFS(Resultats_jugadores!$C:$C,Resultats_jugadores!$A:$A,$A326,Resultats_jugadores!$B:$B,$C326))</f>
        <v/>
      </c>
      <c r="G326" s="9" t="str">
        <f aca="false">IF($C326="","",SUMIFS(Resultats_jugadores!$D:$D,Resultats_jugadores!$A:$A,$A326,Resultats_jugadores!$B:$B,$C326))</f>
        <v/>
      </c>
      <c r="H326" s="9" t="str">
        <f aca="false">IF($C326="","",N($F326)-N($G326))</f>
        <v/>
      </c>
      <c r="I326" s="9" t="str">
        <f aca="false">IF($C326="","",IFERROR(INDEX(Partits!$C:$C,MATCH($A326&amp;"_"&amp;$D326,Partits!$D:$D,0)),""))</f>
        <v/>
      </c>
      <c r="J326" s="9" t="str">
        <f aca="false">IF($C326="","",IF(AND($I326="V",N($H326)&gt;0),1.2,1))</f>
        <v/>
      </c>
      <c r="K326" s="9" t="str">
        <f aca="false">IF($C326="","",N($H326)*$J326)</f>
        <v/>
      </c>
      <c r="L326" s="9" t="str">
        <f aca="false">IF($C326="","",IF($E326="SI",2,1))</f>
        <v/>
      </c>
      <c r="M326" s="9" t="str">
        <f aca="false">IF($C326="","",$K326*$L326)</f>
        <v/>
      </c>
    </row>
    <row r="327" customFormat="false" ht="15" hidden="false" customHeight="true" outlineLevel="0" collapsed="false">
      <c r="A327" s="9" t="str">
        <f aca="false">IF(Equips_usuari!A327="","",Equips_usuari!A327)</f>
        <v/>
      </c>
      <c r="B327" s="9" t="str">
        <f aca="false">IF(Equips_usuari!B327="","",Equips_usuari!B327)</f>
        <v/>
      </c>
      <c r="C327" s="9" t="str">
        <f aca="false">IF(Equips_usuari!C327="","",Equips_usuari!C327)</f>
        <v/>
      </c>
      <c r="D327" s="9" t="str">
        <f aca="false">IF(Equips_usuari!D327="","",Equips_usuari!D327)</f>
        <v/>
      </c>
      <c r="E327" s="9" t="str">
        <f aca="false">IF(Equips_usuari!F327="","",Equips_usuari!F327)</f>
        <v/>
      </c>
      <c r="F327" s="9" t="str">
        <f aca="false">IF($C327="","",SUMIFS(Resultats_jugadores!$C:$C,Resultats_jugadores!$A:$A,$A327,Resultats_jugadores!$B:$B,$C327))</f>
        <v/>
      </c>
      <c r="G327" s="9" t="str">
        <f aca="false">IF($C327="","",SUMIFS(Resultats_jugadores!$D:$D,Resultats_jugadores!$A:$A,$A327,Resultats_jugadores!$B:$B,$C327))</f>
        <v/>
      </c>
      <c r="H327" s="9" t="str">
        <f aca="false">IF($C327="","",N($F327)-N($G327))</f>
        <v/>
      </c>
      <c r="I327" s="9" t="str">
        <f aca="false">IF($C327="","",IFERROR(INDEX(Partits!$C:$C,MATCH($A327&amp;"_"&amp;$D327,Partits!$D:$D,0)),""))</f>
        <v/>
      </c>
      <c r="J327" s="9" t="str">
        <f aca="false">IF($C327="","",IF(AND($I327="V",N($H327)&gt;0),1.2,1))</f>
        <v/>
      </c>
      <c r="K327" s="9" t="str">
        <f aca="false">IF($C327="","",N($H327)*$J327)</f>
        <v/>
      </c>
      <c r="L327" s="9" t="str">
        <f aca="false">IF($C327="","",IF($E327="SI",2,1))</f>
        <v/>
      </c>
      <c r="M327" s="9" t="str">
        <f aca="false">IF($C327="","",$K327*$L327)</f>
        <v/>
      </c>
    </row>
    <row r="328" customFormat="false" ht="15" hidden="false" customHeight="true" outlineLevel="0" collapsed="false">
      <c r="A328" s="9" t="str">
        <f aca="false">IF(Equips_usuari!A328="","",Equips_usuari!A328)</f>
        <v/>
      </c>
      <c r="B328" s="9" t="str">
        <f aca="false">IF(Equips_usuari!B328="","",Equips_usuari!B328)</f>
        <v/>
      </c>
      <c r="C328" s="9" t="str">
        <f aca="false">IF(Equips_usuari!C328="","",Equips_usuari!C328)</f>
        <v/>
      </c>
      <c r="D328" s="9" t="str">
        <f aca="false">IF(Equips_usuari!D328="","",Equips_usuari!D328)</f>
        <v/>
      </c>
      <c r="E328" s="9" t="str">
        <f aca="false">IF(Equips_usuari!F328="","",Equips_usuari!F328)</f>
        <v/>
      </c>
      <c r="F328" s="9" t="str">
        <f aca="false">IF($C328="","",SUMIFS(Resultats_jugadores!$C:$C,Resultats_jugadores!$A:$A,$A328,Resultats_jugadores!$B:$B,$C328))</f>
        <v/>
      </c>
      <c r="G328" s="9" t="str">
        <f aca="false">IF($C328="","",SUMIFS(Resultats_jugadores!$D:$D,Resultats_jugadores!$A:$A,$A328,Resultats_jugadores!$B:$B,$C328))</f>
        <v/>
      </c>
      <c r="H328" s="9" t="str">
        <f aca="false">IF($C328="","",N($F328)-N($G328))</f>
        <v/>
      </c>
      <c r="I328" s="9" t="str">
        <f aca="false">IF($C328="","",IFERROR(INDEX(Partits!$C:$C,MATCH($A328&amp;"_"&amp;$D328,Partits!$D:$D,0)),""))</f>
        <v/>
      </c>
      <c r="J328" s="9" t="str">
        <f aca="false">IF($C328="","",IF(AND($I328="V",N($H328)&gt;0),1.2,1))</f>
        <v/>
      </c>
      <c r="K328" s="9" t="str">
        <f aca="false">IF($C328="","",N($H328)*$J328)</f>
        <v/>
      </c>
      <c r="L328" s="9" t="str">
        <f aca="false">IF($C328="","",IF($E328="SI",2,1))</f>
        <v/>
      </c>
      <c r="M328" s="9" t="str">
        <f aca="false">IF($C328="","",$K328*$L328)</f>
        <v/>
      </c>
    </row>
    <row r="329" customFormat="false" ht="15" hidden="false" customHeight="true" outlineLevel="0" collapsed="false">
      <c r="A329" s="9" t="str">
        <f aca="false">IF(Equips_usuari!A329="","",Equips_usuari!A329)</f>
        <v/>
      </c>
      <c r="B329" s="9" t="str">
        <f aca="false">IF(Equips_usuari!B329="","",Equips_usuari!B329)</f>
        <v/>
      </c>
      <c r="C329" s="9" t="str">
        <f aca="false">IF(Equips_usuari!C329="","",Equips_usuari!C329)</f>
        <v/>
      </c>
      <c r="D329" s="9" t="str">
        <f aca="false">IF(Equips_usuari!D329="","",Equips_usuari!D329)</f>
        <v/>
      </c>
      <c r="E329" s="9" t="str">
        <f aca="false">IF(Equips_usuari!F329="","",Equips_usuari!F329)</f>
        <v/>
      </c>
      <c r="F329" s="9" t="str">
        <f aca="false">IF($C329="","",SUMIFS(Resultats_jugadores!$C:$C,Resultats_jugadores!$A:$A,$A329,Resultats_jugadores!$B:$B,$C329))</f>
        <v/>
      </c>
      <c r="G329" s="9" t="str">
        <f aca="false">IF($C329="","",SUMIFS(Resultats_jugadores!$D:$D,Resultats_jugadores!$A:$A,$A329,Resultats_jugadores!$B:$B,$C329))</f>
        <v/>
      </c>
      <c r="H329" s="9" t="str">
        <f aca="false">IF($C329="","",N($F329)-N($G329))</f>
        <v/>
      </c>
      <c r="I329" s="9" t="str">
        <f aca="false">IF($C329="","",IFERROR(INDEX(Partits!$C:$C,MATCH($A329&amp;"_"&amp;$D329,Partits!$D:$D,0)),""))</f>
        <v/>
      </c>
      <c r="J329" s="9" t="str">
        <f aca="false">IF($C329="","",IF(AND($I329="V",N($H329)&gt;0),1.2,1))</f>
        <v/>
      </c>
      <c r="K329" s="9" t="str">
        <f aca="false">IF($C329="","",N($H329)*$J329)</f>
        <v/>
      </c>
      <c r="L329" s="9" t="str">
        <f aca="false">IF($C329="","",IF($E329="SI",2,1))</f>
        <v/>
      </c>
      <c r="M329" s="9" t="str">
        <f aca="false">IF($C329="","",$K329*$L329)</f>
        <v/>
      </c>
    </row>
    <row r="330" customFormat="false" ht="15" hidden="false" customHeight="true" outlineLevel="0" collapsed="false">
      <c r="A330" s="9" t="str">
        <f aca="false">IF(Equips_usuari!A330="","",Equips_usuari!A330)</f>
        <v/>
      </c>
      <c r="B330" s="9" t="str">
        <f aca="false">IF(Equips_usuari!B330="","",Equips_usuari!B330)</f>
        <v/>
      </c>
      <c r="C330" s="9" t="str">
        <f aca="false">IF(Equips_usuari!C330="","",Equips_usuari!C330)</f>
        <v/>
      </c>
      <c r="D330" s="9" t="str">
        <f aca="false">IF(Equips_usuari!D330="","",Equips_usuari!D330)</f>
        <v/>
      </c>
      <c r="E330" s="9" t="str">
        <f aca="false">IF(Equips_usuari!F330="","",Equips_usuari!F330)</f>
        <v/>
      </c>
      <c r="F330" s="9" t="str">
        <f aca="false">IF($C330="","",SUMIFS(Resultats_jugadores!$C:$C,Resultats_jugadores!$A:$A,$A330,Resultats_jugadores!$B:$B,$C330))</f>
        <v/>
      </c>
      <c r="G330" s="9" t="str">
        <f aca="false">IF($C330="","",SUMIFS(Resultats_jugadores!$D:$D,Resultats_jugadores!$A:$A,$A330,Resultats_jugadores!$B:$B,$C330))</f>
        <v/>
      </c>
      <c r="H330" s="9" t="str">
        <f aca="false">IF($C330="","",N($F330)-N($G330))</f>
        <v/>
      </c>
      <c r="I330" s="9" t="str">
        <f aca="false">IF($C330="","",IFERROR(INDEX(Partits!$C:$C,MATCH($A330&amp;"_"&amp;$D330,Partits!$D:$D,0)),""))</f>
        <v/>
      </c>
      <c r="J330" s="9" t="str">
        <f aca="false">IF($C330="","",IF(AND($I330="V",N($H330)&gt;0),1.2,1))</f>
        <v/>
      </c>
      <c r="K330" s="9" t="str">
        <f aca="false">IF($C330="","",N($H330)*$J330)</f>
        <v/>
      </c>
      <c r="L330" s="9" t="str">
        <f aca="false">IF($C330="","",IF($E330="SI",2,1))</f>
        <v/>
      </c>
      <c r="M330" s="9" t="str">
        <f aca="false">IF($C330="","",$K330*$L330)</f>
        <v/>
      </c>
    </row>
    <row r="331" customFormat="false" ht="15" hidden="false" customHeight="true" outlineLevel="0" collapsed="false">
      <c r="A331" s="9" t="str">
        <f aca="false">IF(Equips_usuari!A331="","",Equips_usuari!A331)</f>
        <v/>
      </c>
      <c r="B331" s="9" t="str">
        <f aca="false">IF(Equips_usuari!B331="","",Equips_usuari!B331)</f>
        <v/>
      </c>
      <c r="C331" s="9" t="str">
        <f aca="false">IF(Equips_usuari!C331="","",Equips_usuari!C331)</f>
        <v/>
      </c>
      <c r="D331" s="9" t="str">
        <f aca="false">IF(Equips_usuari!D331="","",Equips_usuari!D331)</f>
        <v/>
      </c>
      <c r="E331" s="9" t="str">
        <f aca="false">IF(Equips_usuari!F331="","",Equips_usuari!F331)</f>
        <v/>
      </c>
      <c r="F331" s="9" t="str">
        <f aca="false">IF($C331="","",SUMIFS(Resultats_jugadores!$C:$C,Resultats_jugadores!$A:$A,$A331,Resultats_jugadores!$B:$B,$C331))</f>
        <v/>
      </c>
      <c r="G331" s="9" t="str">
        <f aca="false">IF($C331="","",SUMIFS(Resultats_jugadores!$D:$D,Resultats_jugadores!$A:$A,$A331,Resultats_jugadores!$B:$B,$C331))</f>
        <v/>
      </c>
      <c r="H331" s="9" t="str">
        <f aca="false">IF($C331="","",N($F331)-N($G331))</f>
        <v/>
      </c>
      <c r="I331" s="9" t="str">
        <f aca="false">IF($C331="","",IFERROR(INDEX(Partits!$C:$C,MATCH($A331&amp;"_"&amp;$D331,Partits!$D:$D,0)),""))</f>
        <v/>
      </c>
      <c r="J331" s="9" t="str">
        <f aca="false">IF($C331="","",IF(AND($I331="V",N($H331)&gt;0),1.2,1))</f>
        <v/>
      </c>
      <c r="K331" s="9" t="str">
        <f aca="false">IF($C331="","",N($H331)*$J331)</f>
        <v/>
      </c>
      <c r="L331" s="9" t="str">
        <f aca="false">IF($C331="","",IF($E331="SI",2,1))</f>
        <v/>
      </c>
      <c r="M331" s="9" t="str">
        <f aca="false">IF($C331="","",$K331*$L331)</f>
        <v/>
      </c>
    </row>
    <row r="332" customFormat="false" ht="15" hidden="false" customHeight="true" outlineLevel="0" collapsed="false">
      <c r="A332" s="9" t="str">
        <f aca="false">IF(Equips_usuari!A332="","",Equips_usuari!A332)</f>
        <v/>
      </c>
      <c r="B332" s="9" t="str">
        <f aca="false">IF(Equips_usuari!B332="","",Equips_usuari!B332)</f>
        <v/>
      </c>
      <c r="C332" s="9" t="str">
        <f aca="false">IF(Equips_usuari!C332="","",Equips_usuari!C332)</f>
        <v/>
      </c>
      <c r="D332" s="9" t="str">
        <f aca="false">IF(Equips_usuari!D332="","",Equips_usuari!D332)</f>
        <v/>
      </c>
      <c r="E332" s="9" t="str">
        <f aca="false">IF(Equips_usuari!F332="","",Equips_usuari!F332)</f>
        <v/>
      </c>
      <c r="F332" s="9" t="str">
        <f aca="false">IF($C332="","",SUMIFS(Resultats_jugadores!$C:$C,Resultats_jugadores!$A:$A,$A332,Resultats_jugadores!$B:$B,$C332))</f>
        <v/>
      </c>
      <c r="G332" s="9" t="str">
        <f aca="false">IF($C332="","",SUMIFS(Resultats_jugadores!$D:$D,Resultats_jugadores!$A:$A,$A332,Resultats_jugadores!$B:$B,$C332))</f>
        <v/>
      </c>
      <c r="H332" s="9" t="str">
        <f aca="false">IF($C332="","",N($F332)-N($G332))</f>
        <v/>
      </c>
      <c r="I332" s="9" t="str">
        <f aca="false">IF($C332="","",IFERROR(INDEX(Partits!$C:$C,MATCH($A332&amp;"_"&amp;$D332,Partits!$D:$D,0)),""))</f>
        <v/>
      </c>
      <c r="J332" s="9" t="str">
        <f aca="false">IF($C332="","",IF(AND($I332="V",N($H332)&gt;0),1.2,1))</f>
        <v/>
      </c>
      <c r="K332" s="9" t="str">
        <f aca="false">IF($C332="","",N($H332)*$J332)</f>
        <v/>
      </c>
      <c r="L332" s="9" t="str">
        <f aca="false">IF($C332="","",IF($E332="SI",2,1))</f>
        <v/>
      </c>
      <c r="M332" s="9" t="str">
        <f aca="false">IF($C332="","",$K332*$L332)</f>
        <v/>
      </c>
    </row>
    <row r="333" customFormat="false" ht="15" hidden="false" customHeight="true" outlineLevel="0" collapsed="false">
      <c r="A333" s="9" t="str">
        <f aca="false">IF(Equips_usuari!A333="","",Equips_usuari!A333)</f>
        <v/>
      </c>
      <c r="B333" s="9" t="str">
        <f aca="false">IF(Equips_usuari!B333="","",Equips_usuari!B333)</f>
        <v/>
      </c>
      <c r="C333" s="9" t="str">
        <f aca="false">IF(Equips_usuari!C333="","",Equips_usuari!C333)</f>
        <v/>
      </c>
      <c r="D333" s="9" t="str">
        <f aca="false">IF(Equips_usuari!D333="","",Equips_usuari!D333)</f>
        <v/>
      </c>
      <c r="E333" s="9" t="str">
        <f aca="false">IF(Equips_usuari!F333="","",Equips_usuari!F333)</f>
        <v/>
      </c>
      <c r="F333" s="9" t="str">
        <f aca="false">IF($C333="","",SUMIFS(Resultats_jugadores!$C:$C,Resultats_jugadores!$A:$A,$A333,Resultats_jugadores!$B:$B,$C333))</f>
        <v/>
      </c>
      <c r="G333" s="9" t="str">
        <f aca="false">IF($C333="","",SUMIFS(Resultats_jugadores!$D:$D,Resultats_jugadores!$A:$A,$A333,Resultats_jugadores!$B:$B,$C333))</f>
        <v/>
      </c>
      <c r="H333" s="9" t="str">
        <f aca="false">IF($C333="","",N($F333)-N($G333))</f>
        <v/>
      </c>
      <c r="I333" s="9" t="str">
        <f aca="false">IF($C333="","",IFERROR(INDEX(Partits!$C:$C,MATCH($A333&amp;"_"&amp;$D333,Partits!$D:$D,0)),""))</f>
        <v/>
      </c>
      <c r="J333" s="9" t="str">
        <f aca="false">IF($C333="","",IF(AND($I333="V",N($H333)&gt;0),1.2,1))</f>
        <v/>
      </c>
      <c r="K333" s="9" t="str">
        <f aca="false">IF($C333="","",N($H333)*$J333)</f>
        <v/>
      </c>
      <c r="L333" s="9" t="str">
        <f aca="false">IF($C333="","",IF($E333="SI",2,1))</f>
        <v/>
      </c>
      <c r="M333" s="9" t="str">
        <f aca="false">IF($C333="","",$K333*$L333)</f>
        <v/>
      </c>
    </row>
    <row r="334" customFormat="false" ht="15" hidden="false" customHeight="true" outlineLevel="0" collapsed="false">
      <c r="A334" s="9" t="str">
        <f aca="false">IF(Equips_usuari!A334="","",Equips_usuari!A334)</f>
        <v/>
      </c>
      <c r="B334" s="9" t="str">
        <f aca="false">IF(Equips_usuari!B334="","",Equips_usuari!B334)</f>
        <v/>
      </c>
      <c r="C334" s="9" t="str">
        <f aca="false">IF(Equips_usuari!C334="","",Equips_usuari!C334)</f>
        <v/>
      </c>
      <c r="D334" s="9" t="str">
        <f aca="false">IF(Equips_usuari!D334="","",Equips_usuari!D334)</f>
        <v/>
      </c>
      <c r="E334" s="9" t="str">
        <f aca="false">IF(Equips_usuari!F334="","",Equips_usuari!F334)</f>
        <v/>
      </c>
      <c r="F334" s="9" t="str">
        <f aca="false">IF($C334="","",SUMIFS(Resultats_jugadores!$C:$C,Resultats_jugadores!$A:$A,$A334,Resultats_jugadores!$B:$B,$C334))</f>
        <v/>
      </c>
      <c r="G334" s="9" t="str">
        <f aca="false">IF($C334="","",SUMIFS(Resultats_jugadores!$D:$D,Resultats_jugadores!$A:$A,$A334,Resultats_jugadores!$B:$B,$C334))</f>
        <v/>
      </c>
      <c r="H334" s="9" t="str">
        <f aca="false">IF($C334="","",N($F334)-N($G334))</f>
        <v/>
      </c>
      <c r="I334" s="9" t="str">
        <f aca="false">IF($C334="","",IFERROR(INDEX(Partits!$C:$C,MATCH($A334&amp;"_"&amp;$D334,Partits!$D:$D,0)),""))</f>
        <v/>
      </c>
      <c r="J334" s="9" t="str">
        <f aca="false">IF($C334="","",IF(AND($I334="V",N($H334)&gt;0),1.2,1))</f>
        <v/>
      </c>
      <c r="K334" s="9" t="str">
        <f aca="false">IF($C334="","",N($H334)*$J334)</f>
        <v/>
      </c>
      <c r="L334" s="9" t="str">
        <f aca="false">IF($C334="","",IF($E334="SI",2,1))</f>
        <v/>
      </c>
      <c r="M334" s="9" t="str">
        <f aca="false">IF($C334="","",$K334*$L334)</f>
        <v/>
      </c>
    </row>
    <row r="335" customFormat="false" ht="15" hidden="false" customHeight="true" outlineLevel="0" collapsed="false">
      <c r="A335" s="9" t="str">
        <f aca="false">IF(Equips_usuari!A335="","",Equips_usuari!A335)</f>
        <v/>
      </c>
      <c r="B335" s="9" t="str">
        <f aca="false">IF(Equips_usuari!B335="","",Equips_usuari!B335)</f>
        <v/>
      </c>
      <c r="C335" s="9" t="str">
        <f aca="false">IF(Equips_usuari!C335="","",Equips_usuari!C335)</f>
        <v/>
      </c>
      <c r="D335" s="9" t="str">
        <f aca="false">IF(Equips_usuari!D335="","",Equips_usuari!D335)</f>
        <v/>
      </c>
      <c r="E335" s="9" t="str">
        <f aca="false">IF(Equips_usuari!F335="","",Equips_usuari!F335)</f>
        <v/>
      </c>
      <c r="F335" s="9" t="str">
        <f aca="false">IF($C335="","",SUMIFS(Resultats_jugadores!$C:$C,Resultats_jugadores!$A:$A,$A335,Resultats_jugadores!$B:$B,$C335))</f>
        <v/>
      </c>
      <c r="G335" s="9" t="str">
        <f aca="false">IF($C335="","",SUMIFS(Resultats_jugadores!$D:$D,Resultats_jugadores!$A:$A,$A335,Resultats_jugadores!$B:$B,$C335))</f>
        <v/>
      </c>
      <c r="H335" s="9" t="str">
        <f aca="false">IF($C335="","",N($F335)-N($G335))</f>
        <v/>
      </c>
      <c r="I335" s="9" t="str">
        <f aca="false">IF($C335="","",IFERROR(INDEX(Partits!$C:$C,MATCH($A335&amp;"_"&amp;$D335,Partits!$D:$D,0)),""))</f>
        <v/>
      </c>
      <c r="J335" s="9" t="str">
        <f aca="false">IF($C335="","",IF(AND($I335="V",N($H335)&gt;0),1.2,1))</f>
        <v/>
      </c>
      <c r="K335" s="9" t="str">
        <f aca="false">IF($C335="","",N($H335)*$J335)</f>
        <v/>
      </c>
      <c r="L335" s="9" t="str">
        <f aca="false">IF($C335="","",IF($E335="SI",2,1))</f>
        <v/>
      </c>
      <c r="M335" s="9" t="str">
        <f aca="false">IF($C335="","",$K335*$L335)</f>
        <v/>
      </c>
    </row>
    <row r="336" customFormat="false" ht="15" hidden="false" customHeight="true" outlineLevel="0" collapsed="false">
      <c r="A336" s="9" t="str">
        <f aca="false">IF(Equips_usuari!A336="","",Equips_usuari!A336)</f>
        <v/>
      </c>
      <c r="B336" s="9" t="str">
        <f aca="false">IF(Equips_usuari!B336="","",Equips_usuari!B336)</f>
        <v/>
      </c>
      <c r="C336" s="9" t="str">
        <f aca="false">IF(Equips_usuari!C336="","",Equips_usuari!C336)</f>
        <v/>
      </c>
      <c r="D336" s="9" t="str">
        <f aca="false">IF(Equips_usuari!D336="","",Equips_usuari!D336)</f>
        <v/>
      </c>
      <c r="E336" s="9" t="str">
        <f aca="false">IF(Equips_usuari!F336="","",Equips_usuari!F336)</f>
        <v/>
      </c>
      <c r="F336" s="9" t="str">
        <f aca="false">IF($C336="","",SUMIFS(Resultats_jugadores!$C:$C,Resultats_jugadores!$A:$A,$A336,Resultats_jugadores!$B:$B,$C336))</f>
        <v/>
      </c>
      <c r="G336" s="9" t="str">
        <f aca="false">IF($C336="","",SUMIFS(Resultats_jugadores!$D:$D,Resultats_jugadores!$A:$A,$A336,Resultats_jugadores!$B:$B,$C336))</f>
        <v/>
      </c>
      <c r="H336" s="9" t="str">
        <f aca="false">IF($C336="","",N($F336)-N($G336))</f>
        <v/>
      </c>
      <c r="I336" s="9" t="str">
        <f aca="false">IF($C336="","",IFERROR(INDEX(Partits!$C:$C,MATCH($A336&amp;"_"&amp;$D336,Partits!$D:$D,0)),""))</f>
        <v/>
      </c>
      <c r="J336" s="9" t="str">
        <f aca="false">IF($C336="","",IF(AND($I336="V",N($H336)&gt;0),1.2,1))</f>
        <v/>
      </c>
      <c r="K336" s="9" t="str">
        <f aca="false">IF($C336="","",N($H336)*$J336)</f>
        <v/>
      </c>
      <c r="L336" s="9" t="str">
        <f aca="false">IF($C336="","",IF($E336="SI",2,1))</f>
        <v/>
      </c>
      <c r="M336" s="9" t="str">
        <f aca="false">IF($C336="","",$K336*$L336)</f>
        <v/>
      </c>
    </row>
    <row r="337" customFormat="false" ht="15" hidden="false" customHeight="true" outlineLevel="0" collapsed="false">
      <c r="A337" s="9" t="str">
        <f aca="false">IF(Equips_usuari!A337="","",Equips_usuari!A337)</f>
        <v/>
      </c>
      <c r="B337" s="9" t="str">
        <f aca="false">IF(Equips_usuari!B337="","",Equips_usuari!B337)</f>
        <v/>
      </c>
      <c r="C337" s="9" t="str">
        <f aca="false">IF(Equips_usuari!C337="","",Equips_usuari!C337)</f>
        <v/>
      </c>
      <c r="D337" s="9" t="str">
        <f aca="false">IF(Equips_usuari!D337="","",Equips_usuari!D337)</f>
        <v/>
      </c>
      <c r="E337" s="9" t="str">
        <f aca="false">IF(Equips_usuari!F337="","",Equips_usuari!F337)</f>
        <v/>
      </c>
      <c r="F337" s="9" t="str">
        <f aca="false">IF($C337="","",SUMIFS(Resultats_jugadores!$C:$C,Resultats_jugadores!$A:$A,$A337,Resultats_jugadores!$B:$B,$C337))</f>
        <v/>
      </c>
      <c r="G337" s="9" t="str">
        <f aca="false">IF($C337="","",SUMIFS(Resultats_jugadores!$D:$D,Resultats_jugadores!$A:$A,$A337,Resultats_jugadores!$B:$B,$C337))</f>
        <v/>
      </c>
      <c r="H337" s="9" t="str">
        <f aca="false">IF($C337="","",N($F337)-N($G337))</f>
        <v/>
      </c>
      <c r="I337" s="9" t="str">
        <f aca="false">IF($C337="","",IFERROR(INDEX(Partits!$C:$C,MATCH($A337&amp;"_"&amp;$D337,Partits!$D:$D,0)),""))</f>
        <v/>
      </c>
      <c r="J337" s="9" t="str">
        <f aca="false">IF($C337="","",IF(AND($I337="V",N($H337)&gt;0),1.2,1))</f>
        <v/>
      </c>
      <c r="K337" s="9" t="str">
        <f aca="false">IF($C337="","",N($H337)*$J337)</f>
        <v/>
      </c>
      <c r="L337" s="9" t="str">
        <f aca="false">IF($C337="","",IF($E337="SI",2,1))</f>
        <v/>
      </c>
      <c r="M337" s="9" t="str">
        <f aca="false">IF($C337="","",$K337*$L337)</f>
        <v/>
      </c>
    </row>
    <row r="338" customFormat="false" ht="15" hidden="false" customHeight="true" outlineLevel="0" collapsed="false">
      <c r="A338" s="9" t="str">
        <f aca="false">IF(Equips_usuari!A338="","",Equips_usuari!A338)</f>
        <v/>
      </c>
      <c r="B338" s="9" t="str">
        <f aca="false">IF(Equips_usuari!B338="","",Equips_usuari!B338)</f>
        <v/>
      </c>
      <c r="C338" s="9" t="str">
        <f aca="false">IF(Equips_usuari!C338="","",Equips_usuari!C338)</f>
        <v/>
      </c>
      <c r="D338" s="9" t="str">
        <f aca="false">IF(Equips_usuari!D338="","",Equips_usuari!D338)</f>
        <v/>
      </c>
      <c r="E338" s="9" t="str">
        <f aca="false">IF(Equips_usuari!F338="","",Equips_usuari!F338)</f>
        <v/>
      </c>
      <c r="F338" s="9" t="str">
        <f aca="false">IF($C338="","",SUMIFS(Resultats_jugadores!$C:$C,Resultats_jugadores!$A:$A,$A338,Resultats_jugadores!$B:$B,$C338))</f>
        <v/>
      </c>
      <c r="G338" s="9" t="str">
        <f aca="false">IF($C338="","",SUMIFS(Resultats_jugadores!$D:$D,Resultats_jugadores!$A:$A,$A338,Resultats_jugadores!$B:$B,$C338))</f>
        <v/>
      </c>
      <c r="H338" s="9" t="str">
        <f aca="false">IF($C338="","",N($F338)-N($G338))</f>
        <v/>
      </c>
      <c r="I338" s="9" t="str">
        <f aca="false">IF($C338="","",IFERROR(INDEX(Partits!$C:$C,MATCH($A338&amp;"_"&amp;$D338,Partits!$D:$D,0)),""))</f>
        <v/>
      </c>
      <c r="J338" s="9" t="str">
        <f aca="false">IF($C338="","",IF(AND($I338="V",N($H338)&gt;0),1.2,1))</f>
        <v/>
      </c>
      <c r="K338" s="9" t="str">
        <f aca="false">IF($C338="","",N($H338)*$J338)</f>
        <v/>
      </c>
      <c r="L338" s="9" t="str">
        <f aca="false">IF($C338="","",IF($E338="SI",2,1))</f>
        <v/>
      </c>
      <c r="M338" s="9" t="str">
        <f aca="false">IF($C338="","",$K338*$L338)</f>
        <v/>
      </c>
    </row>
    <row r="339" customFormat="false" ht="15" hidden="false" customHeight="true" outlineLevel="0" collapsed="false">
      <c r="A339" s="9" t="str">
        <f aca="false">IF(Equips_usuari!A339="","",Equips_usuari!A339)</f>
        <v/>
      </c>
      <c r="B339" s="9" t="str">
        <f aca="false">IF(Equips_usuari!B339="","",Equips_usuari!B339)</f>
        <v/>
      </c>
      <c r="C339" s="9" t="str">
        <f aca="false">IF(Equips_usuari!C339="","",Equips_usuari!C339)</f>
        <v/>
      </c>
      <c r="D339" s="9" t="str">
        <f aca="false">IF(Equips_usuari!D339="","",Equips_usuari!D339)</f>
        <v/>
      </c>
      <c r="E339" s="9" t="str">
        <f aca="false">IF(Equips_usuari!F339="","",Equips_usuari!F339)</f>
        <v/>
      </c>
      <c r="F339" s="9" t="str">
        <f aca="false">IF($C339="","",SUMIFS(Resultats_jugadores!$C:$C,Resultats_jugadores!$A:$A,$A339,Resultats_jugadores!$B:$B,$C339))</f>
        <v/>
      </c>
      <c r="G339" s="9" t="str">
        <f aca="false">IF($C339="","",SUMIFS(Resultats_jugadores!$D:$D,Resultats_jugadores!$A:$A,$A339,Resultats_jugadores!$B:$B,$C339))</f>
        <v/>
      </c>
      <c r="H339" s="9" t="str">
        <f aca="false">IF($C339="","",N($F339)-N($G339))</f>
        <v/>
      </c>
      <c r="I339" s="9" t="str">
        <f aca="false">IF($C339="","",IFERROR(INDEX(Partits!$C:$C,MATCH($A339&amp;"_"&amp;$D339,Partits!$D:$D,0)),""))</f>
        <v/>
      </c>
      <c r="J339" s="9" t="str">
        <f aca="false">IF($C339="","",IF(AND($I339="V",N($H339)&gt;0),1.2,1))</f>
        <v/>
      </c>
      <c r="K339" s="9" t="str">
        <f aca="false">IF($C339="","",N($H339)*$J339)</f>
        <v/>
      </c>
      <c r="L339" s="9" t="str">
        <f aca="false">IF($C339="","",IF($E339="SI",2,1))</f>
        <v/>
      </c>
      <c r="M339" s="9" t="str">
        <f aca="false">IF($C339="","",$K339*$L339)</f>
        <v/>
      </c>
    </row>
    <row r="340" customFormat="false" ht="15" hidden="false" customHeight="true" outlineLevel="0" collapsed="false">
      <c r="A340" s="9" t="str">
        <f aca="false">IF(Equips_usuari!A340="","",Equips_usuari!A340)</f>
        <v/>
      </c>
      <c r="B340" s="9" t="str">
        <f aca="false">IF(Equips_usuari!B340="","",Equips_usuari!B340)</f>
        <v/>
      </c>
      <c r="C340" s="9" t="str">
        <f aca="false">IF(Equips_usuari!C340="","",Equips_usuari!C340)</f>
        <v/>
      </c>
      <c r="D340" s="9" t="str">
        <f aca="false">IF(Equips_usuari!D340="","",Equips_usuari!D340)</f>
        <v/>
      </c>
      <c r="E340" s="9" t="str">
        <f aca="false">IF(Equips_usuari!F340="","",Equips_usuari!F340)</f>
        <v/>
      </c>
      <c r="F340" s="9" t="str">
        <f aca="false">IF($C340="","",SUMIFS(Resultats_jugadores!$C:$C,Resultats_jugadores!$A:$A,$A340,Resultats_jugadores!$B:$B,$C340))</f>
        <v/>
      </c>
      <c r="G340" s="9" t="str">
        <f aca="false">IF($C340="","",SUMIFS(Resultats_jugadores!$D:$D,Resultats_jugadores!$A:$A,$A340,Resultats_jugadores!$B:$B,$C340))</f>
        <v/>
      </c>
      <c r="H340" s="9" t="str">
        <f aca="false">IF($C340="","",N($F340)-N($G340))</f>
        <v/>
      </c>
      <c r="I340" s="9" t="str">
        <f aca="false">IF($C340="","",IFERROR(INDEX(Partits!$C:$C,MATCH($A340&amp;"_"&amp;$D340,Partits!$D:$D,0)),""))</f>
        <v/>
      </c>
      <c r="J340" s="9" t="str">
        <f aca="false">IF($C340="","",IF(AND($I340="V",N($H340)&gt;0),1.2,1))</f>
        <v/>
      </c>
      <c r="K340" s="9" t="str">
        <f aca="false">IF($C340="","",N($H340)*$J340)</f>
        <v/>
      </c>
      <c r="L340" s="9" t="str">
        <f aca="false">IF($C340="","",IF($E340="SI",2,1))</f>
        <v/>
      </c>
      <c r="M340" s="9" t="str">
        <f aca="false">IF($C340="","",$K340*$L340)</f>
        <v/>
      </c>
    </row>
    <row r="341" customFormat="false" ht="15" hidden="false" customHeight="true" outlineLevel="0" collapsed="false">
      <c r="A341" s="9" t="str">
        <f aca="false">IF(Equips_usuari!A341="","",Equips_usuari!A341)</f>
        <v/>
      </c>
      <c r="B341" s="9" t="str">
        <f aca="false">IF(Equips_usuari!B341="","",Equips_usuari!B341)</f>
        <v/>
      </c>
      <c r="C341" s="9" t="str">
        <f aca="false">IF(Equips_usuari!C341="","",Equips_usuari!C341)</f>
        <v/>
      </c>
      <c r="D341" s="9" t="str">
        <f aca="false">IF(Equips_usuari!D341="","",Equips_usuari!D341)</f>
        <v/>
      </c>
      <c r="E341" s="9" t="str">
        <f aca="false">IF(Equips_usuari!F341="","",Equips_usuari!F341)</f>
        <v/>
      </c>
      <c r="F341" s="9" t="str">
        <f aca="false">IF($C341="","",SUMIFS(Resultats_jugadores!$C:$C,Resultats_jugadores!$A:$A,$A341,Resultats_jugadores!$B:$B,$C341))</f>
        <v/>
      </c>
      <c r="G341" s="9" t="str">
        <f aca="false">IF($C341="","",SUMIFS(Resultats_jugadores!$D:$D,Resultats_jugadores!$A:$A,$A341,Resultats_jugadores!$B:$B,$C341))</f>
        <v/>
      </c>
      <c r="H341" s="9" t="str">
        <f aca="false">IF($C341="","",N($F341)-N($G341))</f>
        <v/>
      </c>
      <c r="I341" s="9" t="str">
        <f aca="false">IF($C341="","",IFERROR(INDEX(Partits!$C:$C,MATCH($A341&amp;"_"&amp;$D341,Partits!$D:$D,0)),""))</f>
        <v/>
      </c>
      <c r="J341" s="9" t="str">
        <f aca="false">IF($C341="","",IF(AND($I341="V",N($H341)&gt;0),1.2,1))</f>
        <v/>
      </c>
      <c r="K341" s="9" t="str">
        <f aca="false">IF($C341="","",N($H341)*$J341)</f>
        <v/>
      </c>
      <c r="L341" s="9" t="str">
        <f aca="false">IF($C341="","",IF($E341="SI",2,1))</f>
        <v/>
      </c>
      <c r="M341" s="9" t="str">
        <f aca="false">IF($C341="","",$K341*$L341)</f>
        <v/>
      </c>
    </row>
    <row r="342" customFormat="false" ht="15" hidden="false" customHeight="true" outlineLevel="0" collapsed="false">
      <c r="A342" s="9" t="str">
        <f aca="false">IF(Equips_usuari!A342="","",Equips_usuari!A342)</f>
        <v/>
      </c>
      <c r="B342" s="9" t="str">
        <f aca="false">IF(Equips_usuari!B342="","",Equips_usuari!B342)</f>
        <v/>
      </c>
      <c r="C342" s="9" t="str">
        <f aca="false">IF(Equips_usuari!C342="","",Equips_usuari!C342)</f>
        <v/>
      </c>
      <c r="D342" s="9" t="str">
        <f aca="false">IF(Equips_usuari!D342="","",Equips_usuari!D342)</f>
        <v/>
      </c>
      <c r="E342" s="9" t="str">
        <f aca="false">IF(Equips_usuari!F342="","",Equips_usuari!F342)</f>
        <v/>
      </c>
      <c r="F342" s="9" t="str">
        <f aca="false">IF($C342="","",SUMIFS(Resultats_jugadores!$C:$C,Resultats_jugadores!$A:$A,$A342,Resultats_jugadores!$B:$B,$C342))</f>
        <v/>
      </c>
      <c r="G342" s="9" t="str">
        <f aca="false">IF($C342="","",SUMIFS(Resultats_jugadores!$D:$D,Resultats_jugadores!$A:$A,$A342,Resultats_jugadores!$B:$B,$C342))</f>
        <v/>
      </c>
      <c r="H342" s="9" t="str">
        <f aca="false">IF($C342="","",N($F342)-N($G342))</f>
        <v/>
      </c>
      <c r="I342" s="9" t="str">
        <f aca="false">IF($C342="","",IFERROR(INDEX(Partits!$C:$C,MATCH($A342&amp;"_"&amp;$D342,Partits!$D:$D,0)),""))</f>
        <v/>
      </c>
      <c r="J342" s="9" t="str">
        <f aca="false">IF($C342="","",IF(AND($I342="V",N($H342)&gt;0),1.2,1))</f>
        <v/>
      </c>
      <c r="K342" s="9" t="str">
        <f aca="false">IF($C342="","",N($H342)*$J342)</f>
        <v/>
      </c>
      <c r="L342" s="9" t="str">
        <f aca="false">IF($C342="","",IF($E342="SI",2,1))</f>
        <v/>
      </c>
      <c r="M342" s="9" t="str">
        <f aca="false">IF($C342="","",$K342*$L342)</f>
        <v/>
      </c>
    </row>
    <row r="343" customFormat="false" ht="15" hidden="false" customHeight="true" outlineLevel="0" collapsed="false">
      <c r="A343" s="9" t="str">
        <f aca="false">IF(Equips_usuari!A343="","",Equips_usuari!A343)</f>
        <v/>
      </c>
      <c r="B343" s="9" t="str">
        <f aca="false">IF(Equips_usuari!B343="","",Equips_usuari!B343)</f>
        <v/>
      </c>
      <c r="C343" s="9" t="str">
        <f aca="false">IF(Equips_usuari!C343="","",Equips_usuari!C343)</f>
        <v/>
      </c>
      <c r="D343" s="9" t="str">
        <f aca="false">IF(Equips_usuari!D343="","",Equips_usuari!D343)</f>
        <v/>
      </c>
      <c r="E343" s="9" t="str">
        <f aca="false">IF(Equips_usuari!F343="","",Equips_usuari!F343)</f>
        <v/>
      </c>
      <c r="F343" s="9" t="str">
        <f aca="false">IF($C343="","",SUMIFS(Resultats_jugadores!$C:$C,Resultats_jugadores!$A:$A,$A343,Resultats_jugadores!$B:$B,$C343))</f>
        <v/>
      </c>
      <c r="G343" s="9" t="str">
        <f aca="false">IF($C343="","",SUMIFS(Resultats_jugadores!$D:$D,Resultats_jugadores!$A:$A,$A343,Resultats_jugadores!$B:$B,$C343))</f>
        <v/>
      </c>
      <c r="H343" s="9" t="str">
        <f aca="false">IF($C343="","",N($F343)-N($G343))</f>
        <v/>
      </c>
      <c r="I343" s="9" t="str">
        <f aca="false">IF($C343="","",IFERROR(INDEX(Partits!$C:$C,MATCH($A343&amp;"_"&amp;$D343,Partits!$D:$D,0)),""))</f>
        <v/>
      </c>
      <c r="J343" s="9" t="str">
        <f aca="false">IF($C343="","",IF(AND($I343="V",N($H343)&gt;0),1.2,1))</f>
        <v/>
      </c>
      <c r="K343" s="9" t="str">
        <f aca="false">IF($C343="","",N($H343)*$J343)</f>
        <v/>
      </c>
      <c r="L343" s="9" t="str">
        <f aca="false">IF($C343="","",IF($E343="SI",2,1))</f>
        <v/>
      </c>
      <c r="M343" s="9" t="str">
        <f aca="false">IF($C343="","",$K343*$L343)</f>
        <v/>
      </c>
    </row>
    <row r="344" customFormat="false" ht="15" hidden="false" customHeight="true" outlineLevel="0" collapsed="false">
      <c r="A344" s="9" t="str">
        <f aca="false">IF(Equips_usuari!A344="","",Equips_usuari!A344)</f>
        <v/>
      </c>
      <c r="B344" s="9" t="str">
        <f aca="false">IF(Equips_usuari!B344="","",Equips_usuari!B344)</f>
        <v/>
      </c>
      <c r="C344" s="9" t="str">
        <f aca="false">IF(Equips_usuari!C344="","",Equips_usuari!C344)</f>
        <v/>
      </c>
      <c r="D344" s="9" t="str">
        <f aca="false">IF(Equips_usuari!D344="","",Equips_usuari!D344)</f>
        <v/>
      </c>
      <c r="E344" s="9" t="str">
        <f aca="false">IF(Equips_usuari!F344="","",Equips_usuari!F344)</f>
        <v/>
      </c>
      <c r="F344" s="9" t="str">
        <f aca="false">IF($C344="","",SUMIFS(Resultats_jugadores!$C:$C,Resultats_jugadores!$A:$A,$A344,Resultats_jugadores!$B:$B,$C344))</f>
        <v/>
      </c>
      <c r="G344" s="9" t="str">
        <f aca="false">IF($C344="","",SUMIFS(Resultats_jugadores!$D:$D,Resultats_jugadores!$A:$A,$A344,Resultats_jugadores!$B:$B,$C344))</f>
        <v/>
      </c>
      <c r="H344" s="9" t="str">
        <f aca="false">IF($C344="","",N($F344)-N($G344))</f>
        <v/>
      </c>
      <c r="I344" s="9" t="str">
        <f aca="false">IF($C344="","",IFERROR(INDEX(Partits!$C:$C,MATCH($A344&amp;"_"&amp;$D344,Partits!$D:$D,0)),""))</f>
        <v/>
      </c>
      <c r="J344" s="9" t="str">
        <f aca="false">IF($C344="","",IF(AND($I344="V",N($H344)&gt;0),1.2,1))</f>
        <v/>
      </c>
      <c r="K344" s="9" t="str">
        <f aca="false">IF($C344="","",N($H344)*$J344)</f>
        <v/>
      </c>
      <c r="L344" s="9" t="str">
        <f aca="false">IF($C344="","",IF($E344="SI",2,1))</f>
        <v/>
      </c>
      <c r="M344" s="9" t="str">
        <f aca="false">IF($C344="","",$K344*$L344)</f>
        <v/>
      </c>
    </row>
    <row r="345" customFormat="false" ht="15" hidden="false" customHeight="true" outlineLevel="0" collapsed="false">
      <c r="A345" s="9" t="str">
        <f aca="false">IF(Equips_usuari!A345="","",Equips_usuari!A345)</f>
        <v/>
      </c>
      <c r="B345" s="9" t="str">
        <f aca="false">IF(Equips_usuari!B345="","",Equips_usuari!B345)</f>
        <v/>
      </c>
      <c r="C345" s="9" t="str">
        <f aca="false">IF(Equips_usuari!C345="","",Equips_usuari!C345)</f>
        <v/>
      </c>
      <c r="D345" s="9" t="str">
        <f aca="false">IF(Equips_usuari!D345="","",Equips_usuari!D345)</f>
        <v/>
      </c>
      <c r="E345" s="9" t="str">
        <f aca="false">IF(Equips_usuari!F345="","",Equips_usuari!F345)</f>
        <v/>
      </c>
      <c r="F345" s="9" t="str">
        <f aca="false">IF($C345="","",SUMIFS(Resultats_jugadores!$C:$C,Resultats_jugadores!$A:$A,$A345,Resultats_jugadores!$B:$B,$C345))</f>
        <v/>
      </c>
      <c r="G345" s="9" t="str">
        <f aca="false">IF($C345="","",SUMIFS(Resultats_jugadores!$D:$D,Resultats_jugadores!$A:$A,$A345,Resultats_jugadores!$B:$B,$C345))</f>
        <v/>
      </c>
      <c r="H345" s="9" t="str">
        <f aca="false">IF($C345="","",N($F345)-N($G345))</f>
        <v/>
      </c>
      <c r="I345" s="9" t="str">
        <f aca="false">IF($C345="","",IFERROR(INDEX(Partits!$C:$C,MATCH($A345&amp;"_"&amp;$D345,Partits!$D:$D,0)),""))</f>
        <v/>
      </c>
      <c r="J345" s="9" t="str">
        <f aca="false">IF($C345="","",IF(AND($I345="V",N($H345)&gt;0),1.2,1))</f>
        <v/>
      </c>
      <c r="K345" s="9" t="str">
        <f aca="false">IF($C345="","",N($H345)*$J345)</f>
        <v/>
      </c>
      <c r="L345" s="9" t="str">
        <f aca="false">IF($C345="","",IF($E345="SI",2,1))</f>
        <v/>
      </c>
      <c r="M345" s="9" t="str">
        <f aca="false">IF($C345="","",$K345*$L345)</f>
        <v/>
      </c>
    </row>
    <row r="346" customFormat="false" ht="15" hidden="false" customHeight="true" outlineLevel="0" collapsed="false">
      <c r="A346" s="9" t="str">
        <f aca="false">IF(Equips_usuari!A346="","",Equips_usuari!A346)</f>
        <v/>
      </c>
      <c r="B346" s="9" t="str">
        <f aca="false">IF(Equips_usuari!B346="","",Equips_usuari!B346)</f>
        <v/>
      </c>
      <c r="C346" s="9" t="str">
        <f aca="false">IF(Equips_usuari!C346="","",Equips_usuari!C346)</f>
        <v/>
      </c>
      <c r="D346" s="9" t="str">
        <f aca="false">IF(Equips_usuari!D346="","",Equips_usuari!D346)</f>
        <v/>
      </c>
      <c r="E346" s="9" t="str">
        <f aca="false">IF(Equips_usuari!F346="","",Equips_usuari!F346)</f>
        <v/>
      </c>
      <c r="F346" s="9" t="str">
        <f aca="false">IF($C346="","",SUMIFS(Resultats_jugadores!$C:$C,Resultats_jugadores!$A:$A,$A346,Resultats_jugadores!$B:$B,$C346))</f>
        <v/>
      </c>
      <c r="G346" s="9" t="str">
        <f aca="false">IF($C346="","",SUMIFS(Resultats_jugadores!$D:$D,Resultats_jugadores!$A:$A,$A346,Resultats_jugadores!$B:$B,$C346))</f>
        <v/>
      </c>
      <c r="H346" s="9" t="str">
        <f aca="false">IF($C346="","",N($F346)-N($G346))</f>
        <v/>
      </c>
      <c r="I346" s="9" t="str">
        <f aca="false">IF($C346="","",IFERROR(INDEX(Partits!$C:$C,MATCH($A346&amp;"_"&amp;$D346,Partits!$D:$D,0)),""))</f>
        <v/>
      </c>
      <c r="J346" s="9" t="str">
        <f aca="false">IF($C346="","",IF(AND($I346="V",N($H346)&gt;0),1.2,1))</f>
        <v/>
      </c>
      <c r="K346" s="9" t="str">
        <f aca="false">IF($C346="","",N($H346)*$J346)</f>
        <v/>
      </c>
      <c r="L346" s="9" t="str">
        <f aca="false">IF($C346="","",IF($E346="SI",2,1))</f>
        <v/>
      </c>
      <c r="M346" s="9" t="str">
        <f aca="false">IF($C346="","",$K346*$L346)</f>
        <v/>
      </c>
    </row>
    <row r="347" customFormat="false" ht="15" hidden="false" customHeight="true" outlineLevel="0" collapsed="false">
      <c r="A347" s="9" t="str">
        <f aca="false">IF(Equips_usuari!A347="","",Equips_usuari!A347)</f>
        <v/>
      </c>
      <c r="B347" s="9" t="str">
        <f aca="false">IF(Equips_usuari!B347="","",Equips_usuari!B347)</f>
        <v/>
      </c>
      <c r="C347" s="9" t="str">
        <f aca="false">IF(Equips_usuari!C347="","",Equips_usuari!C347)</f>
        <v/>
      </c>
      <c r="D347" s="9" t="str">
        <f aca="false">IF(Equips_usuari!D347="","",Equips_usuari!D347)</f>
        <v/>
      </c>
      <c r="E347" s="9" t="str">
        <f aca="false">IF(Equips_usuari!F347="","",Equips_usuari!F347)</f>
        <v/>
      </c>
      <c r="F347" s="9" t="str">
        <f aca="false">IF($C347="","",SUMIFS(Resultats_jugadores!$C:$C,Resultats_jugadores!$A:$A,$A347,Resultats_jugadores!$B:$B,$C347))</f>
        <v/>
      </c>
      <c r="G347" s="9" t="str">
        <f aca="false">IF($C347="","",SUMIFS(Resultats_jugadores!$D:$D,Resultats_jugadores!$A:$A,$A347,Resultats_jugadores!$B:$B,$C347))</f>
        <v/>
      </c>
      <c r="H347" s="9" t="str">
        <f aca="false">IF($C347="","",N($F347)-N($G347))</f>
        <v/>
      </c>
      <c r="I347" s="9" t="str">
        <f aca="false">IF($C347="","",IFERROR(INDEX(Partits!$C:$C,MATCH($A347&amp;"_"&amp;$D347,Partits!$D:$D,0)),""))</f>
        <v/>
      </c>
      <c r="J347" s="9" t="str">
        <f aca="false">IF($C347="","",IF(AND($I347="V",N($H347)&gt;0),1.2,1))</f>
        <v/>
      </c>
      <c r="K347" s="9" t="str">
        <f aca="false">IF($C347="","",N($H347)*$J347)</f>
        <v/>
      </c>
      <c r="L347" s="9" t="str">
        <f aca="false">IF($C347="","",IF($E347="SI",2,1))</f>
        <v/>
      </c>
      <c r="M347" s="9" t="str">
        <f aca="false">IF($C347="","",$K347*$L347)</f>
        <v/>
      </c>
    </row>
    <row r="348" customFormat="false" ht="15" hidden="false" customHeight="true" outlineLevel="0" collapsed="false">
      <c r="A348" s="9" t="str">
        <f aca="false">IF(Equips_usuari!A348="","",Equips_usuari!A348)</f>
        <v/>
      </c>
      <c r="B348" s="9" t="str">
        <f aca="false">IF(Equips_usuari!B348="","",Equips_usuari!B348)</f>
        <v/>
      </c>
      <c r="C348" s="9" t="str">
        <f aca="false">IF(Equips_usuari!C348="","",Equips_usuari!C348)</f>
        <v/>
      </c>
      <c r="D348" s="9" t="str">
        <f aca="false">IF(Equips_usuari!D348="","",Equips_usuari!D348)</f>
        <v/>
      </c>
      <c r="E348" s="9" t="str">
        <f aca="false">IF(Equips_usuari!F348="","",Equips_usuari!F348)</f>
        <v/>
      </c>
      <c r="F348" s="9" t="str">
        <f aca="false">IF($C348="","",SUMIFS(Resultats_jugadores!$C:$C,Resultats_jugadores!$A:$A,$A348,Resultats_jugadores!$B:$B,$C348))</f>
        <v/>
      </c>
      <c r="G348" s="9" t="str">
        <f aca="false">IF($C348="","",SUMIFS(Resultats_jugadores!$D:$D,Resultats_jugadores!$A:$A,$A348,Resultats_jugadores!$B:$B,$C348))</f>
        <v/>
      </c>
      <c r="H348" s="9" t="str">
        <f aca="false">IF($C348="","",N($F348)-N($G348))</f>
        <v/>
      </c>
      <c r="I348" s="9" t="str">
        <f aca="false">IF($C348="","",IFERROR(INDEX(Partits!$C:$C,MATCH($A348&amp;"_"&amp;$D348,Partits!$D:$D,0)),""))</f>
        <v/>
      </c>
      <c r="J348" s="9" t="str">
        <f aca="false">IF($C348="","",IF(AND($I348="V",N($H348)&gt;0),1.2,1))</f>
        <v/>
      </c>
      <c r="K348" s="9" t="str">
        <f aca="false">IF($C348="","",N($H348)*$J348)</f>
        <v/>
      </c>
      <c r="L348" s="9" t="str">
        <f aca="false">IF($C348="","",IF($E348="SI",2,1))</f>
        <v/>
      </c>
      <c r="M348" s="9" t="str">
        <f aca="false">IF($C348="","",$K348*$L348)</f>
        <v/>
      </c>
    </row>
    <row r="349" customFormat="false" ht="15" hidden="false" customHeight="true" outlineLevel="0" collapsed="false">
      <c r="A349" s="9" t="str">
        <f aca="false">IF(Equips_usuari!A349="","",Equips_usuari!A349)</f>
        <v/>
      </c>
      <c r="B349" s="9" t="str">
        <f aca="false">IF(Equips_usuari!B349="","",Equips_usuari!B349)</f>
        <v/>
      </c>
      <c r="C349" s="9" t="str">
        <f aca="false">IF(Equips_usuari!C349="","",Equips_usuari!C349)</f>
        <v/>
      </c>
      <c r="D349" s="9" t="str">
        <f aca="false">IF(Equips_usuari!D349="","",Equips_usuari!D349)</f>
        <v/>
      </c>
      <c r="E349" s="9" t="str">
        <f aca="false">IF(Equips_usuari!F349="","",Equips_usuari!F349)</f>
        <v/>
      </c>
      <c r="F349" s="9" t="str">
        <f aca="false">IF($C349="","",SUMIFS(Resultats_jugadores!$C:$C,Resultats_jugadores!$A:$A,$A349,Resultats_jugadores!$B:$B,$C349))</f>
        <v/>
      </c>
      <c r="G349" s="9" t="str">
        <f aca="false">IF($C349="","",SUMIFS(Resultats_jugadores!$D:$D,Resultats_jugadores!$A:$A,$A349,Resultats_jugadores!$B:$B,$C349))</f>
        <v/>
      </c>
      <c r="H349" s="9" t="str">
        <f aca="false">IF($C349="","",N($F349)-N($G349))</f>
        <v/>
      </c>
      <c r="I349" s="9" t="str">
        <f aca="false">IF($C349="","",IFERROR(INDEX(Partits!$C:$C,MATCH($A349&amp;"_"&amp;$D349,Partits!$D:$D,0)),""))</f>
        <v/>
      </c>
      <c r="J349" s="9" t="str">
        <f aca="false">IF($C349="","",IF(AND($I349="V",N($H349)&gt;0),1.2,1))</f>
        <v/>
      </c>
      <c r="K349" s="9" t="str">
        <f aca="false">IF($C349="","",N($H349)*$J349)</f>
        <v/>
      </c>
      <c r="L349" s="9" t="str">
        <f aca="false">IF($C349="","",IF($E349="SI",2,1))</f>
        <v/>
      </c>
      <c r="M349" s="9" t="str">
        <f aca="false">IF($C349="","",$K349*$L349)</f>
        <v/>
      </c>
    </row>
    <row r="350" customFormat="false" ht="15" hidden="false" customHeight="true" outlineLevel="0" collapsed="false">
      <c r="A350" s="9" t="str">
        <f aca="false">IF(Equips_usuari!A350="","",Equips_usuari!A350)</f>
        <v/>
      </c>
      <c r="B350" s="9" t="str">
        <f aca="false">IF(Equips_usuari!B350="","",Equips_usuari!B350)</f>
        <v/>
      </c>
      <c r="C350" s="9" t="str">
        <f aca="false">IF(Equips_usuari!C350="","",Equips_usuari!C350)</f>
        <v/>
      </c>
      <c r="D350" s="9" t="str">
        <f aca="false">IF(Equips_usuari!D350="","",Equips_usuari!D350)</f>
        <v/>
      </c>
      <c r="E350" s="9" t="str">
        <f aca="false">IF(Equips_usuari!F350="","",Equips_usuari!F350)</f>
        <v/>
      </c>
      <c r="F350" s="9" t="str">
        <f aca="false">IF($C350="","",SUMIFS(Resultats_jugadores!$C:$C,Resultats_jugadores!$A:$A,$A350,Resultats_jugadores!$B:$B,$C350))</f>
        <v/>
      </c>
      <c r="G350" s="9" t="str">
        <f aca="false">IF($C350="","",SUMIFS(Resultats_jugadores!$D:$D,Resultats_jugadores!$A:$A,$A350,Resultats_jugadores!$B:$B,$C350))</f>
        <v/>
      </c>
      <c r="H350" s="9" t="str">
        <f aca="false">IF($C350="","",N($F350)-N($G350))</f>
        <v/>
      </c>
      <c r="I350" s="9" t="str">
        <f aca="false">IF($C350="","",IFERROR(INDEX(Partits!$C:$C,MATCH($A350&amp;"_"&amp;$D350,Partits!$D:$D,0)),""))</f>
        <v/>
      </c>
      <c r="J350" s="9" t="str">
        <f aca="false">IF($C350="","",IF(AND($I350="V",N($H350)&gt;0),1.2,1))</f>
        <v/>
      </c>
      <c r="K350" s="9" t="str">
        <f aca="false">IF($C350="","",N($H350)*$J350)</f>
        <v/>
      </c>
      <c r="L350" s="9" t="str">
        <f aca="false">IF($C350="","",IF($E350="SI",2,1))</f>
        <v/>
      </c>
      <c r="M350" s="9" t="str">
        <f aca="false">IF($C350="","",$K350*$L350)</f>
        <v/>
      </c>
    </row>
    <row r="351" customFormat="false" ht="15" hidden="false" customHeight="true" outlineLevel="0" collapsed="false">
      <c r="A351" s="9" t="str">
        <f aca="false">IF(Equips_usuari!A351="","",Equips_usuari!A351)</f>
        <v/>
      </c>
      <c r="B351" s="9" t="str">
        <f aca="false">IF(Equips_usuari!B351="","",Equips_usuari!B351)</f>
        <v/>
      </c>
      <c r="C351" s="9" t="str">
        <f aca="false">IF(Equips_usuari!C351="","",Equips_usuari!C351)</f>
        <v/>
      </c>
      <c r="D351" s="9" t="str">
        <f aca="false">IF(Equips_usuari!D351="","",Equips_usuari!D351)</f>
        <v/>
      </c>
      <c r="E351" s="9" t="str">
        <f aca="false">IF(Equips_usuari!F351="","",Equips_usuari!F351)</f>
        <v/>
      </c>
      <c r="F351" s="9" t="str">
        <f aca="false">IF($C351="","",SUMIFS(Resultats_jugadores!$C:$C,Resultats_jugadores!$A:$A,$A351,Resultats_jugadores!$B:$B,$C351))</f>
        <v/>
      </c>
      <c r="G351" s="9" t="str">
        <f aca="false">IF($C351="","",SUMIFS(Resultats_jugadores!$D:$D,Resultats_jugadores!$A:$A,$A351,Resultats_jugadores!$B:$B,$C351))</f>
        <v/>
      </c>
      <c r="H351" s="9" t="str">
        <f aca="false">IF($C351="","",N($F351)-N($G351))</f>
        <v/>
      </c>
      <c r="I351" s="9" t="str">
        <f aca="false">IF($C351="","",IFERROR(INDEX(Partits!$C:$C,MATCH($A351&amp;"_"&amp;$D351,Partits!$D:$D,0)),""))</f>
        <v/>
      </c>
      <c r="J351" s="9" t="str">
        <f aca="false">IF($C351="","",IF(AND($I351="V",N($H351)&gt;0),1.2,1))</f>
        <v/>
      </c>
      <c r="K351" s="9" t="str">
        <f aca="false">IF($C351="","",N($H351)*$J351)</f>
        <v/>
      </c>
      <c r="L351" s="9" t="str">
        <f aca="false">IF($C351="","",IF($E351="SI",2,1))</f>
        <v/>
      </c>
      <c r="M351" s="9" t="str">
        <f aca="false">IF($C351="","",$K351*$L351)</f>
        <v/>
      </c>
    </row>
    <row r="352" customFormat="false" ht="15" hidden="false" customHeight="true" outlineLevel="0" collapsed="false">
      <c r="A352" s="9" t="str">
        <f aca="false">IF(Equips_usuari!A352="","",Equips_usuari!A352)</f>
        <v/>
      </c>
      <c r="B352" s="9" t="str">
        <f aca="false">IF(Equips_usuari!B352="","",Equips_usuari!B352)</f>
        <v/>
      </c>
      <c r="C352" s="9" t="str">
        <f aca="false">IF(Equips_usuari!C352="","",Equips_usuari!C352)</f>
        <v/>
      </c>
      <c r="D352" s="9" t="str">
        <f aca="false">IF(Equips_usuari!D352="","",Equips_usuari!D352)</f>
        <v/>
      </c>
      <c r="E352" s="9" t="str">
        <f aca="false">IF(Equips_usuari!F352="","",Equips_usuari!F352)</f>
        <v/>
      </c>
      <c r="F352" s="9" t="str">
        <f aca="false">IF($C352="","",SUMIFS(Resultats_jugadores!$C:$C,Resultats_jugadores!$A:$A,$A352,Resultats_jugadores!$B:$B,$C352))</f>
        <v/>
      </c>
      <c r="G352" s="9" t="str">
        <f aca="false">IF($C352="","",SUMIFS(Resultats_jugadores!$D:$D,Resultats_jugadores!$A:$A,$A352,Resultats_jugadores!$B:$B,$C352))</f>
        <v/>
      </c>
      <c r="H352" s="9" t="str">
        <f aca="false">IF($C352="","",N($F352)-N($G352))</f>
        <v/>
      </c>
      <c r="I352" s="9" t="str">
        <f aca="false">IF($C352="","",IFERROR(INDEX(Partits!$C:$C,MATCH($A352&amp;"_"&amp;$D352,Partits!$D:$D,0)),""))</f>
        <v/>
      </c>
      <c r="J352" s="9" t="str">
        <f aca="false">IF($C352="","",IF(AND($I352="V",N($H352)&gt;0),1.2,1))</f>
        <v/>
      </c>
      <c r="K352" s="9" t="str">
        <f aca="false">IF($C352="","",N($H352)*$J352)</f>
        <v/>
      </c>
      <c r="L352" s="9" t="str">
        <f aca="false">IF($C352="","",IF($E352="SI",2,1))</f>
        <v/>
      </c>
      <c r="M352" s="9" t="str">
        <f aca="false">IF($C352="","",$K352*$L352)</f>
        <v/>
      </c>
    </row>
    <row r="353" customFormat="false" ht="15" hidden="false" customHeight="true" outlineLevel="0" collapsed="false">
      <c r="A353" s="9" t="str">
        <f aca="false">IF(Equips_usuari!A353="","",Equips_usuari!A353)</f>
        <v/>
      </c>
      <c r="B353" s="9" t="str">
        <f aca="false">IF(Equips_usuari!B353="","",Equips_usuari!B353)</f>
        <v/>
      </c>
      <c r="C353" s="9" t="str">
        <f aca="false">IF(Equips_usuari!C353="","",Equips_usuari!C353)</f>
        <v/>
      </c>
      <c r="D353" s="9" t="str">
        <f aca="false">IF(Equips_usuari!D353="","",Equips_usuari!D353)</f>
        <v/>
      </c>
      <c r="E353" s="9" t="str">
        <f aca="false">IF(Equips_usuari!F353="","",Equips_usuari!F353)</f>
        <v/>
      </c>
      <c r="F353" s="9" t="str">
        <f aca="false">IF($C353="","",SUMIFS(Resultats_jugadores!$C:$C,Resultats_jugadores!$A:$A,$A353,Resultats_jugadores!$B:$B,$C353))</f>
        <v/>
      </c>
      <c r="G353" s="9" t="str">
        <f aca="false">IF($C353="","",SUMIFS(Resultats_jugadores!$D:$D,Resultats_jugadores!$A:$A,$A353,Resultats_jugadores!$B:$B,$C353))</f>
        <v/>
      </c>
      <c r="H353" s="9" t="str">
        <f aca="false">IF($C353="","",N($F353)-N($G353))</f>
        <v/>
      </c>
      <c r="I353" s="9" t="str">
        <f aca="false">IF($C353="","",IFERROR(INDEX(Partits!$C:$C,MATCH($A353&amp;"_"&amp;$D353,Partits!$D:$D,0)),""))</f>
        <v/>
      </c>
      <c r="J353" s="9" t="str">
        <f aca="false">IF($C353="","",IF(AND($I353="V",N($H353)&gt;0),1.2,1))</f>
        <v/>
      </c>
      <c r="K353" s="9" t="str">
        <f aca="false">IF($C353="","",N($H353)*$J353)</f>
        <v/>
      </c>
      <c r="L353" s="9" t="str">
        <f aca="false">IF($C353="","",IF($E353="SI",2,1))</f>
        <v/>
      </c>
      <c r="M353" s="9" t="str">
        <f aca="false">IF($C353="","",$K353*$L353)</f>
        <v/>
      </c>
    </row>
    <row r="354" customFormat="false" ht="15" hidden="false" customHeight="true" outlineLevel="0" collapsed="false">
      <c r="A354" s="9" t="str">
        <f aca="false">IF(Equips_usuari!A354="","",Equips_usuari!A354)</f>
        <v/>
      </c>
      <c r="B354" s="9" t="str">
        <f aca="false">IF(Equips_usuari!B354="","",Equips_usuari!B354)</f>
        <v/>
      </c>
      <c r="C354" s="9" t="str">
        <f aca="false">IF(Equips_usuari!C354="","",Equips_usuari!C354)</f>
        <v/>
      </c>
      <c r="D354" s="9" t="str">
        <f aca="false">IF(Equips_usuari!D354="","",Equips_usuari!D354)</f>
        <v/>
      </c>
      <c r="E354" s="9" t="str">
        <f aca="false">IF(Equips_usuari!F354="","",Equips_usuari!F354)</f>
        <v/>
      </c>
      <c r="F354" s="9" t="str">
        <f aca="false">IF($C354="","",SUMIFS(Resultats_jugadores!$C:$C,Resultats_jugadores!$A:$A,$A354,Resultats_jugadores!$B:$B,$C354))</f>
        <v/>
      </c>
      <c r="G354" s="9" t="str">
        <f aca="false">IF($C354="","",SUMIFS(Resultats_jugadores!$D:$D,Resultats_jugadores!$A:$A,$A354,Resultats_jugadores!$B:$B,$C354))</f>
        <v/>
      </c>
      <c r="H354" s="9" t="str">
        <f aca="false">IF($C354="","",N($F354)-N($G354))</f>
        <v/>
      </c>
      <c r="I354" s="9" t="str">
        <f aca="false">IF($C354="","",IFERROR(INDEX(Partits!$C:$C,MATCH($A354&amp;"_"&amp;$D354,Partits!$D:$D,0)),""))</f>
        <v/>
      </c>
      <c r="J354" s="9" t="str">
        <f aca="false">IF($C354="","",IF(AND($I354="V",N($H354)&gt;0),1.2,1))</f>
        <v/>
      </c>
      <c r="K354" s="9" t="str">
        <f aca="false">IF($C354="","",N($H354)*$J354)</f>
        <v/>
      </c>
      <c r="L354" s="9" t="str">
        <f aca="false">IF($C354="","",IF($E354="SI",2,1))</f>
        <v/>
      </c>
      <c r="M354" s="9" t="str">
        <f aca="false">IF($C354="","",$K354*$L354)</f>
        <v/>
      </c>
    </row>
    <row r="355" customFormat="false" ht="15" hidden="false" customHeight="true" outlineLevel="0" collapsed="false">
      <c r="A355" s="9" t="str">
        <f aca="false">IF(Equips_usuari!A355="","",Equips_usuari!A355)</f>
        <v/>
      </c>
      <c r="B355" s="9" t="str">
        <f aca="false">IF(Equips_usuari!B355="","",Equips_usuari!B355)</f>
        <v/>
      </c>
      <c r="C355" s="9" t="str">
        <f aca="false">IF(Equips_usuari!C355="","",Equips_usuari!C355)</f>
        <v/>
      </c>
      <c r="D355" s="9" t="str">
        <f aca="false">IF(Equips_usuari!D355="","",Equips_usuari!D355)</f>
        <v/>
      </c>
      <c r="E355" s="9" t="str">
        <f aca="false">IF(Equips_usuari!F355="","",Equips_usuari!F355)</f>
        <v/>
      </c>
      <c r="F355" s="9" t="str">
        <f aca="false">IF($C355="","",SUMIFS(Resultats_jugadores!$C:$C,Resultats_jugadores!$A:$A,$A355,Resultats_jugadores!$B:$B,$C355))</f>
        <v/>
      </c>
      <c r="G355" s="9" t="str">
        <f aca="false">IF($C355="","",SUMIFS(Resultats_jugadores!$D:$D,Resultats_jugadores!$A:$A,$A355,Resultats_jugadores!$B:$B,$C355))</f>
        <v/>
      </c>
      <c r="H355" s="9" t="str">
        <f aca="false">IF($C355="","",N($F355)-N($G355))</f>
        <v/>
      </c>
      <c r="I355" s="9" t="str">
        <f aca="false">IF($C355="","",IFERROR(INDEX(Partits!$C:$C,MATCH($A355&amp;"_"&amp;$D355,Partits!$D:$D,0)),""))</f>
        <v/>
      </c>
      <c r="J355" s="9" t="str">
        <f aca="false">IF($C355="","",IF(AND($I355="V",N($H355)&gt;0),1.2,1))</f>
        <v/>
      </c>
      <c r="K355" s="9" t="str">
        <f aca="false">IF($C355="","",N($H355)*$J355)</f>
        <v/>
      </c>
      <c r="L355" s="9" t="str">
        <f aca="false">IF($C355="","",IF($E355="SI",2,1))</f>
        <v/>
      </c>
      <c r="M355" s="9" t="str">
        <f aca="false">IF($C355="","",$K355*$L355)</f>
        <v/>
      </c>
    </row>
    <row r="356" customFormat="false" ht="15" hidden="false" customHeight="true" outlineLevel="0" collapsed="false">
      <c r="A356" s="9" t="str">
        <f aca="false">IF(Equips_usuari!A356="","",Equips_usuari!A356)</f>
        <v/>
      </c>
      <c r="B356" s="9" t="str">
        <f aca="false">IF(Equips_usuari!B356="","",Equips_usuari!B356)</f>
        <v/>
      </c>
      <c r="C356" s="9" t="str">
        <f aca="false">IF(Equips_usuari!C356="","",Equips_usuari!C356)</f>
        <v/>
      </c>
      <c r="D356" s="9" t="str">
        <f aca="false">IF(Equips_usuari!D356="","",Equips_usuari!D356)</f>
        <v/>
      </c>
      <c r="E356" s="9" t="str">
        <f aca="false">IF(Equips_usuari!F356="","",Equips_usuari!F356)</f>
        <v/>
      </c>
      <c r="F356" s="9" t="str">
        <f aca="false">IF($C356="","",SUMIFS(Resultats_jugadores!$C:$C,Resultats_jugadores!$A:$A,$A356,Resultats_jugadores!$B:$B,$C356))</f>
        <v/>
      </c>
      <c r="G356" s="9" t="str">
        <f aca="false">IF($C356="","",SUMIFS(Resultats_jugadores!$D:$D,Resultats_jugadores!$A:$A,$A356,Resultats_jugadores!$B:$B,$C356))</f>
        <v/>
      </c>
      <c r="H356" s="9" t="str">
        <f aca="false">IF($C356="","",N($F356)-N($G356))</f>
        <v/>
      </c>
      <c r="I356" s="9" t="str">
        <f aca="false">IF($C356="","",IFERROR(INDEX(Partits!$C:$C,MATCH($A356&amp;"_"&amp;$D356,Partits!$D:$D,0)),""))</f>
        <v/>
      </c>
      <c r="J356" s="9" t="str">
        <f aca="false">IF($C356="","",IF(AND($I356="V",N($H356)&gt;0),1.2,1))</f>
        <v/>
      </c>
      <c r="K356" s="9" t="str">
        <f aca="false">IF($C356="","",N($H356)*$J356)</f>
        <v/>
      </c>
      <c r="L356" s="9" t="str">
        <f aca="false">IF($C356="","",IF($E356="SI",2,1))</f>
        <v/>
      </c>
      <c r="M356" s="9" t="str">
        <f aca="false">IF($C356="","",$K356*$L356)</f>
        <v/>
      </c>
    </row>
    <row r="357" customFormat="false" ht="15" hidden="false" customHeight="true" outlineLevel="0" collapsed="false">
      <c r="A357" s="9" t="str">
        <f aca="false">IF(Equips_usuari!A357="","",Equips_usuari!A357)</f>
        <v/>
      </c>
      <c r="B357" s="9" t="str">
        <f aca="false">IF(Equips_usuari!B357="","",Equips_usuari!B357)</f>
        <v/>
      </c>
      <c r="C357" s="9" t="str">
        <f aca="false">IF(Equips_usuari!C357="","",Equips_usuari!C357)</f>
        <v/>
      </c>
      <c r="D357" s="9" t="str">
        <f aca="false">IF(Equips_usuari!D357="","",Equips_usuari!D357)</f>
        <v/>
      </c>
      <c r="E357" s="9" t="str">
        <f aca="false">IF(Equips_usuari!F357="","",Equips_usuari!F357)</f>
        <v/>
      </c>
      <c r="F357" s="9" t="str">
        <f aca="false">IF($C357="","",SUMIFS(Resultats_jugadores!$C:$C,Resultats_jugadores!$A:$A,$A357,Resultats_jugadores!$B:$B,$C357))</f>
        <v/>
      </c>
      <c r="G357" s="9" t="str">
        <f aca="false">IF($C357="","",SUMIFS(Resultats_jugadores!$D:$D,Resultats_jugadores!$A:$A,$A357,Resultats_jugadores!$B:$B,$C357))</f>
        <v/>
      </c>
      <c r="H357" s="9" t="str">
        <f aca="false">IF($C357="","",N($F357)-N($G357))</f>
        <v/>
      </c>
      <c r="I357" s="9" t="str">
        <f aca="false">IF($C357="","",IFERROR(INDEX(Partits!$C:$C,MATCH($A357&amp;"_"&amp;$D357,Partits!$D:$D,0)),""))</f>
        <v/>
      </c>
      <c r="J357" s="9" t="str">
        <f aca="false">IF($C357="","",IF(AND($I357="V",N($H357)&gt;0),1.2,1))</f>
        <v/>
      </c>
      <c r="K357" s="9" t="str">
        <f aca="false">IF($C357="","",N($H357)*$J357)</f>
        <v/>
      </c>
      <c r="L357" s="9" t="str">
        <f aca="false">IF($C357="","",IF($E357="SI",2,1))</f>
        <v/>
      </c>
      <c r="M357" s="9" t="str">
        <f aca="false">IF($C357="","",$K357*$L357)</f>
        <v/>
      </c>
    </row>
    <row r="358" customFormat="false" ht="15" hidden="false" customHeight="true" outlineLevel="0" collapsed="false">
      <c r="A358" s="9" t="str">
        <f aca="false">IF(Equips_usuari!A358="","",Equips_usuari!A358)</f>
        <v/>
      </c>
      <c r="B358" s="9" t="str">
        <f aca="false">IF(Equips_usuari!B358="","",Equips_usuari!B358)</f>
        <v/>
      </c>
      <c r="C358" s="9" t="str">
        <f aca="false">IF(Equips_usuari!C358="","",Equips_usuari!C358)</f>
        <v/>
      </c>
      <c r="D358" s="9" t="str">
        <f aca="false">IF(Equips_usuari!D358="","",Equips_usuari!D358)</f>
        <v/>
      </c>
      <c r="E358" s="9" t="str">
        <f aca="false">IF(Equips_usuari!F358="","",Equips_usuari!F358)</f>
        <v/>
      </c>
      <c r="F358" s="9" t="str">
        <f aca="false">IF($C358="","",SUMIFS(Resultats_jugadores!$C:$C,Resultats_jugadores!$A:$A,$A358,Resultats_jugadores!$B:$B,$C358))</f>
        <v/>
      </c>
      <c r="G358" s="9" t="str">
        <f aca="false">IF($C358="","",SUMIFS(Resultats_jugadores!$D:$D,Resultats_jugadores!$A:$A,$A358,Resultats_jugadores!$B:$B,$C358))</f>
        <v/>
      </c>
      <c r="H358" s="9" t="str">
        <f aca="false">IF($C358="","",N($F358)-N($G358))</f>
        <v/>
      </c>
      <c r="I358" s="9" t="str">
        <f aca="false">IF($C358="","",IFERROR(INDEX(Partits!$C:$C,MATCH($A358&amp;"_"&amp;$D358,Partits!$D:$D,0)),""))</f>
        <v/>
      </c>
      <c r="J358" s="9" t="str">
        <f aca="false">IF($C358="","",IF(AND($I358="V",N($H358)&gt;0),1.2,1))</f>
        <v/>
      </c>
      <c r="K358" s="9" t="str">
        <f aca="false">IF($C358="","",N($H358)*$J358)</f>
        <v/>
      </c>
      <c r="L358" s="9" t="str">
        <f aca="false">IF($C358="","",IF($E358="SI",2,1))</f>
        <v/>
      </c>
      <c r="M358" s="9" t="str">
        <f aca="false">IF($C358="","",$K358*$L358)</f>
        <v/>
      </c>
    </row>
    <row r="359" customFormat="false" ht="15" hidden="false" customHeight="true" outlineLevel="0" collapsed="false">
      <c r="A359" s="9" t="str">
        <f aca="false">IF(Equips_usuari!A359="","",Equips_usuari!A359)</f>
        <v/>
      </c>
      <c r="B359" s="9" t="str">
        <f aca="false">IF(Equips_usuari!B359="","",Equips_usuari!B359)</f>
        <v/>
      </c>
      <c r="C359" s="9" t="str">
        <f aca="false">IF(Equips_usuari!C359="","",Equips_usuari!C359)</f>
        <v/>
      </c>
      <c r="D359" s="9" t="str">
        <f aca="false">IF(Equips_usuari!D359="","",Equips_usuari!D359)</f>
        <v/>
      </c>
      <c r="E359" s="9" t="str">
        <f aca="false">IF(Equips_usuari!F359="","",Equips_usuari!F359)</f>
        <v/>
      </c>
      <c r="F359" s="9" t="str">
        <f aca="false">IF($C359="","",SUMIFS(Resultats_jugadores!$C:$C,Resultats_jugadores!$A:$A,$A359,Resultats_jugadores!$B:$B,$C359))</f>
        <v/>
      </c>
      <c r="G359" s="9" t="str">
        <f aca="false">IF($C359="","",SUMIFS(Resultats_jugadores!$D:$D,Resultats_jugadores!$A:$A,$A359,Resultats_jugadores!$B:$B,$C359))</f>
        <v/>
      </c>
      <c r="H359" s="9" t="str">
        <f aca="false">IF($C359="","",N($F359)-N($G359))</f>
        <v/>
      </c>
      <c r="I359" s="9" t="str">
        <f aca="false">IF($C359="","",IFERROR(INDEX(Partits!$C:$C,MATCH($A359&amp;"_"&amp;$D359,Partits!$D:$D,0)),""))</f>
        <v/>
      </c>
      <c r="J359" s="9" t="str">
        <f aca="false">IF($C359="","",IF(AND($I359="V",N($H359)&gt;0),1.2,1))</f>
        <v/>
      </c>
      <c r="K359" s="9" t="str">
        <f aca="false">IF($C359="","",N($H359)*$J359)</f>
        <v/>
      </c>
      <c r="L359" s="9" t="str">
        <f aca="false">IF($C359="","",IF($E359="SI",2,1))</f>
        <v/>
      </c>
      <c r="M359" s="9" t="str">
        <f aca="false">IF($C359="","",$K359*$L359)</f>
        <v/>
      </c>
    </row>
    <row r="360" customFormat="false" ht="15" hidden="false" customHeight="true" outlineLevel="0" collapsed="false">
      <c r="A360" s="9" t="str">
        <f aca="false">IF(Equips_usuari!A360="","",Equips_usuari!A360)</f>
        <v/>
      </c>
      <c r="B360" s="9" t="str">
        <f aca="false">IF(Equips_usuari!B360="","",Equips_usuari!B360)</f>
        <v/>
      </c>
      <c r="C360" s="9" t="str">
        <f aca="false">IF(Equips_usuari!C360="","",Equips_usuari!C360)</f>
        <v/>
      </c>
      <c r="D360" s="9" t="str">
        <f aca="false">IF(Equips_usuari!D360="","",Equips_usuari!D360)</f>
        <v/>
      </c>
      <c r="E360" s="9" t="str">
        <f aca="false">IF(Equips_usuari!F360="","",Equips_usuari!F360)</f>
        <v/>
      </c>
      <c r="F360" s="9" t="str">
        <f aca="false">IF($C360="","",SUMIFS(Resultats_jugadores!$C:$C,Resultats_jugadores!$A:$A,$A360,Resultats_jugadores!$B:$B,$C360))</f>
        <v/>
      </c>
      <c r="G360" s="9" t="str">
        <f aca="false">IF($C360="","",SUMIFS(Resultats_jugadores!$D:$D,Resultats_jugadores!$A:$A,$A360,Resultats_jugadores!$B:$B,$C360))</f>
        <v/>
      </c>
      <c r="H360" s="9" t="str">
        <f aca="false">IF($C360="","",N($F360)-N($G360))</f>
        <v/>
      </c>
      <c r="I360" s="9" t="str">
        <f aca="false">IF($C360="","",IFERROR(INDEX(Partits!$C:$C,MATCH($A360&amp;"_"&amp;$D360,Partits!$D:$D,0)),""))</f>
        <v/>
      </c>
      <c r="J360" s="9" t="str">
        <f aca="false">IF($C360="","",IF(AND($I360="V",N($H360)&gt;0),1.2,1))</f>
        <v/>
      </c>
      <c r="K360" s="9" t="str">
        <f aca="false">IF($C360="","",N($H360)*$J360)</f>
        <v/>
      </c>
      <c r="L360" s="9" t="str">
        <f aca="false">IF($C360="","",IF($E360="SI",2,1))</f>
        <v/>
      </c>
      <c r="M360" s="9" t="str">
        <f aca="false">IF($C360="","",$K360*$L360)</f>
        <v/>
      </c>
    </row>
    <row r="361" customFormat="false" ht="15" hidden="false" customHeight="true" outlineLevel="0" collapsed="false">
      <c r="A361" s="9" t="str">
        <f aca="false">IF(Equips_usuari!A361="","",Equips_usuari!A361)</f>
        <v/>
      </c>
      <c r="B361" s="9" t="str">
        <f aca="false">IF(Equips_usuari!B361="","",Equips_usuari!B361)</f>
        <v/>
      </c>
      <c r="C361" s="9" t="str">
        <f aca="false">IF(Equips_usuari!C361="","",Equips_usuari!C361)</f>
        <v/>
      </c>
      <c r="D361" s="9" t="str">
        <f aca="false">IF(Equips_usuari!D361="","",Equips_usuari!D361)</f>
        <v/>
      </c>
      <c r="E361" s="9" t="str">
        <f aca="false">IF(Equips_usuari!F361="","",Equips_usuari!F361)</f>
        <v/>
      </c>
      <c r="F361" s="9" t="str">
        <f aca="false">IF($C361="","",SUMIFS(Resultats_jugadores!$C:$C,Resultats_jugadores!$A:$A,$A361,Resultats_jugadores!$B:$B,$C361))</f>
        <v/>
      </c>
      <c r="G361" s="9" t="str">
        <f aca="false">IF($C361="","",SUMIFS(Resultats_jugadores!$D:$D,Resultats_jugadores!$A:$A,$A361,Resultats_jugadores!$B:$B,$C361))</f>
        <v/>
      </c>
      <c r="H361" s="9" t="str">
        <f aca="false">IF($C361="","",N($F361)-N($G361))</f>
        <v/>
      </c>
      <c r="I361" s="9" t="str">
        <f aca="false">IF($C361="","",IFERROR(INDEX(Partits!$C:$C,MATCH($A361&amp;"_"&amp;$D361,Partits!$D:$D,0)),""))</f>
        <v/>
      </c>
      <c r="J361" s="9" t="str">
        <f aca="false">IF($C361="","",IF(AND($I361="V",N($H361)&gt;0),1.2,1))</f>
        <v/>
      </c>
      <c r="K361" s="9" t="str">
        <f aca="false">IF($C361="","",N($H361)*$J361)</f>
        <v/>
      </c>
      <c r="L361" s="9" t="str">
        <f aca="false">IF($C361="","",IF($E361="SI",2,1))</f>
        <v/>
      </c>
      <c r="M361" s="9" t="str">
        <f aca="false">IF($C361="","",$K361*$L361)</f>
        <v/>
      </c>
    </row>
    <row r="362" customFormat="false" ht="15" hidden="false" customHeight="true" outlineLevel="0" collapsed="false">
      <c r="A362" s="9" t="str">
        <f aca="false">IF(Equips_usuari!A362="","",Equips_usuari!A362)</f>
        <v/>
      </c>
      <c r="B362" s="9" t="str">
        <f aca="false">IF(Equips_usuari!B362="","",Equips_usuari!B362)</f>
        <v/>
      </c>
      <c r="C362" s="9" t="str">
        <f aca="false">IF(Equips_usuari!C362="","",Equips_usuari!C362)</f>
        <v/>
      </c>
      <c r="D362" s="9" t="str">
        <f aca="false">IF(Equips_usuari!D362="","",Equips_usuari!D362)</f>
        <v/>
      </c>
      <c r="E362" s="9" t="str">
        <f aca="false">IF(Equips_usuari!F362="","",Equips_usuari!F362)</f>
        <v/>
      </c>
      <c r="F362" s="9" t="str">
        <f aca="false">IF($C362="","",SUMIFS(Resultats_jugadores!$C:$C,Resultats_jugadores!$A:$A,$A362,Resultats_jugadores!$B:$B,$C362))</f>
        <v/>
      </c>
      <c r="G362" s="9" t="str">
        <f aca="false">IF($C362="","",SUMIFS(Resultats_jugadores!$D:$D,Resultats_jugadores!$A:$A,$A362,Resultats_jugadores!$B:$B,$C362))</f>
        <v/>
      </c>
      <c r="H362" s="9" t="str">
        <f aca="false">IF($C362="","",N($F362)-N($G362))</f>
        <v/>
      </c>
      <c r="I362" s="9" t="str">
        <f aca="false">IF($C362="","",IFERROR(INDEX(Partits!$C:$C,MATCH($A362&amp;"_"&amp;$D362,Partits!$D:$D,0)),""))</f>
        <v/>
      </c>
      <c r="J362" s="9" t="str">
        <f aca="false">IF($C362="","",IF(AND($I362="V",N($H362)&gt;0),1.2,1))</f>
        <v/>
      </c>
      <c r="K362" s="9" t="str">
        <f aca="false">IF($C362="","",N($H362)*$J362)</f>
        <v/>
      </c>
      <c r="L362" s="9" t="str">
        <f aca="false">IF($C362="","",IF($E362="SI",2,1))</f>
        <v/>
      </c>
      <c r="M362" s="9" t="str">
        <f aca="false">IF($C362="","",$K362*$L362)</f>
        <v/>
      </c>
    </row>
    <row r="363" customFormat="false" ht="15" hidden="false" customHeight="true" outlineLevel="0" collapsed="false">
      <c r="A363" s="9" t="str">
        <f aca="false">IF(Equips_usuari!A363="","",Equips_usuari!A363)</f>
        <v/>
      </c>
      <c r="B363" s="9" t="str">
        <f aca="false">IF(Equips_usuari!B363="","",Equips_usuari!B363)</f>
        <v/>
      </c>
      <c r="C363" s="9" t="str">
        <f aca="false">IF(Equips_usuari!C363="","",Equips_usuari!C363)</f>
        <v/>
      </c>
      <c r="D363" s="9" t="str">
        <f aca="false">IF(Equips_usuari!D363="","",Equips_usuari!D363)</f>
        <v/>
      </c>
      <c r="E363" s="9" t="str">
        <f aca="false">IF(Equips_usuari!F363="","",Equips_usuari!F363)</f>
        <v/>
      </c>
      <c r="F363" s="9" t="str">
        <f aca="false">IF($C363="","",SUMIFS(Resultats_jugadores!$C:$C,Resultats_jugadores!$A:$A,$A363,Resultats_jugadores!$B:$B,$C363))</f>
        <v/>
      </c>
      <c r="G363" s="9" t="str">
        <f aca="false">IF($C363="","",SUMIFS(Resultats_jugadores!$D:$D,Resultats_jugadores!$A:$A,$A363,Resultats_jugadores!$B:$B,$C363))</f>
        <v/>
      </c>
      <c r="H363" s="9" t="str">
        <f aca="false">IF($C363="","",N($F363)-N($G363))</f>
        <v/>
      </c>
      <c r="I363" s="9" t="str">
        <f aca="false">IF($C363="","",IFERROR(INDEX(Partits!$C:$C,MATCH($A363&amp;"_"&amp;$D363,Partits!$D:$D,0)),""))</f>
        <v/>
      </c>
      <c r="J363" s="9" t="str">
        <f aca="false">IF($C363="","",IF(AND($I363="V",N($H363)&gt;0),1.2,1))</f>
        <v/>
      </c>
      <c r="K363" s="9" t="str">
        <f aca="false">IF($C363="","",N($H363)*$J363)</f>
        <v/>
      </c>
      <c r="L363" s="9" t="str">
        <f aca="false">IF($C363="","",IF($E363="SI",2,1))</f>
        <v/>
      </c>
      <c r="M363" s="9" t="str">
        <f aca="false">IF($C363="","",$K363*$L363)</f>
        <v/>
      </c>
    </row>
    <row r="364" customFormat="false" ht="15" hidden="false" customHeight="true" outlineLevel="0" collapsed="false">
      <c r="A364" s="9" t="str">
        <f aca="false">IF(Equips_usuari!A364="","",Equips_usuari!A364)</f>
        <v/>
      </c>
      <c r="B364" s="9" t="str">
        <f aca="false">IF(Equips_usuari!B364="","",Equips_usuari!B364)</f>
        <v/>
      </c>
      <c r="C364" s="9" t="str">
        <f aca="false">IF(Equips_usuari!C364="","",Equips_usuari!C364)</f>
        <v/>
      </c>
      <c r="D364" s="9" t="str">
        <f aca="false">IF(Equips_usuari!D364="","",Equips_usuari!D364)</f>
        <v/>
      </c>
      <c r="E364" s="9" t="str">
        <f aca="false">IF(Equips_usuari!F364="","",Equips_usuari!F364)</f>
        <v/>
      </c>
      <c r="F364" s="9" t="str">
        <f aca="false">IF($C364="","",SUMIFS(Resultats_jugadores!$C:$C,Resultats_jugadores!$A:$A,$A364,Resultats_jugadores!$B:$B,$C364))</f>
        <v/>
      </c>
      <c r="G364" s="9" t="str">
        <f aca="false">IF($C364="","",SUMIFS(Resultats_jugadores!$D:$D,Resultats_jugadores!$A:$A,$A364,Resultats_jugadores!$B:$B,$C364))</f>
        <v/>
      </c>
      <c r="H364" s="9" t="str">
        <f aca="false">IF($C364="","",N($F364)-N($G364))</f>
        <v/>
      </c>
      <c r="I364" s="9" t="str">
        <f aca="false">IF($C364="","",IFERROR(INDEX(Partits!$C:$C,MATCH($A364&amp;"_"&amp;$D364,Partits!$D:$D,0)),""))</f>
        <v/>
      </c>
      <c r="J364" s="9" t="str">
        <f aca="false">IF($C364="","",IF(AND($I364="V",N($H364)&gt;0),1.2,1))</f>
        <v/>
      </c>
      <c r="K364" s="9" t="str">
        <f aca="false">IF($C364="","",N($H364)*$J364)</f>
        <v/>
      </c>
      <c r="L364" s="9" t="str">
        <f aca="false">IF($C364="","",IF($E364="SI",2,1))</f>
        <v/>
      </c>
      <c r="M364" s="9" t="str">
        <f aca="false">IF($C364="","",$K364*$L364)</f>
        <v/>
      </c>
    </row>
    <row r="365" customFormat="false" ht="15" hidden="false" customHeight="true" outlineLevel="0" collapsed="false">
      <c r="A365" s="9" t="str">
        <f aca="false">IF(Equips_usuari!A365="","",Equips_usuari!A365)</f>
        <v/>
      </c>
      <c r="B365" s="9" t="str">
        <f aca="false">IF(Equips_usuari!B365="","",Equips_usuari!B365)</f>
        <v/>
      </c>
      <c r="C365" s="9" t="str">
        <f aca="false">IF(Equips_usuari!C365="","",Equips_usuari!C365)</f>
        <v/>
      </c>
      <c r="D365" s="9" t="str">
        <f aca="false">IF(Equips_usuari!D365="","",Equips_usuari!D365)</f>
        <v/>
      </c>
      <c r="E365" s="9" t="str">
        <f aca="false">IF(Equips_usuari!F365="","",Equips_usuari!F365)</f>
        <v/>
      </c>
      <c r="F365" s="9" t="str">
        <f aca="false">IF($C365="","",SUMIFS(Resultats_jugadores!$C:$C,Resultats_jugadores!$A:$A,$A365,Resultats_jugadores!$B:$B,$C365))</f>
        <v/>
      </c>
      <c r="G365" s="9" t="str">
        <f aca="false">IF($C365="","",SUMIFS(Resultats_jugadores!$D:$D,Resultats_jugadores!$A:$A,$A365,Resultats_jugadores!$B:$B,$C365))</f>
        <v/>
      </c>
      <c r="H365" s="9" t="str">
        <f aca="false">IF($C365="","",N($F365)-N($G365))</f>
        <v/>
      </c>
      <c r="I365" s="9" t="str">
        <f aca="false">IF($C365="","",IFERROR(INDEX(Partits!$C:$C,MATCH($A365&amp;"_"&amp;$D365,Partits!$D:$D,0)),""))</f>
        <v/>
      </c>
      <c r="J365" s="9" t="str">
        <f aca="false">IF($C365="","",IF(AND($I365="V",N($H365)&gt;0),1.2,1))</f>
        <v/>
      </c>
      <c r="K365" s="9" t="str">
        <f aca="false">IF($C365="","",N($H365)*$J365)</f>
        <v/>
      </c>
      <c r="L365" s="9" t="str">
        <f aca="false">IF($C365="","",IF($E365="SI",2,1))</f>
        <v/>
      </c>
      <c r="M365" s="9" t="str">
        <f aca="false">IF($C365="","",$K365*$L365)</f>
        <v/>
      </c>
    </row>
    <row r="366" customFormat="false" ht="15" hidden="false" customHeight="true" outlineLevel="0" collapsed="false">
      <c r="A366" s="9" t="str">
        <f aca="false">IF(Equips_usuari!A366="","",Equips_usuari!A366)</f>
        <v/>
      </c>
      <c r="B366" s="9" t="str">
        <f aca="false">IF(Equips_usuari!B366="","",Equips_usuari!B366)</f>
        <v/>
      </c>
      <c r="C366" s="9" t="str">
        <f aca="false">IF(Equips_usuari!C366="","",Equips_usuari!C366)</f>
        <v/>
      </c>
      <c r="D366" s="9" t="str">
        <f aca="false">IF(Equips_usuari!D366="","",Equips_usuari!D366)</f>
        <v/>
      </c>
      <c r="E366" s="9" t="str">
        <f aca="false">IF(Equips_usuari!F366="","",Equips_usuari!F366)</f>
        <v/>
      </c>
      <c r="F366" s="9" t="str">
        <f aca="false">IF($C366="","",SUMIFS(Resultats_jugadores!$C:$C,Resultats_jugadores!$A:$A,$A366,Resultats_jugadores!$B:$B,$C366))</f>
        <v/>
      </c>
      <c r="G366" s="9" t="str">
        <f aca="false">IF($C366="","",SUMIFS(Resultats_jugadores!$D:$D,Resultats_jugadores!$A:$A,$A366,Resultats_jugadores!$B:$B,$C366))</f>
        <v/>
      </c>
      <c r="H366" s="9" t="str">
        <f aca="false">IF($C366="","",N($F366)-N($G366))</f>
        <v/>
      </c>
      <c r="I366" s="9" t="str">
        <f aca="false">IF($C366="","",IFERROR(INDEX(Partits!$C:$C,MATCH($A366&amp;"_"&amp;$D366,Partits!$D:$D,0)),""))</f>
        <v/>
      </c>
      <c r="J366" s="9" t="str">
        <f aca="false">IF($C366="","",IF(AND($I366="V",N($H366)&gt;0),1.2,1))</f>
        <v/>
      </c>
      <c r="K366" s="9" t="str">
        <f aca="false">IF($C366="","",N($H366)*$J366)</f>
        <v/>
      </c>
      <c r="L366" s="9" t="str">
        <f aca="false">IF($C366="","",IF($E366="SI",2,1))</f>
        <v/>
      </c>
      <c r="M366" s="9" t="str">
        <f aca="false">IF($C366="","",$K366*$L366)</f>
        <v/>
      </c>
    </row>
    <row r="367" customFormat="false" ht="15" hidden="false" customHeight="true" outlineLevel="0" collapsed="false">
      <c r="A367" s="9" t="str">
        <f aca="false">IF(Equips_usuari!A367="","",Equips_usuari!A367)</f>
        <v/>
      </c>
      <c r="B367" s="9" t="str">
        <f aca="false">IF(Equips_usuari!B367="","",Equips_usuari!B367)</f>
        <v/>
      </c>
      <c r="C367" s="9" t="str">
        <f aca="false">IF(Equips_usuari!C367="","",Equips_usuari!C367)</f>
        <v/>
      </c>
      <c r="D367" s="9" t="str">
        <f aca="false">IF(Equips_usuari!D367="","",Equips_usuari!D367)</f>
        <v/>
      </c>
      <c r="E367" s="9" t="str">
        <f aca="false">IF(Equips_usuari!F367="","",Equips_usuari!F367)</f>
        <v/>
      </c>
      <c r="F367" s="9" t="str">
        <f aca="false">IF($C367="","",SUMIFS(Resultats_jugadores!$C:$C,Resultats_jugadores!$A:$A,$A367,Resultats_jugadores!$B:$B,$C367))</f>
        <v/>
      </c>
      <c r="G367" s="9" t="str">
        <f aca="false">IF($C367="","",SUMIFS(Resultats_jugadores!$D:$D,Resultats_jugadores!$A:$A,$A367,Resultats_jugadores!$B:$B,$C367))</f>
        <v/>
      </c>
      <c r="H367" s="9" t="str">
        <f aca="false">IF($C367="","",N($F367)-N($G367))</f>
        <v/>
      </c>
      <c r="I367" s="9" t="str">
        <f aca="false">IF($C367="","",IFERROR(INDEX(Partits!$C:$C,MATCH($A367&amp;"_"&amp;$D367,Partits!$D:$D,0)),""))</f>
        <v/>
      </c>
      <c r="J367" s="9" t="str">
        <f aca="false">IF($C367="","",IF(AND($I367="V",N($H367)&gt;0),1.2,1))</f>
        <v/>
      </c>
      <c r="K367" s="9" t="str">
        <f aca="false">IF($C367="","",N($H367)*$J367)</f>
        <v/>
      </c>
      <c r="L367" s="9" t="str">
        <f aca="false">IF($C367="","",IF($E367="SI",2,1))</f>
        <v/>
      </c>
      <c r="M367" s="9" t="str">
        <f aca="false">IF($C367="","",$K367*$L367)</f>
        <v/>
      </c>
    </row>
    <row r="368" customFormat="false" ht="15" hidden="false" customHeight="true" outlineLevel="0" collapsed="false">
      <c r="A368" s="9" t="str">
        <f aca="false">IF(Equips_usuari!A368="","",Equips_usuari!A368)</f>
        <v/>
      </c>
      <c r="B368" s="9" t="str">
        <f aca="false">IF(Equips_usuari!B368="","",Equips_usuari!B368)</f>
        <v/>
      </c>
      <c r="C368" s="9" t="str">
        <f aca="false">IF(Equips_usuari!C368="","",Equips_usuari!C368)</f>
        <v/>
      </c>
      <c r="D368" s="9" t="str">
        <f aca="false">IF(Equips_usuari!D368="","",Equips_usuari!D368)</f>
        <v/>
      </c>
      <c r="E368" s="9" t="str">
        <f aca="false">IF(Equips_usuari!F368="","",Equips_usuari!F368)</f>
        <v/>
      </c>
      <c r="F368" s="9" t="str">
        <f aca="false">IF($C368="","",SUMIFS(Resultats_jugadores!$C:$C,Resultats_jugadores!$A:$A,$A368,Resultats_jugadores!$B:$B,$C368))</f>
        <v/>
      </c>
      <c r="G368" s="9" t="str">
        <f aca="false">IF($C368="","",SUMIFS(Resultats_jugadores!$D:$D,Resultats_jugadores!$A:$A,$A368,Resultats_jugadores!$B:$B,$C368))</f>
        <v/>
      </c>
      <c r="H368" s="9" t="str">
        <f aca="false">IF($C368="","",N($F368)-N($G368))</f>
        <v/>
      </c>
      <c r="I368" s="9" t="str">
        <f aca="false">IF($C368="","",IFERROR(INDEX(Partits!$C:$C,MATCH($A368&amp;"_"&amp;$D368,Partits!$D:$D,0)),""))</f>
        <v/>
      </c>
      <c r="J368" s="9" t="str">
        <f aca="false">IF($C368="","",IF(AND($I368="V",N($H368)&gt;0),1.2,1))</f>
        <v/>
      </c>
      <c r="K368" s="9" t="str">
        <f aca="false">IF($C368="","",N($H368)*$J368)</f>
        <v/>
      </c>
      <c r="L368" s="9" t="str">
        <f aca="false">IF($C368="","",IF($E368="SI",2,1))</f>
        <v/>
      </c>
      <c r="M368" s="9" t="str">
        <f aca="false">IF($C368="","",$K368*$L368)</f>
        <v/>
      </c>
    </row>
    <row r="369" customFormat="false" ht="15" hidden="false" customHeight="true" outlineLevel="0" collapsed="false">
      <c r="A369" s="9" t="str">
        <f aca="false">IF(Equips_usuari!A369="","",Equips_usuari!A369)</f>
        <v/>
      </c>
      <c r="B369" s="9" t="str">
        <f aca="false">IF(Equips_usuari!B369="","",Equips_usuari!B369)</f>
        <v/>
      </c>
      <c r="C369" s="9" t="str">
        <f aca="false">IF(Equips_usuari!C369="","",Equips_usuari!C369)</f>
        <v/>
      </c>
      <c r="D369" s="9" t="str">
        <f aca="false">IF(Equips_usuari!D369="","",Equips_usuari!D369)</f>
        <v/>
      </c>
      <c r="E369" s="9" t="str">
        <f aca="false">IF(Equips_usuari!F369="","",Equips_usuari!F369)</f>
        <v/>
      </c>
      <c r="F369" s="9" t="str">
        <f aca="false">IF($C369="","",SUMIFS(Resultats_jugadores!$C:$C,Resultats_jugadores!$A:$A,$A369,Resultats_jugadores!$B:$B,$C369))</f>
        <v/>
      </c>
      <c r="G369" s="9" t="str">
        <f aca="false">IF($C369="","",SUMIFS(Resultats_jugadores!$D:$D,Resultats_jugadores!$A:$A,$A369,Resultats_jugadores!$B:$B,$C369))</f>
        <v/>
      </c>
      <c r="H369" s="9" t="str">
        <f aca="false">IF($C369="","",N($F369)-N($G369))</f>
        <v/>
      </c>
      <c r="I369" s="9" t="str">
        <f aca="false">IF($C369="","",IFERROR(INDEX(Partits!$C:$C,MATCH($A369&amp;"_"&amp;$D369,Partits!$D:$D,0)),""))</f>
        <v/>
      </c>
      <c r="J369" s="9" t="str">
        <f aca="false">IF($C369="","",IF(AND($I369="V",N($H369)&gt;0),1.2,1))</f>
        <v/>
      </c>
      <c r="K369" s="9" t="str">
        <f aca="false">IF($C369="","",N($H369)*$J369)</f>
        <v/>
      </c>
      <c r="L369" s="9" t="str">
        <f aca="false">IF($C369="","",IF($E369="SI",2,1))</f>
        <v/>
      </c>
      <c r="M369" s="9" t="str">
        <f aca="false">IF($C369="","",$K369*$L369)</f>
        <v/>
      </c>
    </row>
    <row r="370" customFormat="false" ht="15" hidden="false" customHeight="true" outlineLevel="0" collapsed="false">
      <c r="A370" s="9" t="str">
        <f aca="false">IF(Equips_usuari!A370="","",Equips_usuari!A370)</f>
        <v/>
      </c>
      <c r="B370" s="9" t="str">
        <f aca="false">IF(Equips_usuari!B370="","",Equips_usuari!B370)</f>
        <v/>
      </c>
      <c r="C370" s="9" t="str">
        <f aca="false">IF(Equips_usuari!C370="","",Equips_usuari!C370)</f>
        <v/>
      </c>
      <c r="D370" s="9" t="str">
        <f aca="false">IF(Equips_usuari!D370="","",Equips_usuari!D370)</f>
        <v/>
      </c>
      <c r="E370" s="9" t="str">
        <f aca="false">IF(Equips_usuari!F370="","",Equips_usuari!F370)</f>
        <v/>
      </c>
      <c r="F370" s="9" t="str">
        <f aca="false">IF($C370="","",SUMIFS(Resultats_jugadores!$C:$C,Resultats_jugadores!$A:$A,$A370,Resultats_jugadores!$B:$B,$C370))</f>
        <v/>
      </c>
      <c r="G370" s="9" t="str">
        <f aca="false">IF($C370="","",SUMIFS(Resultats_jugadores!$D:$D,Resultats_jugadores!$A:$A,$A370,Resultats_jugadores!$B:$B,$C370))</f>
        <v/>
      </c>
      <c r="H370" s="9" t="str">
        <f aca="false">IF($C370="","",N($F370)-N($G370))</f>
        <v/>
      </c>
      <c r="I370" s="9" t="str">
        <f aca="false">IF($C370="","",IFERROR(INDEX(Partits!$C:$C,MATCH($A370&amp;"_"&amp;$D370,Partits!$D:$D,0)),""))</f>
        <v/>
      </c>
      <c r="J370" s="9" t="str">
        <f aca="false">IF($C370="","",IF(AND($I370="V",N($H370)&gt;0),1.2,1))</f>
        <v/>
      </c>
      <c r="K370" s="9" t="str">
        <f aca="false">IF($C370="","",N($H370)*$J370)</f>
        <v/>
      </c>
      <c r="L370" s="9" t="str">
        <f aca="false">IF($C370="","",IF($E370="SI",2,1))</f>
        <v/>
      </c>
      <c r="M370" s="9" t="str">
        <f aca="false">IF($C370="","",$K370*$L370)</f>
        <v/>
      </c>
    </row>
    <row r="371" customFormat="false" ht="15" hidden="false" customHeight="true" outlineLevel="0" collapsed="false">
      <c r="A371" s="9" t="str">
        <f aca="false">IF(Equips_usuari!A371="","",Equips_usuari!A371)</f>
        <v/>
      </c>
      <c r="B371" s="9" t="str">
        <f aca="false">IF(Equips_usuari!B371="","",Equips_usuari!B371)</f>
        <v/>
      </c>
      <c r="C371" s="9" t="str">
        <f aca="false">IF(Equips_usuari!C371="","",Equips_usuari!C371)</f>
        <v/>
      </c>
      <c r="D371" s="9" t="str">
        <f aca="false">IF(Equips_usuari!D371="","",Equips_usuari!D371)</f>
        <v/>
      </c>
      <c r="E371" s="9" t="str">
        <f aca="false">IF(Equips_usuari!F371="","",Equips_usuari!F371)</f>
        <v/>
      </c>
      <c r="F371" s="9" t="str">
        <f aca="false">IF($C371="","",SUMIFS(Resultats_jugadores!$C:$C,Resultats_jugadores!$A:$A,$A371,Resultats_jugadores!$B:$B,$C371))</f>
        <v/>
      </c>
      <c r="G371" s="9" t="str">
        <f aca="false">IF($C371="","",SUMIFS(Resultats_jugadores!$D:$D,Resultats_jugadores!$A:$A,$A371,Resultats_jugadores!$B:$B,$C371))</f>
        <v/>
      </c>
      <c r="H371" s="9" t="str">
        <f aca="false">IF($C371="","",N($F371)-N($G371))</f>
        <v/>
      </c>
      <c r="I371" s="9" t="str">
        <f aca="false">IF($C371="","",IFERROR(INDEX(Partits!$C:$C,MATCH($A371&amp;"_"&amp;$D371,Partits!$D:$D,0)),""))</f>
        <v/>
      </c>
      <c r="J371" s="9" t="str">
        <f aca="false">IF($C371="","",IF(AND($I371="V",N($H371)&gt;0),1.2,1))</f>
        <v/>
      </c>
      <c r="K371" s="9" t="str">
        <f aca="false">IF($C371="","",N($H371)*$J371)</f>
        <v/>
      </c>
      <c r="L371" s="9" t="str">
        <f aca="false">IF($C371="","",IF($E371="SI",2,1))</f>
        <v/>
      </c>
      <c r="M371" s="9" t="str">
        <f aca="false">IF($C371="","",$K371*$L371)</f>
        <v/>
      </c>
    </row>
    <row r="372" customFormat="false" ht="15" hidden="false" customHeight="true" outlineLevel="0" collapsed="false">
      <c r="A372" s="9" t="str">
        <f aca="false">IF(Equips_usuari!A372="","",Equips_usuari!A372)</f>
        <v/>
      </c>
      <c r="B372" s="9" t="str">
        <f aca="false">IF(Equips_usuari!B372="","",Equips_usuari!B372)</f>
        <v/>
      </c>
      <c r="C372" s="9" t="str">
        <f aca="false">IF(Equips_usuari!C372="","",Equips_usuari!C372)</f>
        <v/>
      </c>
      <c r="D372" s="9" t="str">
        <f aca="false">IF(Equips_usuari!D372="","",Equips_usuari!D372)</f>
        <v/>
      </c>
      <c r="E372" s="9" t="str">
        <f aca="false">IF(Equips_usuari!F372="","",Equips_usuari!F372)</f>
        <v/>
      </c>
      <c r="F372" s="9" t="str">
        <f aca="false">IF($C372="","",SUMIFS(Resultats_jugadores!$C:$C,Resultats_jugadores!$A:$A,$A372,Resultats_jugadores!$B:$B,$C372))</f>
        <v/>
      </c>
      <c r="G372" s="9" t="str">
        <f aca="false">IF($C372="","",SUMIFS(Resultats_jugadores!$D:$D,Resultats_jugadores!$A:$A,$A372,Resultats_jugadores!$B:$B,$C372))</f>
        <v/>
      </c>
      <c r="H372" s="9" t="str">
        <f aca="false">IF($C372="","",N($F372)-N($G372))</f>
        <v/>
      </c>
      <c r="I372" s="9" t="str">
        <f aca="false">IF($C372="","",IFERROR(INDEX(Partits!$C:$C,MATCH($A372&amp;"_"&amp;$D372,Partits!$D:$D,0)),""))</f>
        <v/>
      </c>
      <c r="J372" s="9" t="str">
        <f aca="false">IF($C372="","",IF(AND($I372="V",N($H372)&gt;0),1.2,1))</f>
        <v/>
      </c>
      <c r="K372" s="9" t="str">
        <f aca="false">IF($C372="","",N($H372)*$J372)</f>
        <v/>
      </c>
      <c r="L372" s="9" t="str">
        <f aca="false">IF($C372="","",IF($E372="SI",2,1))</f>
        <v/>
      </c>
      <c r="M372" s="9" t="str">
        <f aca="false">IF($C372="","",$K372*$L372)</f>
        <v/>
      </c>
    </row>
    <row r="373" customFormat="false" ht="15" hidden="false" customHeight="true" outlineLevel="0" collapsed="false">
      <c r="A373" s="9" t="str">
        <f aca="false">IF(Equips_usuari!A373="","",Equips_usuari!A373)</f>
        <v/>
      </c>
      <c r="B373" s="9" t="str">
        <f aca="false">IF(Equips_usuari!B373="","",Equips_usuari!B373)</f>
        <v/>
      </c>
      <c r="C373" s="9" t="str">
        <f aca="false">IF(Equips_usuari!C373="","",Equips_usuari!C373)</f>
        <v/>
      </c>
      <c r="D373" s="9" t="str">
        <f aca="false">IF(Equips_usuari!D373="","",Equips_usuari!D373)</f>
        <v/>
      </c>
      <c r="E373" s="9" t="str">
        <f aca="false">IF(Equips_usuari!F373="","",Equips_usuari!F373)</f>
        <v/>
      </c>
      <c r="F373" s="9" t="str">
        <f aca="false">IF($C373="","",SUMIFS(Resultats_jugadores!$C:$C,Resultats_jugadores!$A:$A,$A373,Resultats_jugadores!$B:$B,$C373))</f>
        <v/>
      </c>
      <c r="G373" s="9" t="str">
        <f aca="false">IF($C373="","",SUMIFS(Resultats_jugadores!$D:$D,Resultats_jugadores!$A:$A,$A373,Resultats_jugadores!$B:$B,$C373))</f>
        <v/>
      </c>
      <c r="H373" s="9" t="str">
        <f aca="false">IF($C373="","",N($F373)-N($G373))</f>
        <v/>
      </c>
      <c r="I373" s="9" t="str">
        <f aca="false">IF($C373="","",IFERROR(INDEX(Partits!$C:$C,MATCH($A373&amp;"_"&amp;$D373,Partits!$D:$D,0)),""))</f>
        <v/>
      </c>
      <c r="J373" s="9" t="str">
        <f aca="false">IF($C373="","",IF(AND($I373="V",N($H373)&gt;0),1.2,1))</f>
        <v/>
      </c>
      <c r="K373" s="9" t="str">
        <f aca="false">IF($C373="","",N($H373)*$J373)</f>
        <v/>
      </c>
      <c r="L373" s="9" t="str">
        <f aca="false">IF($C373="","",IF($E373="SI",2,1))</f>
        <v/>
      </c>
      <c r="M373" s="9" t="str">
        <f aca="false">IF($C373="","",$K373*$L373)</f>
        <v/>
      </c>
    </row>
    <row r="374" customFormat="false" ht="15" hidden="false" customHeight="true" outlineLevel="0" collapsed="false">
      <c r="A374" s="9" t="str">
        <f aca="false">IF(Equips_usuari!A374="","",Equips_usuari!A374)</f>
        <v/>
      </c>
      <c r="B374" s="9" t="str">
        <f aca="false">IF(Equips_usuari!B374="","",Equips_usuari!B374)</f>
        <v/>
      </c>
      <c r="C374" s="9" t="str">
        <f aca="false">IF(Equips_usuari!C374="","",Equips_usuari!C374)</f>
        <v/>
      </c>
      <c r="D374" s="9" t="str">
        <f aca="false">IF(Equips_usuari!D374="","",Equips_usuari!D374)</f>
        <v/>
      </c>
      <c r="E374" s="9" t="str">
        <f aca="false">IF(Equips_usuari!F374="","",Equips_usuari!F374)</f>
        <v/>
      </c>
      <c r="F374" s="9" t="str">
        <f aca="false">IF($C374="","",SUMIFS(Resultats_jugadores!$C:$C,Resultats_jugadores!$A:$A,$A374,Resultats_jugadores!$B:$B,$C374))</f>
        <v/>
      </c>
      <c r="G374" s="9" t="str">
        <f aca="false">IF($C374="","",SUMIFS(Resultats_jugadores!$D:$D,Resultats_jugadores!$A:$A,$A374,Resultats_jugadores!$B:$B,$C374))</f>
        <v/>
      </c>
      <c r="H374" s="9" t="str">
        <f aca="false">IF($C374="","",N($F374)-N($G374))</f>
        <v/>
      </c>
      <c r="I374" s="9" t="str">
        <f aca="false">IF($C374="","",IFERROR(INDEX(Partits!$C:$C,MATCH($A374&amp;"_"&amp;$D374,Partits!$D:$D,0)),""))</f>
        <v/>
      </c>
      <c r="J374" s="9" t="str">
        <f aca="false">IF($C374="","",IF(AND($I374="V",N($H374)&gt;0),1.2,1))</f>
        <v/>
      </c>
      <c r="K374" s="9" t="str">
        <f aca="false">IF($C374="","",N($H374)*$J374)</f>
        <v/>
      </c>
      <c r="L374" s="9" t="str">
        <f aca="false">IF($C374="","",IF($E374="SI",2,1))</f>
        <v/>
      </c>
      <c r="M374" s="9" t="str">
        <f aca="false">IF($C374="","",$K374*$L374)</f>
        <v/>
      </c>
    </row>
    <row r="375" customFormat="false" ht="15" hidden="false" customHeight="true" outlineLevel="0" collapsed="false">
      <c r="A375" s="9" t="str">
        <f aca="false">IF(Equips_usuari!A375="","",Equips_usuari!A375)</f>
        <v/>
      </c>
      <c r="B375" s="9" t="str">
        <f aca="false">IF(Equips_usuari!B375="","",Equips_usuari!B375)</f>
        <v/>
      </c>
      <c r="C375" s="9" t="str">
        <f aca="false">IF(Equips_usuari!C375="","",Equips_usuari!C375)</f>
        <v/>
      </c>
      <c r="D375" s="9" t="str">
        <f aca="false">IF(Equips_usuari!D375="","",Equips_usuari!D375)</f>
        <v/>
      </c>
      <c r="E375" s="9" t="str">
        <f aca="false">IF(Equips_usuari!F375="","",Equips_usuari!F375)</f>
        <v/>
      </c>
      <c r="F375" s="9" t="str">
        <f aca="false">IF($C375="","",SUMIFS(Resultats_jugadores!$C:$C,Resultats_jugadores!$A:$A,$A375,Resultats_jugadores!$B:$B,$C375))</f>
        <v/>
      </c>
      <c r="G375" s="9" t="str">
        <f aca="false">IF($C375="","",SUMIFS(Resultats_jugadores!$D:$D,Resultats_jugadores!$A:$A,$A375,Resultats_jugadores!$B:$B,$C375))</f>
        <v/>
      </c>
      <c r="H375" s="9" t="str">
        <f aca="false">IF($C375="","",N($F375)-N($G375))</f>
        <v/>
      </c>
      <c r="I375" s="9" t="str">
        <f aca="false">IF($C375="","",IFERROR(INDEX(Partits!$C:$C,MATCH($A375&amp;"_"&amp;$D375,Partits!$D:$D,0)),""))</f>
        <v/>
      </c>
      <c r="J375" s="9" t="str">
        <f aca="false">IF($C375="","",IF(AND($I375="V",N($H375)&gt;0),1.2,1))</f>
        <v/>
      </c>
      <c r="K375" s="9" t="str">
        <f aca="false">IF($C375="","",N($H375)*$J375)</f>
        <v/>
      </c>
      <c r="L375" s="9" t="str">
        <f aca="false">IF($C375="","",IF($E375="SI",2,1))</f>
        <v/>
      </c>
      <c r="M375" s="9" t="str">
        <f aca="false">IF($C375="","",$K375*$L375)</f>
        <v/>
      </c>
    </row>
    <row r="376" customFormat="false" ht="15" hidden="false" customHeight="true" outlineLevel="0" collapsed="false">
      <c r="A376" s="9" t="str">
        <f aca="false">IF(Equips_usuari!A376="","",Equips_usuari!A376)</f>
        <v/>
      </c>
      <c r="B376" s="9" t="str">
        <f aca="false">IF(Equips_usuari!B376="","",Equips_usuari!B376)</f>
        <v/>
      </c>
      <c r="C376" s="9" t="str">
        <f aca="false">IF(Equips_usuari!C376="","",Equips_usuari!C376)</f>
        <v/>
      </c>
      <c r="D376" s="9" t="str">
        <f aca="false">IF(Equips_usuari!D376="","",Equips_usuari!D376)</f>
        <v/>
      </c>
      <c r="E376" s="9" t="str">
        <f aca="false">IF(Equips_usuari!F376="","",Equips_usuari!F376)</f>
        <v/>
      </c>
      <c r="F376" s="9" t="str">
        <f aca="false">IF($C376="","",SUMIFS(Resultats_jugadores!$C:$C,Resultats_jugadores!$A:$A,$A376,Resultats_jugadores!$B:$B,$C376))</f>
        <v/>
      </c>
      <c r="G376" s="9" t="str">
        <f aca="false">IF($C376="","",SUMIFS(Resultats_jugadores!$D:$D,Resultats_jugadores!$A:$A,$A376,Resultats_jugadores!$B:$B,$C376))</f>
        <v/>
      </c>
      <c r="H376" s="9" t="str">
        <f aca="false">IF($C376="","",N($F376)-N($G376))</f>
        <v/>
      </c>
      <c r="I376" s="9" t="str">
        <f aca="false">IF($C376="","",IFERROR(INDEX(Partits!$C:$C,MATCH($A376&amp;"_"&amp;$D376,Partits!$D:$D,0)),""))</f>
        <v/>
      </c>
      <c r="J376" s="9" t="str">
        <f aca="false">IF($C376="","",IF(AND($I376="V",N($H376)&gt;0),1.2,1))</f>
        <v/>
      </c>
      <c r="K376" s="9" t="str">
        <f aca="false">IF($C376="","",N($H376)*$J376)</f>
        <v/>
      </c>
      <c r="L376" s="9" t="str">
        <f aca="false">IF($C376="","",IF($E376="SI",2,1))</f>
        <v/>
      </c>
      <c r="M376" s="9" t="str">
        <f aca="false">IF($C376="","",$K376*$L376)</f>
        <v/>
      </c>
    </row>
    <row r="377" customFormat="false" ht="15" hidden="false" customHeight="true" outlineLevel="0" collapsed="false">
      <c r="A377" s="9" t="str">
        <f aca="false">IF(Equips_usuari!A377="","",Equips_usuari!A377)</f>
        <v/>
      </c>
      <c r="B377" s="9" t="str">
        <f aca="false">IF(Equips_usuari!B377="","",Equips_usuari!B377)</f>
        <v/>
      </c>
      <c r="C377" s="9" t="str">
        <f aca="false">IF(Equips_usuari!C377="","",Equips_usuari!C377)</f>
        <v/>
      </c>
      <c r="D377" s="9" t="str">
        <f aca="false">IF(Equips_usuari!D377="","",Equips_usuari!D377)</f>
        <v/>
      </c>
      <c r="E377" s="9" t="str">
        <f aca="false">IF(Equips_usuari!F377="","",Equips_usuari!F377)</f>
        <v/>
      </c>
      <c r="F377" s="9" t="str">
        <f aca="false">IF($C377="","",SUMIFS(Resultats_jugadores!$C:$C,Resultats_jugadores!$A:$A,$A377,Resultats_jugadores!$B:$B,$C377))</f>
        <v/>
      </c>
      <c r="G377" s="9" t="str">
        <f aca="false">IF($C377="","",SUMIFS(Resultats_jugadores!$D:$D,Resultats_jugadores!$A:$A,$A377,Resultats_jugadores!$B:$B,$C377))</f>
        <v/>
      </c>
      <c r="H377" s="9" t="str">
        <f aca="false">IF($C377="","",N($F377)-N($G377))</f>
        <v/>
      </c>
      <c r="I377" s="9" t="str">
        <f aca="false">IF($C377="","",IFERROR(INDEX(Partits!$C:$C,MATCH($A377&amp;"_"&amp;$D377,Partits!$D:$D,0)),""))</f>
        <v/>
      </c>
      <c r="J377" s="9" t="str">
        <f aca="false">IF($C377="","",IF(AND($I377="V",N($H377)&gt;0),1.2,1))</f>
        <v/>
      </c>
      <c r="K377" s="9" t="str">
        <f aca="false">IF($C377="","",N($H377)*$J377)</f>
        <v/>
      </c>
      <c r="L377" s="9" t="str">
        <f aca="false">IF($C377="","",IF($E377="SI",2,1))</f>
        <v/>
      </c>
      <c r="M377" s="9" t="str">
        <f aca="false">IF($C377="","",$K377*$L377)</f>
        <v/>
      </c>
    </row>
    <row r="378" customFormat="false" ht="15" hidden="false" customHeight="true" outlineLevel="0" collapsed="false">
      <c r="A378" s="9" t="str">
        <f aca="false">IF(Equips_usuari!A378="","",Equips_usuari!A378)</f>
        <v/>
      </c>
      <c r="B378" s="9" t="str">
        <f aca="false">IF(Equips_usuari!B378="","",Equips_usuari!B378)</f>
        <v/>
      </c>
      <c r="C378" s="9" t="str">
        <f aca="false">IF(Equips_usuari!C378="","",Equips_usuari!C378)</f>
        <v/>
      </c>
      <c r="D378" s="9" t="str">
        <f aca="false">IF(Equips_usuari!D378="","",Equips_usuari!D378)</f>
        <v/>
      </c>
      <c r="E378" s="9" t="str">
        <f aca="false">IF(Equips_usuari!F378="","",Equips_usuari!F378)</f>
        <v/>
      </c>
      <c r="F378" s="9" t="str">
        <f aca="false">IF($C378="","",SUMIFS(Resultats_jugadores!$C:$C,Resultats_jugadores!$A:$A,$A378,Resultats_jugadores!$B:$B,$C378))</f>
        <v/>
      </c>
      <c r="G378" s="9" t="str">
        <f aca="false">IF($C378="","",SUMIFS(Resultats_jugadores!$D:$D,Resultats_jugadores!$A:$A,$A378,Resultats_jugadores!$B:$B,$C378))</f>
        <v/>
      </c>
      <c r="H378" s="9" t="str">
        <f aca="false">IF($C378="","",N($F378)-N($G378))</f>
        <v/>
      </c>
      <c r="I378" s="9" t="str">
        <f aca="false">IF($C378="","",IFERROR(INDEX(Partits!$C:$C,MATCH($A378&amp;"_"&amp;$D378,Partits!$D:$D,0)),""))</f>
        <v/>
      </c>
      <c r="J378" s="9" t="str">
        <f aca="false">IF($C378="","",IF(AND($I378="V",N($H378)&gt;0),1.2,1))</f>
        <v/>
      </c>
      <c r="K378" s="9" t="str">
        <f aca="false">IF($C378="","",N($H378)*$J378)</f>
        <v/>
      </c>
      <c r="L378" s="9" t="str">
        <f aca="false">IF($C378="","",IF($E378="SI",2,1))</f>
        <v/>
      </c>
      <c r="M378" s="9" t="str">
        <f aca="false">IF($C378="","",$K378*$L378)</f>
        <v/>
      </c>
    </row>
    <row r="379" customFormat="false" ht="15" hidden="false" customHeight="true" outlineLevel="0" collapsed="false">
      <c r="A379" s="9" t="str">
        <f aca="false">IF(Equips_usuari!A379="","",Equips_usuari!A379)</f>
        <v/>
      </c>
      <c r="B379" s="9" t="str">
        <f aca="false">IF(Equips_usuari!B379="","",Equips_usuari!B379)</f>
        <v/>
      </c>
      <c r="C379" s="9" t="str">
        <f aca="false">IF(Equips_usuari!C379="","",Equips_usuari!C379)</f>
        <v/>
      </c>
      <c r="D379" s="9" t="str">
        <f aca="false">IF(Equips_usuari!D379="","",Equips_usuari!D379)</f>
        <v/>
      </c>
      <c r="E379" s="9" t="str">
        <f aca="false">IF(Equips_usuari!F379="","",Equips_usuari!F379)</f>
        <v/>
      </c>
      <c r="F379" s="9" t="str">
        <f aca="false">IF($C379="","",SUMIFS(Resultats_jugadores!$C:$C,Resultats_jugadores!$A:$A,$A379,Resultats_jugadores!$B:$B,$C379))</f>
        <v/>
      </c>
      <c r="G379" s="9" t="str">
        <f aca="false">IF($C379="","",SUMIFS(Resultats_jugadores!$D:$D,Resultats_jugadores!$A:$A,$A379,Resultats_jugadores!$B:$B,$C379))</f>
        <v/>
      </c>
      <c r="H379" s="9" t="str">
        <f aca="false">IF($C379="","",N($F379)-N($G379))</f>
        <v/>
      </c>
      <c r="I379" s="9" t="str">
        <f aca="false">IF($C379="","",IFERROR(INDEX(Partits!$C:$C,MATCH($A379&amp;"_"&amp;$D379,Partits!$D:$D,0)),""))</f>
        <v/>
      </c>
      <c r="J379" s="9" t="str">
        <f aca="false">IF($C379="","",IF(AND($I379="V",N($H379)&gt;0),1.2,1))</f>
        <v/>
      </c>
      <c r="K379" s="9" t="str">
        <f aca="false">IF($C379="","",N($H379)*$J379)</f>
        <v/>
      </c>
      <c r="L379" s="9" t="str">
        <f aca="false">IF($C379="","",IF($E379="SI",2,1))</f>
        <v/>
      </c>
      <c r="M379" s="9" t="str">
        <f aca="false">IF($C379="","",$K379*$L379)</f>
        <v/>
      </c>
    </row>
    <row r="380" customFormat="false" ht="15" hidden="false" customHeight="true" outlineLevel="0" collapsed="false">
      <c r="A380" s="9" t="str">
        <f aca="false">IF(Equips_usuari!A380="","",Equips_usuari!A380)</f>
        <v/>
      </c>
      <c r="B380" s="9" t="str">
        <f aca="false">IF(Equips_usuari!B380="","",Equips_usuari!B380)</f>
        <v/>
      </c>
      <c r="C380" s="9" t="str">
        <f aca="false">IF(Equips_usuari!C380="","",Equips_usuari!C380)</f>
        <v/>
      </c>
      <c r="D380" s="9" t="str">
        <f aca="false">IF(Equips_usuari!D380="","",Equips_usuari!D380)</f>
        <v/>
      </c>
      <c r="E380" s="9" t="str">
        <f aca="false">IF(Equips_usuari!F380="","",Equips_usuari!F380)</f>
        <v/>
      </c>
      <c r="F380" s="9" t="str">
        <f aca="false">IF($C380="","",SUMIFS(Resultats_jugadores!$C:$C,Resultats_jugadores!$A:$A,$A380,Resultats_jugadores!$B:$B,$C380))</f>
        <v/>
      </c>
      <c r="G380" s="9" t="str">
        <f aca="false">IF($C380="","",SUMIFS(Resultats_jugadores!$D:$D,Resultats_jugadores!$A:$A,$A380,Resultats_jugadores!$B:$B,$C380))</f>
        <v/>
      </c>
      <c r="H380" s="9" t="str">
        <f aca="false">IF($C380="","",N($F380)-N($G380))</f>
        <v/>
      </c>
      <c r="I380" s="9" t="str">
        <f aca="false">IF($C380="","",IFERROR(INDEX(Partits!$C:$C,MATCH($A380&amp;"_"&amp;$D380,Partits!$D:$D,0)),""))</f>
        <v/>
      </c>
      <c r="J380" s="9" t="str">
        <f aca="false">IF($C380="","",IF(AND($I380="V",N($H380)&gt;0),1.2,1))</f>
        <v/>
      </c>
      <c r="K380" s="9" t="str">
        <f aca="false">IF($C380="","",N($H380)*$J380)</f>
        <v/>
      </c>
      <c r="L380" s="9" t="str">
        <f aca="false">IF($C380="","",IF($E380="SI",2,1))</f>
        <v/>
      </c>
      <c r="M380" s="9" t="str">
        <f aca="false">IF($C380="","",$K380*$L380)</f>
        <v/>
      </c>
    </row>
    <row r="381" customFormat="false" ht="15" hidden="false" customHeight="true" outlineLevel="0" collapsed="false">
      <c r="A381" s="9" t="str">
        <f aca="false">IF(Equips_usuari!A381="","",Equips_usuari!A381)</f>
        <v/>
      </c>
      <c r="B381" s="9" t="str">
        <f aca="false">IF(Equips_usuari!B381="","",Equips_usuari!B381)</f>
        <v/>
      </c>
      <c r="C381" s="9" t="str">
        <f aca="false">IF(Equips_usuari!C381="","",Equips_usuari!C381)</f>
        <v/>
      </c>
      <c r="D381" s="9" t="str">
        <f aca="false">IF(Equips_usuari!D381="","",Equips_usuari!D381)</f>
        <v/>
      </c>
      <c r="E381" s="9" t="str">
        <f aca="false">IF(Equips_usuari!F381="","",Equips_usuari!F381)</f>
        <v/>
      </c>
      <c r="F381" s="9" t="str">
        <f aca="false">IF($C381="","",SUMIFS(Resultats_jugadores!$C:$C,Resultats_jugadores!$A:$A,$A381,Resultats_jugadores!$B:$B,$C381))</f>
        <v/>
      </c>
      <c r="G381" s="9" t="str">
        <f aca="false">IF($C381="","",SUMIFS(Resultats_jugadores!$D:$D,Resultats_jugadores!$A:$A,$A381,Resultats_jugadores!$B:$B,$C381))</f>
        <v/>
      </c>
      <c r="H381" s="9" t="str">
        <f aca="false">IF($C381="","",N($F381)-N($G381))</f>
        <v/>
      </c>
      <c r="I381" s="9" t="str">
        <f aca="false">IF($C381="","",IFERROR(INDEX(Partits!$C:$C,MATCH($A381&amp;"_"&amp;$D381,Partits!$D:$D,0)),""))</f>
        <v/>
      </c>
      <c r="J381" s="9" t="str">
        <f aca="false">IF($C381="","",IF(AND($I381="V",N($H381)&gt;0),1.2,1))</f>
        <v/>
      </c>
      <c r="K381" s="9" t="str">
        <f aca="false">IF($C381="","",N($H381)*$J381)</f>
        <v/>
      </c>
      <c r="L381" s="9" t="str">
        <f aca="false">IF($C381="","",IF($E381="SI",2,1))</f>
        <v/>
      </c>
      <c r="M381" s="9" t="str">
        <f aca="false">IF($C381="","",$K381*$L381)</f>
        <v/>
      </c>
    </row>
    <row r="382" customFormat="false" ht="15" hidden="false" customHeight="true" outlineLevel="0" collapsed="false">
      <c r="A382" s="9" t="str">
        <f aca="false">IF(Equips_usuari!A382="","",Equips_usuari!A382)</f>
        <v/>
      </c>
      <c r="B382" s="9" t="str">
        <f aca="false">IF(Equips_usuari!B382="","",Equips_usuari!B382)</f>
        <v/>
      </c>
      <c r="C382" s="9" t="str">
        <f aca="false">IF(Equips_usuari!C382="","",Equips_usuari!C382)</f>
        <v/>
      </c>
      <c r="D382" s="9" t="str">
        <f aca="false">IF(Equips_usuari!D382="","",Equips_usuari!D382)</f>
        <v/>
      </c>
      <c r="E382" s="9" t="str">
        <f aca="false">IF(Equips_usuari!F382="","",Equips_usuari!F382)</f>
        <v/>
      </c>
      <c r="F382" s="9" t="str">
        <f aca="false">IF($C382="","",SUMIFS(Resultats_jugadores!$C:$C,Resultats_jugadores!$A:$A,$A382,Resultats_jugadores!$B:$B,$C382))</f>
        <v/>
      </c>
      <c r="G382" s="9" t="str">
        <f aca="false">IF($C382="","",SUMIFS(Resultats_jugadores!$D:$D,Resultats_jugadores!$A:$A,$A382,Resultats_jugadores!$B:$B,$C382))</f>
        <v/>
      </c>
      <c r="H382" s="9" t="str">
        <f aca="false">IF($C382="","",N($F382)-N($G382))</f>
        <v/>
      </c>
      <c r="I382" s="9" t="str">
        <f aca="false">IF($C382="","",IFERROR(INDEX(Partits!$C:$C,MATCH($A382&amp;"_"&amp;$D382,Partits!$D:$D,0)),""))</f>
        <v/>
      </c>
      <c r="J382" s="9" t="str">
        <f aca="false">IF($C382="","",IF(AND($I382="V",N($H382)&gt;0),1.2,1))</f>
        <v/>
      </c>
      <c r="K382" s="9" t="str">
        <f aca="false">IF($C382="","",N($H382)*$J382)</f>
        <v/>
      </c>
      <c r="L382" s="9" t="str">
        <f aca="false">IF($C382="","",IF($E382="SI",2,1))</f>
        <v/>
      </c>
      <c r="M382" s="9" t="str">
        <f aca="false">IF($C382="","",$K382*$L382)</f>
        <v/>
      </c>
    </row>
    <row r="383" customFormat="false" ht="15" hidden="false" customHeight="true" outlineLevel="0" collapsed="false">
      <c r="A383" s="9" t="str">
        <f aca="false">IF(Equips_usuari!A383="","",Equips_usuari!A383)</f>
        <v/>
      </c>
      <c r="B383" s="9" t="str">
        <f aca="false">IF(Equips_usuari!B383="","",Equips_usuari!B383)</f>
        <v/>
      </c>
      <c r="C383" s="9" t="str">
        <f aca="false">IF(Equips_usuari!C383="","",Equips_usuari!C383)</f>
        <v/>
      </c>
      <c r="D383" s="9" t="str">
        <f aca="false">IF(Equips_usuari!D383="","",Equips_usuari!D383)</f>
        <v/>
      </c>
      <c r="E383" s="9" t="str">
        <f aca="false">IF(Equips_usuari!F383="","",Equips_usuari!F383)</f>
        <v/>
      </c>
      <c r="F383" s="9" t="str">
        <f aca="false">IF($C383="","",SUMIFS(Resultats_jugadores!$C:$C,Resultats_jugadores!$A:$A,$A383,Resultats_jugadores!$B:$B,$C383))</f>
        <v/>
      </c>
      <c r="G383" s="9" t="str">
        <f aca="false">IF($C383="","",SUMIFS(Resultats_jugadores!$D:$D,Resultats_jugadores!$A:$A,$A383,Resultats_jugadores!$B:$B,$C383))</f>
        <v/>
      </c>
      <c r="H383" s="9" t="str">
        <f aca="false">IF($C383="","",N($F383)-N($G383))</f>
        <v/>
      </c>
      <c r="I383" s="9" t="str">
        <f aca="false">IF($C383="","",IFERROR(INDEX(Partits!$C:$C,MATCH($A383&amp;"_"&amp;$D383,Partits!$D:$D,0)),""))</f>
        <v/>
      </c>
      <c r="J383" s="9" t="str">
        <f aca="false">IF($C383="","",IF(AND($I383="V",N($H383)&gt;0),1.2,1))</f>
        <v/>
      </c>
      <c r="K383" s="9" t="str">
        <f aca="false">IF($C383="","",N($H383)*$J383)</f>
        <v/>
      </c>
      <c r="L383" s="9" t="str">
        <f aca="false">IF($C383="","",IF($E383="SI",2,1))</f>
        <v/>
      </c>
      <c r="M383" s="9" t="str">
        <f aca="false">IF($C383="","",$K383*$L383)</f>
        <v/>
      </c>
    </row>
    <row r="384" customFormat="false" ht="15" hidden="false" customHeight="true" outlineLevel="0" collapsed="false">
      <c r="A384" s="9" t="str">
        <f aca="false">IF(Equips_usuari!A384="","",Equips_usuari!A384)</f>
        <v/>
      </c>
      <c r="B384" s="9" t="str">
        <f aca="false">IF(Equips_usuari!B384="","",Equips_usuari!B384)</f>
        <v/>
      </c>
      <c r="C384" s="9" t="str">
        <f aca="false">IF(Equips_usuari!C384="","",Equips_usuari!C384)</f>
        <v/>
      </c>
      <c r="D384" s="9" t="str">
        <f aca="false">IF(Equips_usuari!D384="","",Equips_usuari!D384)</f>
        <v/>
      </c>
      <c r="E384" s="9" t="str">
        <f aca="false">IF(Equips_usuari!F384="","",Equips_usuari!F384)</f>
        <v/>
      </c>
      <c r="F384" s="9" t="str">
        <f aca="false">IF($C384="","",SUMIFS(Resultats_jugadores!$C:$C,Resultats_jugadores!$A:$A,$A384,Resultats_jugadores!$B:$B,$C384))</f>
        <v/>
      </c>
      <c r="G384" s="9" t="str">
        <f aca="false">IF($C384="","",SUMIFS(Resultats_jugadores!$D:$D,Resultats_jugadores!$A:$A,$A384,Resultats_jugadores!$B:$B,$C384))</f>
        <v/>
      </c>
      <c r="H384" s="9" t="str">
        <f aca="false">IF($C384="","",N($F384)-N($G384))</f>
        <v/>
      </c>
      <c r="I384" s="9" t="str">
        <f aca="false">IF($C384="","",IFERROR(INDEX(Partits!$C:$C,MATCH($A384&amp;"_"&amp;$D384,Partits!$D:$D,0)),""))</f>
        <v/>
      </c>
      <c r="J384" s="9" t="str">
        <f aca="false">IF($C384="","",IF(AND($I384="V",N($H384)&gt;0),1.2,1))</f>
        <v/>
      </c>
      <c r="K384" s="9" t="str">
        <f aca="false">IF($C384="","",N($H384)*$J384)</f>
        <v/>
      </c>
      <c r="L384" s="9" t="str">
        <f aca="false">IF($C384="","",IF($E384="SI",2,1))</f>
        <v/>
      </c>
      <c r="M384" s="9" t="str">
        <f aca="false">IF($C384="","",$K384*$L384)</f>
        <v/>
      </c>
    </row>
    <row r="385" customFormat="false" ht="15" hidden="false" customHeight="true" outlineLevel="0" collapsed="false">
      <c r="A385" s="9" t="str">
        <f aca="false">IF(Equips_usuari!A385="","",Equips_usuari!A385)</f>
        <v/>
      </c>
      <c r="B385" s="9" t="str">
        <f aca="false">IF(Equips_usuari!B385="","",Equips_usuari!B385)</f>
        <v/>
      </c>
      <c r="C385" s="9" t="str">
        <f aca="false">IF(Equips_usuari!C385="","",Equips_usuari!C385)</f>
        <v/>
      </c>
      <c r="D385" s="9" t="str">
        <f aca="false">IF(Equips_usuari!D385="","",Equips_usuari!D385)</f>
        <v/>
      </c>
      <c r="E385" s="9" t="str">
        <f aca="false">IF(Equips_usuari!F385="","",Equips_usuari!F385)</f>
        <v/>
      </c>
      <c r="F385" s="9" t="str">
        <f aca="false">IF($C385="","",SUMIFS(Resultats_jugadores!$C:$C,Resultats_jugadores!$A:$A,$A385,Resultats_jugadores!$B:$B,$C385))</f>
        <v/>
      </c>
      <c r="G385" s="9" t="str">
        <f aca="false">IF($C385="","",SUMIFS(Resultats_jugadores!$D:$D,Resultats_jugadores!$A:$A,$A385,Resultats_jugadores!$B:$B,$C385))</f>
        <v/>
      </c>
      <c r="H385" s="9" t="str">
        <f aca="false">IF($C385="","",N($F385)-N($G385))</f>
        <v/>
      </c>
      <c r="I385" s="9" t="str">
        <f aca="false">IF($C385="","",IFERROR(INDEX(Partits!$C:$C,MATCH($A385&amp;"_"&amp;$D385,Partits!$D:$D,0)),""))</f>
        <v/>
      </c>
      <c r="J385" s="9" t="str">
        <f aca="false">IF($C385="","",IF(AND($I385="V",N($H385)&gt;0),1.2,1))</f>
        <v/>
      </c>
      <c r="K385" s="9" t="str">
        <f aca="false">IF($C385="","",N($H385)*$J385)</f>
        <v/>
      </c>
      <c r="L385" s="9" t="str">
        <f aca="false">IF($C385="","",IF($E385="SI",2,1))</f>
        <v/>
      </c>
      <c r="M385" s="9" t="str">
        <f aca="false">IF($C385="","",$K385*$L385)</f>
        <v/>
      </c>
    </row>
    <row r="386" customFormat="false" ht="15" hidden="false" customHeight="true" outlineLevel="0" collapsed="false">
      <c r="A386" s="9" t="str">
        <f aca="false">IF(Equips_usuari!A386="","",Equips_usuari!A386)</f>
        <v/>
      </c>
      <c r="B386" s="9" t="str">
        <f aca="false">IF(Equips_usuari!B386="","",Equips_usuari!B386)</f>
        <v/>
      </c>
      <c r="C386" s="9" t="str">
        <f aca="false">IF(Equips_usuari!C386="","",Equips_usuari!C386)</f>
        <v/>
      </c>
      <c r="D386" s="9" t="str">
        <f aca="false">IF(Equips_usuari!D386="","",Equips_usuari!D386)</f>
        <v/>
      </c>
      <c r="E386" s="9" t="str">
        <f aca="false">IF(Equips_usuari!F386="","",Equips_usuari!F386)</f>
        <v/>
      </c>
      <c r="F386" s="9" t="str">
        <f aca="false">IF($C386="","",SUMIFS(Resultats_jugadores!$C:$C,Resultats_jugadores!$A:$A,$A386,Resultats_jugadores!$B:$B,$C386))</f>
        <v/>
      </c>
      <c r="G386" s="9" t="str">
        <f aca="false">IF($C386="","",SUMIFS(Resultats_jugadores!$D:$D,Resultats_jugadores!$A:$A,$A386,Resultats_jugadores!$B:$B,$C386))</f>
        <v/>
      </c>
      <c r="H386" s="9" t="str">
        <f aca="false">IF($C386="","",N($F386)-N($G386))</f>
        <v/>
      </c>
      <c r="I386" s="9" t="str">
        <f aca="false">IF($C386="","",IFERROR(INDEX(Partits!$C:$C,MATCH($A386&amp;"_"&amp;$D386,Partits!$D:$D,0)),""))</f>
        <v/>
      </c>
      <c r="J386" s="9" t="str">
        <f aca="false">IF($C386="","",IF(AND($I386="V",N($H386)&gt;0),1.2,1))</f>
        <v/>
      </c>
      <c r="K386" s="9" t="str">
        <f aca="false">IF($C386="","",N($H386)*$J386)</f>
        <v/>
      </c>
      <c r="L386" s="9" t="str">
        <f aca="false">IF($C386="","",IF($E386="SI",2,1))</f>
        <v/>
      </c>
      <c r="M386" s="9" t="str">
        <f aca="false">IF($C386="","",$K386*$L386)</f>
        <v/>
      </c>
    </row>
    <row r="387" customFormat="false" ht="15" hidden="false" customHeight="true" outlineLevel="0" collapsed="false">
      <c r="A387" s="9" t="str">
        <f aca="false">IF(Equips_usuari!A387="","",Equips_usuari!A387)</f>
        <v/>
      </c>
      <c r="B387" s="9" t="str">
        <f aca="false">IF(Equips_usuari!B387="","",Equips_usuari!B387)</f>
        <v/>
      </c>
      <c r="C387" s="9" t="str">
        <f aca="false">IF(Equips_usuari!C387="","",Equips_usuari!C387)</f>
        <v/>
      </c>
      <c r="D387" s="9" t="str">
        <f aca="false">IF(Equips_usuari!D387="","",Equips_usuari!D387)</f>
        <v/>
      </c>
      <c r="E387" s="9" t="str">
        <f aca="false">IF(Equips_usuari!F387="","",Equips_usuari!F387)</f>
        <v/>
      </c>
      <c r="F387" s="9" t="str">
        <f aca="false">IF($C387="","",SUMIFS(Resultats_jugadores!$C:$C,Resultats_jugadores!$A:$A,$A387,Resultats_jugadores!$B:$B,$C387))</f>
        <v/>
      </c>
      <c r="G387" s="9" t="str">
        <f aca="false">IF($C387="","",SUMIFS(Resultats_jugadores!$D:$D,Resultats_jugadores!$A:$A,$A387,Resultats_jugadores!$B:$B,$C387))</f>
        <v/>
      </c>
      <c r="H387" s="9" t="str">
        <f aca="false">IF($C387="","",N($F387)-N($G387))</f>
        <v/>
      </c>
      <c r="I387" s="9" t="str">
        <f aca="false">IF($C387="","",IFERROR(INDEX(Partits!$C:$C,MATCH($A387&amp;"_"&amp;$D387,Partits!$D:$D,0)),""))</f>
        <v/>
      </c>
      <c r="J387" s="9" t="str">
        <f aca="false">IF($C387="","",IF(AND($I387="V",N($H387)&gt;0),1.2,1))</f>
        <v/>
      </c>
      <c r="K387" s="9" t="str">
        <f aca="false">IF($C387="","",N($H387)*$J387)</f>
        <v/>
      </c>
      <c r="L387" s="9" t="str">
        <f aca="false">IF($C387="","",IF($E387="SI",2,1))</f>
        <v/>
      </c>
      <c r="M387" s="9" t="str">
        <f aca="false">IF($C387="","",$K387*$L387)</f>
        <v/>
      </c>
    </row>
    <row r="388" customFormat="false" ht="15" hidden="false" customHeight="true" outlineLevel="0" collapsed="false">
      <c r="A388" s="9" t="str">
        <f aca="false">IF(Equips_usuari!A388="","",Equips_usuari!A388)</f>
        <v/>
      </c>
      <c r="B388" s="9" t="str">
        <f aca="false">IF(Equips_usuari!B388="","",Equips_usuari!B388)</f>
        <v/>
      </c>
      <c r="C388" s="9" t="str">
        <f aca="false">IF(Equips_usuari!C388="","",Equips_usuari!C388)</f>
        <v/>
      </c>
      <c r="D388" s="9" t="str">
        <f aca="false">IF(Equips_usuari!D388="","",Equips_usuari!D388)</f>
        <v/>
      </c>
      <c r="E388" s="9" t="str">
        <f aca="false">IF(Equips_usuari!F388="","",Equips_usuari!F388)</f>
        <v/>
      </c>
      <c r="F388" s="9" t="str">
        <f aca="false">IF($C388="","",SUMIFS(Resultats_jugadores!$C:$C,Resultats_jugadores!$A:$A,$A388,Resultats_jugadores!$B:$B,$C388))</f>
        <v/>
      </c>
      <c r="G388" s="9" t="str">
        <f aca="false">IF($C388="","",SUMIFS(Resultats_jugadores!$D:$D,Resultats_jugadores!$A:$A,$A388,Resultats_jugadores!$B:$B,$C388))</f>
        <v/>
      </c>
      <c r="H388" s="9" t="str">
        <f aca="false">IF($C388="","",N($F388)-N($G388))</f>
        <v/>
      </c>
      <c r="I388" s="9" t="str">
        <f aca="false">IF($C388="","",IFERROR(INDEX(Partits!$C:$C,MATCH($A388&amp;"_"&amp;$D388,Partits!$D:$D,0)),""))</f>
        <v/>
      </c>
      <c r="J388" s="9" t="str">
        <f aca="false">IF($C388="","",IF(AND($I388="V",N($H388)&gt;0),1.2,1))</f>
        <v/>
      </c>
      <c r="K388" s="9" t="str">
        <f aca="false">IF($C388="","",N($H388)*$J388)</f>
        <v/>
      </c>
      <c r="L388" s="9" t="str">
        <f aca="false">IF($C388="","",IF($E388="SI",2,1))</f>
        <v/>
      </c>
      <c r="M388" s="9" t="str">
        <f aca="false">IF($C388="","",$K388*$L388)</f>
        <v/>
      </c>
    </row>
    <row r="389" customFormat="false" ht="15" hidden="false" customHeight="true" outlineLevel="0" collapsed="false">
      <c r="A389" s="9" t="str">
        <f aca="false">IF(Equips_usuari!A389="","",Equips_usuari!A389)</f>
        <v/>
      </c>
      <c r="B389" s="9" t="str">
        <f aca="false">IF(Equips_usuari!B389="","",Equips_usuari!B389)</f>
        <v/>
      </c>
      <c r="C389" s="9" t="str">
        <f aca="false">IF(Equips_usuari!C389="","",Equips_usuari!C389)</f>
        <v/>
      </c>
      <c r="D389" s="9" t="str">
        <f aca="false">IF(Equips_usuari!D389="","",Equips_usuari!D389)</f>
        <v/>
      </c>
      <c r="E389" s="9" t="str">
        <f aca="false">IF(Equips_usuari!F389="","",Equips_usuari!F389)</f>
        <v/>
      </c>
      <c r="F389" s="9" t="str">
        <f aca="false">IF($C389="","",SUMIFS(Resultats_jugadores!$C:$C,Resultats_jugadores!$A:$A,$A389,Resultats_jugadores!$B:$B,$C389))</f>
        <v/>
      </c>
      <c r="G389" s="9" t="str">
        <f aca="false">IF($C389="","",SUMIFS(Resultats_jugadores!$D:$D,Resultats_jugadores!$A:$A,$A389,Resultats_jugadores!$B:$B,$C389))</f>
        <v/>
      </c>
      <c r="H389" s="9" t="str">
        <f aca="false">IF($C389="","",N($F389)-N($G389))</f>
        <v/>
      </c>
      <c r="I389" s="9" t="str">
        <f aca="false">IF($C389="","",IFERROR(INDEX(Partits!$C:$C,MATCH($A389&amp;"_"&amp;$D389,Partits!$D:$D,0)),""))</f>
        <v/>
      </c>
      <c r="J389" s="9" t="str">
        <f aca="false">IF($C389="","",IF(AND($I389="V",N($H389)&gt;0),1.2,1))</f>
        <v/>
      </c>
      <c r="K389" s="9" t="str">
        <f aca="false">IF($C389="","",N($H389)*$J389)</f>
        <v/>
      </c>
      <c r="L389" s="9" t="str">
        <f aca="false">IF($C389="","",IF($E389="SI",2,1))</f>
        <v/>
      </c>
      <c r="M389" s="9" t="str">
        <f aca="false">IF($C389="","",$K389*$L389)</f>
        <v/>
      </c>
    </row>
    <row r="390" customFormat="false" ht="15" hidden="false" customHeight="true" outlineLevel="0" collapsed="false">
      <c r="A390" s="9" t="str">
        <f aca="false">IF(Equips_usuari!A390="","",Equips_usuari!A390)</f>
        <v/>
      </c>
      <c r="B390" s="9" t="str">
        <f aca="false">IF(Equips_usuari!B390="","",Equips_usuari!B390)</f>
        <v/>
      </c>
      <c r="C390" s="9" t="str">
        <f aca="false">IF(Equips_usuari!C390="","",Equips_usuari!C390)</f>
        <v/>
      </c>
      <c r="D390" s="9" t="str">
        <f aca="false">IF(Equips_usuari!D390="","",Equips_usuari!D390)</f>
        <v/>
      </c>
      <c r="E390" s="9" t="str">
        <f aca="false">IF(Equips_usuari!F390="","",Equips_usuari!F390)</f>
        <v/>
      </c>
      <c r="F390" s="9" t="str">
        <f aca="false">IF($C390="","",SUMIFS(Resultats_jugadores!$C:$C,Resultats_jugadores!$A:$A,$A390,Resultats_jugadores!$B:$B,$C390))</f>
        <v/>
      </c>
      <c r="G390" s="9" t="str">
        <f aca="false">IF($C390="","",SUMIFS(Resultats_jugadores!$D:$D,Resultats_jugadores!$A:$A,$A390,Resultats_jugadores!$B:$B,$C390))</f>
        <v/>
      </c>
      <c r="H390" s="9" t="str">
        <f aca="false">IF($C390="","",N($F390)-N($G390))</f>
        <v/>
      </c>
      <c r="I390" s="9" t="str">
        <f aca="false">IF($C390="","",IFERROR(INDEX(Partits!$C:$C,MATCH($A390&amp;"_"&amp;$D390,Partits!$D:$D,0)),""))</f>
        <v/>
      </c>
      <c r="J390" s="9" t="str">
        <f aca="false">IF($C390="","",IF(AND($I390="V",N($H390)&gt;0),1.2,1))</f>
        <v/>
      </c>
      <c r="K390" s="9" t="str">
        <f aca="false">IF($C390="","",N($H390)*$J390)</f>
        <v/>
      </c>
      <c r="L390" s="9" t="str">
        <f aca="false">IF($C390="","",IF($E390="SI",2,1))</f>
        <v/>
      </c>
      <c r="M390" s="9" t="str">
        <f aca="false">IF($C390="","",$K390*$L390)</f>
        <v/>
      </c>
    </row>
    <row r="391" customFormat="false" ht="15" hidden="false" customHeight="true" outlineLevel="0" collapsed="false">
      <c r="A391" s="9" t="str">
        <f aca="false">IF(Equips_usuari!A391="","",Equips_usuari!A391)</f>
        <v/>
      </c>
      <c r="B391" s="9" t="str">
        <f aca="false">IF(Equips_usuari!B391="","",Equips_usuari!B391)</f>
        <v/>
      </c>
      <c r="C391" s="9" t="str">
        <f aca="false">IF(Equips_usuari!C391="","",Equips_usuari!C391)</f>
        <v/>
      </c>
      <c r="D391" s="9" t="str">
        <f aca="false">IF(Equips_usuari!D391="","",Equips_usuari!D391)</f>
        <v/>
      </c>
      <c r="E391" s="9" t="str">
        <f aca="false">IF(Equips_usuari!F391="","",Equips_usuari!F391)</f>
        <v/>
      </c>
      <c r="F391" s="9" t="str">
        <f aca="false">IF($C391="","",SUMIFS(Resultats_jugadores!$C:$C,Resultats_jugadores!$A:$A,$A391,Resultats_jugadores!$B:$B,$C391))</f>
        <v/>
      </c>
      <c r="G391" s="9" t="str">
        <f aca="false">IF($C391="","",SUMIFS(Resultats_jugadores!$D:$D,Resultats_jugadores!$A:$A,$A391,Resultats_jugadores!$B:$B,$C391))</f>
        <v/>
      </c>
      <c r="H391" s="9" t="str">
        <f aca="false">IF($C391="","",N($F391)-N($G391))</f>
        <v/>
      </c>
      <c r="I391" s="9" t="str">
        <f aca="false">IF($C391="","",IFERROR(INDEX(Partits!$C:$C,MATCH($A391&amp;"_"&amp;$D391,Partits!$D:$D,0)),""))</f>
        <v/>
      </c>
      <c r="J391" s="9" t="str">
        <f aca="false">IF($C391="","",IF(AND($I391="V",N($H391)&gt;0),1.2,1))</f>
        <v/>
      </c>
      <c r="K391" s="9" t="str">
        <f aca="false">IF($C391="","",N($H391)*$J391)</f>
        <v/>
      </c>
      <c r="L391" s="9" t="str">
        <f aca="false">IF($C391="","",IF($E391="SI",2,1))</f>
        <v/>
      </c>
      <c r="M391" s="9" t="str">
        <f aca="false">IF($C391="","",$K391*$L391)</f>
        <v/>
      </c>
    </row>
    <row r="392" customFormat="false" ht="15" hidden="false" customHeight="true" outlineLevel="0" collapsed="false">
      <c r="A392" s="9" t="str">
        <f aca="false">IF(Equips_usuari!A392="","",Equips_usuari!A392)</f>
        <v/>
      </c>
      <c r="B392" s="9" t="str">
        <f aca="false">IF(Equips_usuari!B392="","",Equips_usuari!B392)</f>
        <v/>
      </c>
      <c r="C392" s="9" t="str">
        <f aca="false">IF(Equips_usuari!C392="","",Equips_usuari!C392)</f>
        <v/>
      </c>
      <c r="D392" s="9" t="str">
        <f aca="false">IF(Equips_usuari!D392="","",Equips_usuari!D392)</f>
        <v/>
      </c>
      <c r="E392" s="9" t="str">
        <f aca="false">IF(Equips_usuari!F392="","",Equips_usuari!F392)</f>
        <v/>
      </c>
      <c r="F392" s="9" t="str">
        <f aca="false">IF($C392="","",SUMIFS(Resultats_jugadores!$C:$C,Resultats_jugadores!$A:$A,$A392,Resultats_jugadores!$B:$B,$C392))</f>
        <v/>
      </c>
      <c r="G392" s="9" t="str">
        <f aca="false">IF($C392="","",SUMIFS(Resultats_jugadores!$D:$D,Resultats_jugadores!$A:$A,$A392,Resultats_jugadores!$B:$B,$C392))</f>
        <v/>
      </c>
      <c r="H392" s="9" t="str">
        <f aca="false">IF($C392="","",N($F392)-N($G392))</f>
        <v/>
      </c>
      <c r="I392" s="9" t="str">
        <f aca="false">IF($C392="","",IFERROR(INDEX(Partits!$C:$C,MATCH($A392&amp;"_"&amp;$D392,Partits!$D:$D,0)),""))</f>
        <v/>
      </c>
      <c r="J392" s="9" t="str">
        <f aca="false">IF($C392="","",IF(AND($I392="V",N($H392)&gt;0),1.2,1))</f>
        <v/>
      </c>
      <c r="K392" s="9" t="str">
        <f aca="false">IF($C392="","",N($H392)*$J392)</f>
        <v/>
      </c>
      <c r="L392" s="9" t="str">
        <f aca="false">IF($C392="","",IF($E392="SI",2,1))</f>
        <v/>
      </c>
      <c r="M392" s="9" t="str">
        <f aca="false">IF($C392="","",$K392*$L392)</f>
        <v/>
      </c>
    </row>
    <row r="393" customFormat="false" ht="15" hidden="false" customHeight="true" outlineLevel="0" collapsed="false">
      <c r="A393" s="9" t="str">
        <f aca="false">IF(Equips_usuari!A393="","",Equips_usuari!A393)</f>
        <v/>
      </c>
      <c r="B393" s="9" t="str">
        <f aca="false">IF(Equips_usuari!B393="","",Equips_usuari!B393)</f>
        <v/>
      </c>
      <c r="C393" s="9" t="str">
        <f aca="false">IF(Equips_usuari!C393="","",Equips_usuari!C393)</f>
        <v/>
      </c>
      <c r="D393" s="9" t="str">
        <f aca="false">IF(Equips_usuari!D393="","",Equips_usuari!D393)</f>
        <v/>
      </c>
      <c r="E393" s="9" t="str">
        <f aca="false">IF(Equips_usuari!F393="","",Equips_usuari!F393)</f>
        <v/>
      </c>
      <c r="F393" s="9" t="str">
        <f aca="false">IF($C393="","",SUMIFS(Resultats_jugadores!$C:$C,Resultats_jugadores!$A:$A,$A393,Resultats_jugadores!$B:$B,$C393))</f>
        <v/>
      </c>
      <c r="G393" s="9" t="str">
        <f aca="false">IF($C393="","",SUMIFS(Resultats_jugadores!$D:$D,Resultats_jugadores!$A:$A,$A393,Resultats_jugadores!$B:$B,$C393))</f>
        <v/>
      </c>
      <c r="H393" s="9" t="str">
        <f aca="false">IF($C393="","",N($F393)-N($G393))</f>
        <v/>
      </c>
      <c r="I393" s="9" t="str">
        <f aca="false">IF($C393="","",IFERROR(INDEX(Partits!$C:$C,MATCH($A393&amp;"_"&amp;$D393,Partits!$D:$D,0)),""))</f>
        <v/>
      </c>
      <c r="J393" s="9" t="str">
        <f aca="false">IF($C393="","",IF(AND($I393="V",N($H393)&gt;0),1.2,1))</f>
        <v/>
      </c>
      <c r="K393" s="9" t="str">
        <f aca="false">IF($C393="","",N($H393)*$J393)</f>
        <v/>
      </c>
      <c r="L393" s="9" t="str">
        <f aca="false">IF($C393="","",IF($E393="SI",2,1))</f>
        <v/>
      </c>
      <c r="M393" s="9" t="str">
        <f aca="false">IF($C393="","",$K393*$L393)</f>
        <v/>
      </c>
    </row>
    <row r="394" customFormat="false" ht="15" hidden="false" customHeight="true" outlineLevel="0" collapsed="false">
      <c r="A394" s="9" t="str">
        <f aca="false">IF(Equips_usuari!A394="","",Equips_usuari!A394)</f>
        <v/>
      </c>
      <c r="B394" s="9" t="str">
        <f aca="false">IF(Equips_usuari!B394="","",Equips_usuari!B394)</f>
        <v/>
      </c>
      <c r="C394" s="9" t="str">
        <f aca="false">IF(Equips_usuari!C394="","",Equips_usuari!C394)</f>
        <v/>
      </c>
      <c r="D394" s="9" t="str">
        <f aca="false">IF(Equips_usuari!D394="","",Equips_usuari!D394)</f>
        <v/>
      </c>
      <c r="E394" s="9" t="str">
        <f aca="false">IF(Equips_usuari!F394="","",Equips_usuari!F394)</f>
        <v/>
      </c>
      <c r="F394" s="9" t="str">
        <f aca="false">IF($C394="","",SUMIFS(Resultats_jugadores!$C:$C,Resultats_jugadores!$A:$A,$A394,Resultats_jugadores!$B:$B,$C394))</f>
        <v/>
      </c>
      <c r="G394" s="9" t="str">
        <f aca="false">IF($C394="","",SUMIFS(Resultats_jugadores!$D:$D,Resultats_jugadores!$A:$A,$A394,Resultats_jugadores!$B:$B,$C394))</f>
        <v/>
      </c>
      <c r="H394" s="9" t="str">
        <f aca="false">IF($C394="","",N($F394)-N($G394))</f>
        <v/>
      </c>
      <c r="I394" s="9" t="str">
        <f aca="false">IF($C394="","",IFERROR(INDEX(Partits!$C:$C,MATCH($A394&amp;"_"&amp;$D394,Partits!$D:$D,0)),""))</f>
        <v/>
      </c>
      <c r="J394" s="9" t="str">
        <f aca="false">IF($C394="","",IF(AND($I394="V",N($H394)&gt;0),1.2,1))</f>
        <v/>
      </c>
      <c r="K394" s="9" t="str">
        <f aca="false">IF($C394="","",N($H394)*$J394)</f>
        <v/>
      </c>
      <c r="L394" s="9" t="str">
        <f aca="false">IF($C394="","",IF($E394="SI",2,1))</f>
        <v/>
      </c>
      <c r="M394" s="9" t="str">
        <f aca="false">IF($C394="","",$K394*$L394)</f>
        <v/>
      </c>
    </row>
    <row r="395" customFormat="false" ht="15" hidden="false" customHeight="true" outlineLevel="0" collapsed="false">
      <c r="A395" s="9" t="str">
        <f aca="false">IF(Equips_usuari!A395="","",Equips_usuari!A395)</f>
        <v/>
      </c>
      <c r="B395" s="9" t="str">
        <f aca="false">IF(Equips_usuari!B395="","",Equips_usuari!B395)</f>
        <v/>
      </c>
      <c r="C395" s="9" t="str">
        <f aca="false">IF(Equips_usuari!C395="","",Equips_usuari!C395)</f>
        <v/>
      </c>
      <c r="D395" s="9" t="str">
        <f aca="false">IF(Equips_usuari!D395="","",Equips_usuari!D395)</f>
        <v/>
      </c>
      <c r="E395" s="9" t="str">
        <f aca="false">IF(Equips_usuari!F395="","",Equips_usuari!F395)</f>
        <v/>
      </c>
      <c r="F395" s="9" t="str">
        <f aca="false">IF($C395="","",SUMIFS(Resultats_jugadores!$C:$C,Resultats_jugadores!$A:$A,$A395,Resultats_jugadores!$B:$B,$C395))</f>
        <v/>
      </c>
      <c r="G395" s="9" t="str">
        <f aca="false">IF($C395="","",SUMIFS(Resultats_jugadores!$D:$D,Resultats_jugadores!$A:$A,$A395,Resultats_jugadores!$B:$B,$C395))</f>
        <v/>
      </c>
      <c r="H395" s="9" t="str">
        <f aca="false">IF($C395="","",N($F395)-N($G395))</f>
        <v/>
      </c>
      <c r="I395" s="9" t="str">
        <f aca="false">IF($C395="","",IFERROR(INDEX(Partits!$C:$C,MATCH($A395&amp;"_"&amp;$D395,Partits!$D:$D,0)),""))</f>
        <v/>
      </c>
      <c r="J395" s="9" t="str">
        <f aca="false">IF($C395="","",IF(AND($I395="V",N($H395)&gt;0),1.2,1))</f>
        <v/>
      </c>
      <c r="K395" s="9" t="str">
        <f aca="false">IF($C395="","",N($H395)*$J395)</f>
        <v/>
      </c>
      <c r="L395" s="9" t="str">
        <f aca="false">IF($C395="","",IF($E395="SI",2,1))</f>
        <v/>
      </c>
      <c r="M395" s="9" t="str">
        <f aca="false">IF($C395="","",$K395*$L395)</f>
        <v/>
      </c>
    </row>
    <row r="396" customFormat="false" ht="15" hidden="false" customHeight="true" outlineLevel="0" collapsed="false">
      <c r="A396" s="9" t="str">
        <f aca="false">IF(Equips_usuari!A396="","",Equips_usuari!A396)</f>
        <v/>
      </c>
      <c r="B396" s="9" t="str">
        <f aca="false">IF(Equips_usuari!B396="","",Equips_usuari!B396)</f>
        <v/>
      </c>
      <c r="C396" s="9" t="str">
        <f aca="false">IF(Equips_usuari!C396="","",Equips_usuari!C396)</f>
        <v/>
      </c>
      <c r="D396" s="9" t="str">
        <f aca="false">IF(Equips_usuari!D396="","",Equips_usuari!D396)</f>
        <v/>
      </c>
      <c r="E396" s="9" t="str">
        <f aca="false">IF(Equips_usuari!F396="","",Equips_usuari!F396)</f>
        <v/>
      </c>
      <c r="F396" s="9" t="str">
        <f aca="false">IF($C396="","",SUMIFS(Resultats_jugadores!$C:$C,Resultats_jugadores!$A:$A,$A396,Resultats_jugadores!$B:$B,$C396))</f>
        <v/>
      </c>
      <c r="G396" s="9" t="str">
        <f aca="false">IF($C396="","",SUMIFS(Resultats_jugadores!$D:$D,Resultats_jugadores!$A:$A,$A396,Resultats_jugadores!$B:$B,$C396))</f>
        <v/>
      </c>
      <c r="H396" s="9" t="str">
        <f aca="false">IF($C396="","",N($F396)-N($G396))</f>
        <v/>
      </c>
      <c r="I396" s="9" t="str">
        <f aca="false">IF($C396="","",IFERROR(INDEX(Partits!$C:$C,MATCH($A396&amp;"_"&amp;$D396,Partits!$D:$D,0)),""))</f>
        <v/>
      </c>
      <c r="J396" s="9" t="str">
        <f aca="false">IF($C396="","",IF(AND($I396="V",N($H396)&gt;0),1.2,1))</f>
        <v/>
      </c>
      <c r="K396" s="9" t="str">
        <f aca="false">IF($C396="","",N($H396)*$J396)</f>
        <v/>
      </c>
      <c r="L396" s="9" t="str">
        <f aca="false">IF($C396="","",IF($E396="SI",2,1))</f>
        <v/>
      </c>
      <c r="M396" s="9" t="str">
        <f aca="false">IF($C396="","",$K396*$L396)</f>
        <v/>
      </c>
    </row>
    <row r="397" customFormat="false" ht="15" hidden="false" customHeight="true" outlineLevel="0" collapsed="false">
      <c r="A397" s="9" t="str">
        <f aca="false">IF(Equips_usuari!A397="","",Equips_usuari!A397)</f>
        <v/>
      </c>
      <c r="B397" s="9" t="str">
        <f aca="false">IF(Equips_usuari!B397="","",Equips_usuari!B397)</f>
        <v/>
      </c>
      <c r="C397" s="9" t="str">
        <f aca="false">IF(Equips_usuari!C397="","",Equips_usuari!C397)</f>
        <v/>
      </c>
      <c r="D397" s="9" t="str">
        <f aca="false">IF(Equips_usuari!D397="","",Equips_usuari!D397)</f>
        <v/>
      </c>
      <c r="E397" s="9" t="str">
        <f aca="false">IF(Equips_usuari!F397="","",Equips_usuari!F397)</f>
        <v/>
      </c>
      <c r="F397" s="9" t="str">
        <f aca="false">IF($C397="","",SUMIFS(Resultats_jugadores!$C:$C,Resultats_jugadores!$A:$A,$A397,Resultats_jugadores!$B:$B,$C397))</f>
        <v/>
      </c>
      <c r="G397" s="9" t="str">
        <f aca="false">IF($C397="","",SUMIFS(Resultats_jugadores!$D:$D,Resultats_jugadores!$A:$A,$A397,Resultats_jugadores!$B:$B,$C397))</f>
        <v/>
      </c>
      <c r="H397" s="9" t="str">
        <f aca="false">IF($C397="","",N($F397)-N($G397))</f>
        <v/>
      </c>
      <c r="I397" s="9" t="str">
        <f aca="false">IF($C397="","",IFERROR(INDEX(Partits!$C:$C,MATCH($A397&amp;"_"&amp;$D397,Partits!$D:$D,0)),""))</f>
        <v/>
      </c>
      <c r="J397" s="9" t="str">
        <f aca="false">IF($C397="","",IF(AND($I397="V",N($H397)&gt;0),1.2,1))</f>
        <v/>
      </c>
      <c r="K397" s="9" t="str">
        <f aca="false">IF($C397="","",N($H397)*$J397)</f>
        <v/>
      </c>
      <c r="L397" s="9" t="str">
        <f aca="false">IF($C397="","",IF($E397="SI",2,1))</f>
        <v/>
      </c>
      <c r="M397" s="9" t="str">
        <f aca="false">IF($C397="","",$K397*$L397)</f>
        <v/>
      </c>
    </row>
    <row r="398" customFormat="false" ht="15" hidden="false" customHeight="true" outlineLevel="0" collapsed="false">
      <c r="A398" s="9" t="str">
        <f aca="false">IF(Equips_usuari!A398="","",Equips_usuari!A398)</f>
        <v/>
      </c>
      <c r="B398" s="9" t="str">
        <f aca="false">IF(Equips_usuari!B398="","",Equips_usuari!B398)</f>
        <v/>
      </c>
      <c r="C398" s="9" t="str">
        <f aca="false">IF(Equips_usuari!C398="","",Equips_usuari!C398)</f>
        <v/>
      </c>
      <c r="D398" s="9" t="str">
        <f aca="false">IF(Equips_usuari!D398="","",Equips_usuari!D398)</f>
        <v/>
      </c>
      <c r="E398" s="9" t="str">
        <f aca="false">IF(Equips_usuari!F398="","",Equips_usuari!F398)</f>
        <v/>
      </c>
      <c r="F398" s="9" t="str">
        <f aca="false">IF($C398="","",SUMIFS(Resultats_jugadores!$C:$C,Resultats_jugadores!$A:$A,$A398,Resultats_jugadores!$B:$B,$C398))</f>
        <v/>
      </c>
      <c r="G398" s="9" t="str">
        <f aca="false">IF($C398="","",SUMIFS(Resultats_jugadores!$D:$D,Resultats_jugadores!$A:$A,$A398,Resultats_jugadores!$B:$B,$C398))</f>
        <v/>
      </c>
      <c r="H398" s="9" t="str">
        <f aca="false">IF($C398="","",N($F398)-N($G398))</f>
        <v/>
      </c>
      <c r="I398" s="9" t="str">
        <f aca="false">IF($C398="","",IFERROR(INDEX(Partits!$C:$C,MATCH($A398&amp;"_"&amp;$D398,Partits!$D:$D,0)),""))</f>
        <v/>
      </c>
      <c r="J398" s="9" t="str">
        <f aca="false">IF($C398="","",IF(AND($I398="V",N($H398)&gt;0),1.2,1))</f>
        <v/>
      </c>
      <c r="K398" s="9" t="str">
        <f aca="false">IF($C398="","",N($H398)*$J398)</f>
        <v/>
      </c>
      <c r="L398" s="9" t="str">
        <f aca="false">IF($C398="","",IF($E398="SI",2,1))</f>
        <v/>
      </c>
      <c r="M398" s="9" t="str">
        <f aca="false">IF($C398="","",$K398*$L398)</f>
        <v/>
      </c>
    </row>
    <row r="399" customFormat="false" ht="15" hidden="false" customHeight="true" outlineLevel="0" collapsed="false">
      <c r="A399" s="9" t="str">
        <f aca="false">IF(Equips_usuari!A399="","",Equips_usuari!A399)</f>
        <v/>
      </c>
      <c r="B399" s="9" t="str">
        <f aca="false">IF(Equips_usuari!B399="","",Equips_usuari!B399)</f>
        <v/>
      </c>
      <c r="C399" s="9" t="str">
        <f aca="false">IF(Equips_usuari!C399="","",Equips_usuari!C399)</f>
        <v/>
      </c>
      <c r="D399" s="9" t="str">
        <f aca="false">IF(Equips_usuari!D399="","",Equips_usuari!D399)</f>
        <v/>
      </c>
      <c r="E399" s="9" t="str">
        <f aca="false">IF(Equips_usuari!F399="","",Equips_usuari!F399)</f>
        <v/>
      </c>
      <c r="F399" s="9" t="str">
        <f aca="false">IF($C399="","",SUMIFS(Resultats_jugadores!$C:$C,Resultats_jugadores!$A:$A,$A399,Resultats_jugadores!$B:$B,$C399))</f>
        <v/>
      </c>
      <c r="G399" s="9" t="str">
        <f aca="false">IF($C399="","",SUMIFS(Resultats_jugadores!$D:$D,Resultats_jugadores!$A:$A,$A399,Resultats_jugadores!$B:$B,$C399))</f>
        <v/>
      </c>
      <c r="H399" s="9" t="str">
        <f aca="false">IF($C399="","",N($F399)-N($G399))</f>
        <v/>
      </c>
      <c r="I399" s="9" t="str">
        <f aca="false">IF($C399="","",IFERROR(INDEX(Partits!$C:$C,MATCH($A399&amp;"_"&amp;$D399,Partits!$D:$D,0)),""))</f>
        <v/>
      </c>
      <c r="J399" s="9" t="str">
        <f aca="false">IF($C399="","",IF(AND($I399="V",N($H399)&gt;0),1.2,1))</f>
        <v/>
      </c>
      <c r="K399" s="9" t="str">
        <f aca="false">IF($C399="","",N($H399)*$J399)</f>
        <v/>
      </c>
      <c r="L399" s="9" t="str">
        <f aca="false">IF($C399="","",IF($E399="SI",2,1))</f>
        <v/>
      </c>
      <c r="M399" s="9" t="str">
        <f aca="false">IF($C399="","",$K399*$L399)</f>
        <v/>
      </c>
    </row>
    <row r="400" customFormat="false" ht="15" hidden="false" customHeight="true" outlineLevel="0" collapsed="false">
      <c r="A400" s="9" t="str">
        <f aca="false">IF(Equips_usuari!A400="","",Equips_usuari!A400)</f>
        <v/>
      </c>
      <c r="B400" s="9" t="str">
        <f aca="false">IF(Equips_usuari!B400="","",Equips_usuari!B400)</f>
        <v/>
      </c>
      <c r="C400" s="9" t="str">
        <f aca="false">IF(Equips_usuari!C400="","",Equips_usuari!C400)</f>
        <v/>
      </c>
      <c r="D400" s="9" t="str">
        <f aca="false">IF(Equips_usuari!D400="","",Equips_usuari!D400)</f>
        <v/>
      </c>
      <c r="E400" s="9" t="str">
        <f aca="false">IF(Equips_usuari!F400="","",Equips_usuari!F400)</f>
        <v/>
      </c>
      <c r="F400" s="9" t="str">
        <f aca="false">IF($C400="","",SUMIFS(Resultats_jugadores!$C:$C,Resultats_jugadores!$A:$A,$A400,Resultats_jugadores!$B:$B,$C400))</f>
        <v/>
      </c>
      <c r="G400" s="9" t="str">
        <f aca="false">IF($C400="","",SUMIFS(Resultats_jugadores!$D:$D,Resultats_jugadores!$A:$A,$A400,Resultats_jugadores!$B:$B,$C400))</f>
        <v/>
      </c>
      <c r="H400" s="9" t="str">
        <f aca="false">IF($C400="","",N($F400)-N($G400))</f>
        <v/>
      </c>
      <c r="I400" s="9" t="str">
        <f aca="false">IF($C400="","",IFERROR(INDEX(Partits!$C:$C,MATCH($A400&amp;"_"&amp;$D400,Partits!$D:$D,0)),""))</f>
        <v/>
      </c>
      <c r="J400" s="9" t="str">
        <f aca="false">IF($C400="","",IF(AND($I400="V",N($H400)&gt;0),1.2,1))</f>
        <v/>
      </c>
      <c r="K400" s="9" t="str">
        <f aca="false">IF($C400="","",N($H400)*$J400)</f>
        <v/>
      </c>
      <c r="L400" s="9" t="str">
        <f aca="false">IF($C400="","",IF($E400="SI",2,1))</f>
        <v/>
      </c>
      <c r="M400" s="9" t="str">
        <f aca="false">IF($C400="","",$K400*$L400)</f>
        <v/>
      </c>
    </row>
    <row r="401" customFormat="false" ht="15" hidden="false" customHeight="true" outlineLevel="0" collapsed="false">
      <c r="A401" s="9" t="str">
        <f aca="false">IF(Equips_usuari!A401="","",Equips_usuari!A401)</f>
        <v/>
      </c>
      <c r="B401" s="9" t="str">
        <f aca="false">IF(Equips_usuari!B401="","",Equips_usuari!B401)</f>
        <v/>
      </c>
      <c r="C401" s="9" t="str">
        <f aca="false">IF(Equips_usuari!C401="","",Equips_usuari!C401)</f>
        <v/>
      </c>
      <c r="D401" s="9" t="str">
        <f aca="false">IF(Equips_usuari!D401="","",Equips_usuari!D401)</f>
        <v/>
      </c>
      <c r="E401" s="9" t="str">
        <f aca="false">IF(Equips_usuari!F401="","",Equips_usuari!F401)</f>
        <v/>
      </c>
      <c r="F401" s="9" t="str">
        <f aca="false">IF($C401="","",SUMIFS(Resultats_jugadores!$C:$C,Resultats_jugadores!$A:$A,$A401,Resultats_jugadores!$B:$B,$C401))</f>
        <v/>
      </c>
      <c r="G401" s="9" t="str">
        <f aca="false">IF($C401="","",SUMIFS(Resultats_jugadores!$D:$D,Resultats_jugadores!$A:$A,$A401,Resultats_jugadores!$B:$B,$C401))</f>
        <v/>
      </c>
      <c r="H401" s="9" t="str">
        <f aca="false">IF($C401="","",N($F401)-N($G401))</f>
        <v/>
      </c>
      <c r="I401" s="9" t="str">
        <f aca="false">IF($C401="","",IFERROR(INDEX(Partits!$C:$C,MATCH($A401&amp;"_"&amp;$D401,Partits!$D:$D,0)),""))</f>
        <v/>
      </c>
      <c r="J401" s="9" t="str">
        <f aca="false">IF($C401="","",IF(AND($I401="V",N($H401)&gt;0),1.2,1))</f>
        <v/>
      </c>
      <c r="K401" s="9" t="str">
        <f aca="false">IF($C401="","",N($H401)*$J401)</f>
        <v/>
      </c>
      <c r="L401" s="9" t="str">
        <f aca="false">IF($C401="","",IF($E401="SI",2,1))</f>
        <v/>
      </c>
      <c r="M401" s="9" t="str">
        <f aca="false">IF($C401="","",$K401*$L401)</f>
        <v/>
      </c>
    </row>
    <row r="402" customFormat="false" ht="15" hidden="false" customHeight="true" outlineLevel="0" collapsed="false">
      <c r="A402" s="9" t="str">
        <f aca="false">IF(Equips_usuari!A402="","",Equips_usuari!A402)</f>
        <v/>
      </c>
      <c r="B402" s="9" t="str">
        <f aca="false">IF(Equips_usuari!B402="","",Equips_usuari!B402)</f>
        <v/>
      </c>
      <c r="C402" s="9" t="str">
        <f aca="false">IF(Equips_usuari!C402="","",Equips_usuari!C402)</f>
        <v/>
      </c>
      <c r="D402" s="9" t="str">
        <f aca="false">IF(Equips_usuari!D402="","",Equips_usuari!D402)</f>
        <v/>
      </c>
      <c r="E402" s="9" t="str">
        <f aca="false">IF(Equips_usuari!F402="","",Equips_usuari!F402)</f>
        <v/>
      </c>
      <c r="F402" s="9" t="str">
        <f aca="false">IF($C402="","",SUMIFS(Resultats_jugadores!$C:$C,Resultats_jugadores!$A:$A,$A402,Resultats_jugadores!$B:$B,$C402))</f>
        <v/>
      </c>
      <c r="G402" s="9" t="str">
        <f aca="false">IF($C402="","",SUMIFS(Resultats_jugadores!$D:$D,Resultats_jugadores!$A:$A,$A402,Resultats_jugadores!$B:$B,$C402))</f>
        <v/>
      </c>
      <c r="H402" s="9" t="str">
        <f aca="false">IF($C402="","",N($F402)-N($G402))</f>
        <v/>
      </c>
      <c r="I402" s="9" t="str">
        <f aca="false">IF($C402="","",IFERROR(INDEX(Partits!$C:$C,MATCH($A402&amp;"_"&amp;$D402,Partits!$D:$D,0)),""))</f>
        <v/>
      </c>
      <c r="J402" s="9" t="str">
        <f aca="false">IF($C402="","",IF(AND($I402="V",N($H402)&gt;0),1.2,1))</f>
        <v/>
      </c>
      <c r="K402" s="9" t="str">
        <f aca="false">IF($C402="","",N($H402)*$J402)</f>
        <v/>
      </c>
      <c r="L402" s="9" t="str">
        <f aca="false">IF($C402="","",IF($E402="SI",2,1))</f>
        <v/>
      </c>
      <c r="M402" s="9" t="str">
        <f aca="false">IF($C402="","",$K402*$L402)</f>
        <v/>
      </c>
    </row>
    <row r="403" customFormat="false" ht="15" hidden="false" customHeight="true" outlineLevel="0" collapsed="false">
      <c r="A403" s="9" t="str">
        <f aca="false">IF(Equips_usuari!A403="","",Equips_usuari!A403)</f>
        <v/>
      </c>
      <c r="B403" s="9" t="str">
        <f aca="false">IF(Equips_usuari!B403="","",Equips_usuari!B403)</f>
        <v/>
      </c>
      <c r="C403" s="9" t="str">
        <f aca="false">IF(Equips_usuari!C403="","",Equips_usuari!C403)</f>
        <v/>
      </c>
      <c r="D403" s="9" t="str">
        <f aca="false">IF(Equips_usuari!D403="","",Equips_usuari!D403)</f>
        <v/>
      </c>
      <c r="E403" s="9" t="str">
        <f aca="false">IF(Equips_usuari!F403="","",Equips_usuari!F403)</f>
        <v/>
      </c>
      <c r="F403" s="9" t="str">
        <f aca="false">IF($C403="","",SUMIFS(Resultats_jugadores!$C:$C,Resultats_jugadores!$A:$A,$A403,Resultats_jugadores!$B:$B,$C403))</f>
        <v/>
      </c>
      <c r="G403" s="9" t="str">
        <f aca="false">IF($C403="","",SUMIFS(Resultats_jugadores!$D:$D,Resultats_jugadores!$A:$A,$A403,Resultats_jugadores!$B:$B,$C403))</f>
        <v/>
      </c>
      <c r="H403" s="9" t="str">
        <f aca="false">IF($C403="","",N($F403)-N($G403))</f>
        <v/>
      </c>
      <c r="I403" s="9" t="str">
        <f aca="false">IF($C403="","",IFERROR(INDEX(Partits!$C:$C,MATCH($A403&amp;"_"&amp;$D403,Partits!$D:$D,0)),""))</f>
        <v/>
      </c>
      <c r="J403" s="9" t="str">
        <f aca="false">IF($C403="","",IF(AND($I403="V",N($H403)&gt;0),1.2,1))</f>
        <v/>
      </c>
      <c r="K403" s="9" t="str">
        <f aca="false">IF($C403="","",N($H403)*$J403)</f>
        <v/>
      </c>
      <c r="L403" s="9" t="str">
        <f aca="false">IF($C403="","",IF($E403="SI",2,1))</f>
        <v/>
      </c>
      <c r="M403" s="9" t="str">
        <f aca="false">IF($C403="","",$K403*$L403)</f>
        <v/>
      </c>
    </row>
    <row r="404" customFormat="false" ht="15" hidden="false" customHeight="true" outlineLevel="0" collapsed="false">
      <c r="A404" s="9" t="str">
        <f aca="false">IF(Equips_usuari!A404="","",Equips_usuari!A404)</f>
        <v/>
      </c>
      <c r="B404" s="9" t="str">
        <f aca="false">IF(Equips_usuari!B404="","",Equips_usuari!B404)</f>
        <v/>
      </c>
      <c r="C404" s="9" t="str">
        <f aca="false">IF(Equips_usuari!C404="","",Equips_usuari!C404)</f>
        <v/>
      </c>
      <c r="D404" s="9" t="str">
        <f aca="false">IF(Equips_usuari!D404="","",Equips_usuari!D404)</f>
        <v/>
      </c>
      <c r="E404" s="9" t="str">
        <f aca="false">IF(Equips_usuari!F404="","",Equips_usuari!F404)</f>
        <v/>
      </c>
      <c r="F404" s="9" t="str">
        <f aca="false">IF($C404="","",SUMIFS(Resultats_jugadores!$C:$C,Resultats_jugadores!$A:$A,$A404,Resultats_jugadores!$B:$B,$C404))</f>
        <v/>
      </c>
      <c r="G404" s="9" t="str">
        <f aca="false">IF($C404="","",SUMIFS(Resultats_jugadores!$D:$D,Resultats_jugadores!$A:$A,$A404,Resultats_jugadores!$B:$B,$C404))</f>
        <v/>
      </c>
      <c r="H404" s="9" t="str">
        <f aca="false">IF($C404="","",N($F404)-N($G404))</f>
        <v/>
      </c>
      <c r="I404" s="9" t="str">
        <f aca="false">IF($C404="","",IFERROR(INDEX(Partits!$C:$C,MATCH($A404&amp;"_"&amp;$D404,Partits!$D:$D,0)),""))</f>
        <v/>
      </c>
      <c r="J404" s="9" t="str">
        <f aca="false">IF($C404="","",IF(AND($I404="V",N($H404)&gt;0),1.2,1))</f>
        <v/>
      </c>
      <c r="K404" s="9" t="str">
        <f aca="false">IF($C404="","",N($H404)*$J404)</f>
        <v/>
      </c>
      <c r="L404" s="9" t="str">
        <f aca="false">IF($C404="","",IF($E404="SI",2,1))</f>
        <v/>
      </c>
      <c r="M404" s="9" t="str">
        <f aca="false">IF($C404="","",$K404*$L404)</f>
        <v/>
      </c>
    </row>
    <row r="405" customFormat="false" ht="15" hidden="false" customHeight="true" outlineLevel="0" collapsed="false">
      <c r="A405" s="9" t="str">
        <f aca="false">IF(Equips_usuari!A405="","",Equips_usuari!A405)</f>
        <v/>
      </c>
      <c r="B405" s="9" t="str">
        <f aca="false">IF(Equips_usuari!B405="","",Equips_usuari!B405)</f>
        <v/>
      </c>
      <c r="C405" s="9" t="str">
        <f aca="false">IF(Equips_usuari!C405="","",Equips_usuari!C405)</f>
        <v/>
      </c>
      <c r="D405" s="9" t="str">
        <f aca="false">IF(Equips_usuari!D405="","",Equips_usuari!D405)</f>
        <v/>
      </c>
      <c r="E405" s="9" t="str">
        <f aca="false">IF(Equips_usuari!F405="","",Equips_usuari!F405)</f>
        <v/>
      </c>
      <c r="F405" s="9" t="str">
        <f aca="false">IF($C405="","",SUMIFS(Resultats_jugadores!$C:$C,Resultats_jugadores!$A:$A,$A405,Resultats_jugadores!$B:$B,$C405))</f>
        <v/>
      </c>
      <c r="G405" s="9" t="str">
        <f aca="false">IF($C405="","",SUMIFS(Resultats_jugadores!$D:$D,Resultats_jugadores!$A:$A,$A405,Resultats_jugadores!$B:$B,$C405))</f>
        <v/>
      </c>
      <c r="H405" s="9" t="str">
        <f aca="false">IF($C405="","",N($F405)-N($G405))</f>
        <v/>
      </c>
      <c r="I405" s="9" t="str">
        <f aca="false">IF($C405="","",IFERROR(INDEX(Partits!$C:$C,MATCH($A405&amp;"_"&amp;$D405,Partits!$D:$D,0)),""))</f>
        <v/>
      </c>
      <c r="J405" s="9" t="str">
        <f aca="false">IF($C405="","",IF(AND($I405="V",N($H405)&gt;0),1.2,1))</f>
        <v/>
      </c>
      <c r="K405" s="9" t="str">
        <f aca="false">IF($C405="","",N($H405)*$J405)</f>
        <v/>
      </c>
      <c r="L405" s="9" t="str">
        <f aca="false">IF($C405="","",IF($E405="SI",2,1))</f>
        <v/>
      </c>
      <c r="M405" s="9" t="str">
        <f aca="false">IF($C405="","",$K405*$L405)</f>
        <v/>
      </c>
    </row>
    <row r="406" customFormat="false" ht="15" hidden="false" customHeight="true" outlineLevel="0" collapsed="false">
      <c r="A406" s="9" t="str">
        <f aca="false">IF(Equips_usuari!A406="","",Equips_usuari!A406)</f>
        <v/>
      </c>
      <c r="B406" s="9" t="str">
        <f aca="false">IF(Equips_usuari!B406="","",Equips_usuari!B406)</f>
        <v/>
      </c>
      <c r="C406" s="9" t="str">
        <f aca="false">IF(Equips_usuari!C406="","",Equips_usuari!C406)</f>
        <v/>
      </c>
      <c r="D406" s="9" t="str">
        <f aca="false">IF(Equips_usuari!D406="","",Equips_usuari!D406)</f>
        <v/>
      </c>
      <c r="E406" s="9" t="str">
        <f aca="false">IF(Equips_usuari!F406="","",Equips_usuari!F406)</f>
        <v/>
      </c>
      <c r="F406" s="9" t="str">
        <f aca="false">IF($C406="","",SUMIFS(Resultats_jugadores!$C:$C,Resultats_jugadores!$A:$A,$A406,Resultats_jugadores!$B:$B,$C406))</f>
        <v/>
      </c>
      <c r="G406" s="9" t="str">
        <f aca="false">IF($C406="","",SUMIFS(Resultats_jugadores!$D:$D,Resultats_jugadores!$A:$A,$A406,Resultats_jugadores!$B:$B,$C406))</f>
        <v/>
      </c>
      <c r="H406" s="9" t="str">
        <f aca="false">IF($C406="","",N($F406)-N($G406))</f>
        <v/>
      </c>
      <c r="I406" s="9" t="str">
        <f aca="false">IF($C406="","",IFERROR(INDEX(Partits!$C:$C,MATCH($A406&amp;"_"&amp;$D406,Partits!$D:$D,0)),""))</f>
        <v/>
      </c>
      <c r="J406" s="9" t="str">
        <f aca="false">IF($C406="","",IF(AND($I406="V",N($H406)&gt;0),1.2,1))</f>
        <v/>
      </c>
      <c r="K406" s="9" t="str">
        <f aca="false">IF($C406="","",N($H406)*$J406)</f>
        <v/>
      </c>
      <c r="L406" s="9" t="str">
        <f aca="false">IF($C406="","",IF($E406="SI",2,1))</f>
        <v/>
      </c>
      <c r="M406" s="9" t="str">
        <f aca="false">IF($C406="","",$K406*$L406)</f>
        <v/>
      </c>
    </row>
    <row r="407" customFormat="false" ht="15" hidden="false" customHeight="true" outlineLevel="0" collapsed="false">
      <c r="A407" s="9" t="str">
        <f aca="false">IF(Equips_usuari!A407="","",Equips_usuari!A407)</f>
        <v/>
      </c>
      <c r="B407" s="9" t="str">
        <f aca="false">IF(Equips_usuari!B407="","",Equips_usuari!B407)</f>
        <v/>
      </c>
      <c r="C407" s="9" t="str">
        <f aca="false">IF(Equips_usuari!C407="","",Equips_usuari!C407)</f>
        <v/>
      </c>
      <c r="D407" s="9" t="str">
        <f aca="false">IF(Equips_usuari!D407="","",Equips_usuari!D407)</f>
        <v/>
      </c>
      <c r="E407" s="9" t="str">
        <f aca="false">IF(Equips_usuari!F407="","",Equips_usuari!F407)</f>
        <v/>
      </c>
      <c r="F407" s="9" t="str">
        <f aca="false">IF($C407="","",SUMIFS(Resultats_jugadores!$C:$C,Resultats_jugadores!$A:$A,$A407,Resultats_jugadores!$B:$B,$C407))</f>
        <v/>
      </c>
      <c r="G407" s="9" t="str">
        <f aca="false">IF($C407="","",SUMIFS(Resultats_jugadores!$D:$D,Resultats_jugadores!$A:$A,$A407,Resultats_jugadores!$B:$B,$C407))</f>
        <v/>
      </c>
      <c r="H407" s="9" t="str">
        <f aca="false">IF($C407="","",N($F407)-N($G407))</f>
        <v/>
      </c>
      <c r="I407" s="9" t="str">
        <f aca="false">IF($C407="","",IFERROR(INDEX(Partits!$C:$C,MATCH($A407&amp;"_"&amp;$D407,Partits!$D:$D,0)),""))</f>
        <v/>
      </c>
      <c r="J407" s="9" t="str">
        <f aca="false">IF($C407="","",IF(AND($I407="V",N($H407)&gt;0),1.2,1))</f>
        <v/>
      </c>
      <c r="K407" s="9" t="str">
        <f aca="false">IF($C407="","",N($H407)*$J407)</f>
        <v/>
      </c>
      <c r="L407" s="9" t="str">
        <f aca="false">IF($C407="","",IF($E407="SI",2,1))</f>
        <v/>
      </c>
      <c r="M407" s="9" t="str">
        <f aca="false">IF($C407="","",$K407*$L407)</f>
        <v/>
      </c>
    </row>
    <row r="408" customFormat="false" ht="15" hidden="false" customHeight="true" outlineLevel="0" collapsed="false">
      <c r="A408" s="9" t="str">
        <f aca="false">IF(Equips_usuari!A408="","",Equips_usuari!A408)</f>
        <v/>
      </c>
      <c r="B408" s="9" t="str">
        <f aca="false">IF(Equips_usuari!B408="","",Equips_usuari!B408)</f>
        <v/>
      </c>
      <c r="C408" s="9" t="str">
        <f aca="false">IF(Equips_usuari!C408="","",Equips_usuari!C408)</f>
        <v/>
      </c>
      <c r="D408" s="9" t="str">
        <f aca="false">IF(Equips_usuari!D408="","",Equips_usuari!D408)</f>
        <v/>
      </c>
      <c r="E408" s="9" t="str">
        <f aca="false">IF(Equips_usuari!F408="","",Equips_usuari!F408)</f>
        <v/>
      </c>
      <c r="F408" s="9" t="str">
        <f aca="false">IF($C408="","",SUMIFS(Resultats_jugadores!$C:$C,Resultats_jugadores!$A:$A,$A408,Resultats_jugadores!$B:$B,$C408))</f>
        <v/>
      </c>
      <c r="G408" s="9" t="str">
        <f aca="false">IF($C408="","",SUMIFS(Resultats_jugadores!$D:$D,Resultats_jugadores!$A:$A,$A408,Resultats_jugadores!$B:$B,$C408))</f>
        <v/>
      </c>
      <c r="H408" s="9" t="str">
        <f aca="false">IF($C408="","",N($F408)-N($G408))</f>
        <v/>
      </c>
      <c r="I408" s="9" t="str">
        <f aca="false">IF($C408="","",IFERROR(INDEX(Partits!$C:$C,MATCH($A408&amp;"_"&amp;$D408,Partits!$D:$D,0)),""))</f>
        <v/>
      </c>
      <c r="J408" s="9" t="str">
        <f aca="false">IF($C408="","",IF(AND($I408="V",N($H408)&gt;0),1.2,1))</f>
        <v/>
      </c>
      <c r="K408" s="9" t="str">
        <f aca="false">IF($C408="","",N($H408)*$J408)</f>
        <v/>
      </c>
      <c r="L408" s="9" t="str">
        <f aca="false">IF($C408="","",IF($E408="SI",2,1))</f>
        <v/>
      </c>
      <c r="M408" s="9" t="str">
        <f aca="false">IF($C408="","",$K408*$L408)</f>
        <v/>
      </c>
    </row>
    <row r="409" customFormat="false" ht="15" hidden="false" customHeight="true" outlineLevel="0" collapsed="false">
      <c r="A409" s="9" t="str">
        <f aca="false">IF(Equips_usuari!A409="","",Equips_usuari!A409)</f>
        <v/>
      </c>
      <c r="B409" s="9" t="str">
        <f aca="false">IF(Equips_usuari!B409="","",Equips_usuari!B409)</f>
        <v/>
      </c>
      <c r="C409" s="9" t="str">
        <f aca="false">IF(Equips_usuari!C409="","",Equips_usuari!C409)</f>
        <v/>
      </c>
      <c r="D409" s="9" t="str">
        <f aca="false">IF(Equips_usuari!D409="","",Equips_usuari!D409)</f>
        <v/>
      </c>
      <c r="E409" s="9" t="str">
        <f aca="false">IF(Equips_usuari!F409="","",Equips_usuari!F409)</f>
        <v/>
      </c>
      <c r="F409" s="9" t="str">
        <f aca="false">IF($C409="","",SUMIFS(Resultats_jugadores!$C:$C,Resultats_jugadores!$A:$A,$A409,Resultats_jugadores!$B:$B,$C409))</f>
        <v/>
      </c>
      <c r="G409" s="9" t="str">
        <f aca="false">IF($C409="","",SUMIFS(Resultats_jugadores!$D:$D,Resultats_jugadores!$A:$A,$A409,Resultats_jugadores!$B:$B,$C409))</f>
        <v/>
      </c>
      <c r="H409" s="9" t="str">
        <f aca="false">IF($C409="","",N($F409)-N($G409))</f>
        <v/>
      </c>
      <c r="I409" s="9" t="str">
        <f aca="false">IF($C409="","",IFERROR(INDEX(Partits!$C:$C,MATCH($A409&amp;"_"&amp;$D409,Partits!$D:$D,0)),""))</f>
        <v/>
      </c>
      <c r="J409" s="9" t="str">
        <f aca="false">IF($C409="","",IF(AND($I409="V",N($H409)&gt;0),1.2,1))</f>
        <v/>
      </c>
      <c r="K409" s="9" t="str">
        <f aca="false">IF($C409="","",N($H409)*$J409)</f>
        <v/>
      </c>
      <c r="L409" s="9" t="str">
        <f aca="false">IF($C409="","",IF($E409="SI",2,1))</f>
        <v/>
      </c>
      <c r="M409" s="9" t="str">
        <f aca="false">IF($C409="","",$K409*$L409)</f>
        <v/>
      </c>
    </row>
    <row r="410" customFormat="false" ht="15" hidden="false" customHeight="true" outlineLevel="0" collapsed="false">
      <c r="A410" s="9" t="str">
        <f aca="false">IF(Equips_usuari!A410="","",Equips_usuari!A410)</f>
        <v/>
      </c>
      <c r="B410" s="9" t="str">
        <f aca="false">IF(Equips_usuari!B410="","",Equips_usuari!B410)</f>
        <v/>
      </c>
      <c r="C410" s="9" t="str">
        <f aca="false">IF(Equips_usuari!C410="","",Equips_usuari!C410)</f>
        <v/>
      </c>
      <c r="D410" s="9" t="str">
        <f aca="false">IF(Equips_usuari!D410="","",Equips_usuari!D410)</f>
        <v/>
      </c>
      <c r="E410" s="9" t="str">
        <f aca="false">IF(Equips_usuari!F410="","",Equips_usuari!F410)</f>
        <v/>
      </c>
      <c r="F410" s="9" t="str">
        <f aca="false">IF($C410="","",SUMIFS(Resultats_jugadores!$C:$C,Resultats_jugadores!$A:$A,$A410,Resultats_jugadores!$B:$B,$C410))</f>
        <v/>
      </c>
      <c r="G410" s="9" t="str">
        <f aca="false">IF($C410="","",SUMIFS(Resultats_jugadores!$D:$D,Resultats_jugadores!$A:$A,$A410,Resultats_jugadores!$B:$B,$C410))</f>
        <v/>
      </c>
      <c r="H410" s="9" t="str">
        <f aca="false">IF($C410="","",N($F410)-N($G410))</f>
        <v/>
      </c>
      <c r="I410" s="9" t="str">
        <f aca="false">IF($C410="","",IFERROR(INDEX(Partits!$C:$C,MATCH($A410&amp;"_"&amp;$D410,Partits!$D:$D,0)),""))</f>
        <v/>
      </c>
      <c r="J410" s="9" t="str">
        <f aca="false">IF($C410="","",IF(AND($I410="V",N($H410)&gt;0),1.2,1))</f>
        <v/>
      </c>
      <c r="K410" s="9" t="str">
        <f aca="false">IF($C410="","",N($H410)*$J410)</f>
        <v/>
      </c>
      <c r="L410" s="9" t="str">
        <f aca="false">IF($C410="","",IF($E410="SI",2,1))</f>
        <v/>
      </c>
      <c r="M410" s="9" t="str">
        <f aca="false">IF($C410="","",$K410*$L410)</f>
        <v/>
      </c>
    </row>
    <row r="411" customFormat="false" ht="15" hidden="false" customHeight="true" outlineLevel="0" collapsed="false">
      <c r="A411" s="9" t="str">
        <f aca="false">IF(Equips_usuari!A411="","",Equips_usuari!A411)</f>
        <v/>
      </c>
      <c r="B411" s="9" t="str">
        <f aca="false">IF(Equips_usuari!B411="","",Equips_usuari!B411)</f>
        <v/>
      </c>
      <c r="C411" s="9" t="str">
        <f aca="false">IF(Equips_usuari!C411="","",Equips_usuari!C411)</f>
        <v/>
      </c>
      <c r="D411" s="9" t="str">
        <f aca="false">IF(Equips_usuari!D411="","",Equips_usuari!D411)</f>
        <v/>
      </c>
      <c r="E411" s="9" t="str">
        <f aca="false">IF(Equips_usuari!F411="","",Equips_usuari!F411)</f>
        <v/>
      </c>
      <c r="F411" s="9" t="str">
        <f aca="false">IF($C411="","",SUMIFS(Resultats_jugadores!$C:$C,Resultats_jugadores!$A:$A,$A411,Resultats_jugadores!$B:$B,$C411))</f>
        <v/>
      </c>
      <c r="G411" s="9" t="str">
        <f aca="false">IF($C411="","",SUMIFS(Resultats_jugadores!$D:$D,Resultats_jugadores!$A:$A,$A411,Resultats_jugadores!$B:$B,$C411))</f>
        <v/>
      </c>
      <c r="H411" s="9" t="str">
        <f aca="false">IF($C411="","",N($F411)-N($G411))</f>
        <v/>
      </c>
      <c r="I411" s="9" t="str">
        <f aca="false">IF($C411="","",IFERROR(INDEX(Partits!$C:$C,MATCH($A411&amp;"_"&amp;$D411,Partits!$D:$D,0)),""))</f>
        <v/>
      </c>
      <c r="J411" s="9" t="str">
        <f aca="false">IF($C411="","",IF(AND($I411="V",N($H411)&gt;0),1.2,1))</f>
        <v/>
      </c>
      <c r="K411" s="9" t="str">
        <f aca="false">IF($C411="","",N($H411)*$J411)</f>
        <v/>
      </c>
      <c r="L411" s="9" t="str">
        <f aca="false">IF($C411="","",IF($E411="SI",2,1))</f>
        <v/>
      </c>
      <c r="M411" s="9" t="str">
        <f aca="false">IF($C411="","",$K411*$L411)</f>
        <v/>
      </c>
    </row>
    <row r="412" customFormat="false" ht="15" hidden="false" customHeight="true" outlineLevel="0" collapsed="false">
      <c r="A412" s="9" t="str">
        <f aca="false">IF(Equips_usuari!A412="","",Equips_usuari!A412)</f>
        <v/>
      </c>
      <c r="B412" s="9" t="str">
        <f aca="false">IF(Equips_usuari!B412="","",Equips_usuari!B412)</f>
        <v/>
      </c>
      <c r="C412" s="9" t="str">
        <f aca="false">IF(Equips_usuari!C412="","",Equips_usuari!C412)</f>
        <v/>
      </c>
      <c r="D412" s="9" t="str">
        <f aca="false">IF(Equips_usuari!D412="","",Equips_usuari!D412)</f>
        <v/>
      </c>
      <c r="E412" s="9" t="str">
        <f aca="false">IF(Equips_usuari!F412="","",Equips_usuari!F412)</f>
        <v/>
      </c>
      <c r="F412" s="9" t="str">
        <f aca="false">IF($C412="","",SUMIFS(Resultats_jugadores!$C:$C,Resultats_jugadores!$A:$A,$A412,Resultats_jugadores!$B:$B,$C412))</f>
        <v/>
      </c>
      <c r="G412" s="9" t="str">
        <f aca="false">IF($C412="","",SUMIFS(Resultats_jugadores!$D:$D,Resultats_jugadores!$A:$A,$A412,Resultats_jugadores!$B:$B,$C412))</f>
        <v/>
      </c>
      <c r="H412" s="9" t="str">
        <f aca="false">IF($C412="","",N($F412)-N($G412))</f>
        <v/>
      </c>
      <c r="I412" s="9" t="str">
        <f aca="false">IF($C412="","",IFERROR(INDEX(Partits!$C:$C,MATCH($A412&amp;"_"&amp;$D412,Partits!$D:$D,0)),""))</f>
        <v/>
      </c>
      <c r="J412" s="9" t="str">
        <f aca="false">IF($C412="","",IF(AND($I412="V",N($H412)&gt;0),1.2,1))</f>
        <v/>
      </c>
      <c r="K412" s="9" t="str">
        <f aca="false">IF($C412="","",N($H412)*$J412)</f>
        <v/>
      </c>
      <c r="L412" s="9" t="str">
        <f aca="false">IF($C412="","",IF($E412="SI",2,1))</f>
        <v/>
      </c>
      <c r="M412" s="9" t="str">
        <f aca="false">IF($C412="","",$K412*$L412)</f>
        <v/>
      </c>
    </row>
    <row r="413" customFormat="false" ht="15" hidden="false" customHeight="true" outlineLevel="0" collapsed="false">
      <c r="A413" s="9" t="str">
        <f aca="false">IF(Equips_usuari!A413="","",Equips_usuari!A413)</f>
        <v/>
      </c>
      <c r="B413" s="9" t="str">
        <f aca="false">IF(Equips_usuari!B413="","",Equips_usuari!B413)</f>
        <v/>
      </c>
      <c r="C413" s="9" t="str">
        <f aca="false">IF(Equips_usuari!C413="","",Equips_usuari!C413)</f>
        <v/>
      </c>
      <c r="D413" s="9" t="str">
        <f aca="false">IF(Equips_usuari!D413="","",Equips_usuari!D413)</f>
        <v/>
      </c>
      <c r="E413" s="9" t="str">
        <f aca="false">IF(Equips_usuari!F413="","",Equips_usuari!F413)</f>
        <v/>
      </c>
      <c r="F413" s="9" t="str">
        <f aca="false">IF($C413="","",SUMIFS(Resultats_jugadores!$C:$C,Resultats_jugadores!$A:$A,$A413,Resultats_jugadores!$B:$B,$C413))</f>
        <v/>
      </c>
      <c r="G413" s="9" t="str">
        <f aca="false">IF($C413="","",SUMIFS(Resultats_jugadores!$D:$D,Resultats_jugadores!$A:$A,$A413,Resultats_jugadores!$B:$B,$C413))</f>
        <v/>
      </c>
      <c r="H413" s="9" t="str">
        <f aca="false">IF($C413="","",N($F413)-N($G413))</f>
        <v/>
      </c>
      <c r="I413" s="9" t="str">
        <f aca="false">IF($C413="","",IFERROR(INDEX(Partits!$C:$C,MATCH($A413&amp;"_"&amp;$D413,Partits!$D:$D,0)),""))</f>
        <v/>
      </c>
      <c r="J413" s="9" t="str">
        <f aca="false">IF($C413="","",IF(AND($I413="V",N($H413)&gt;0),1.2,1))</f>
        <v/>
      </c>
      <c r="K413" s="9" t="str">
        <f aca="false">IF($C413="","",N($H413)*$J413)</f>
        <v/>
      </c>
      <c r="L413" s="9" t="str">
        <f aca="false">IF($C413="","",IF($E413="SI",2,1))</f>
        <v/>
      </c>
      <c r="M413" s="9" t="str">
        <f aca="false">IF($C413="","",$K413*$L413)</f>
        <v/>
      </c>
    </row>
    <row r="414" customFormat="false" ht="15" hidden="false" customHeight="true" outlineLevel="0" collapsed="false">
      <c r="A414" s="9" t="str">
        <f aca="false">IF(Equips_usuari!A414="","",Equips_usuari!A414)</f>
        <v/>
      </c>
      <c r="B414" s="9" t="str">
        <f aca="false">IF(Equips_usuari!B414="","",Equips_usuari!B414)</f>
        <v/>
      </c>
      <c r="C414" s="9" t="str">
        <f aca="false">IF(Equips_usuari!C414="","",Equips_usuari!C414)</f>
        <v/>
      </c>
      <c r="D414" s="9" t="str">
        <f aca="false">IF(Equips_usuari!D414="","",Equips_usuari!D414)</f>
        <v/>
      </c>
      <c r="E414" s="9" t="str">
        <f aca="false">IF(Equips_usuari!F414="","",Equips_usuari!F414)</f>
        <v/>
      </c>
      <c r="F414" s="9" t="str">
        <f aca="false">IF($C414="","",SUMIFS(Resultats_jugadores!$C:$C,Resultats_jugadores!$A:$A,$A414,Resultats_jugadores!$B:$B,$C414))</f>
        <v/>
      </c>
      <c r="G414" s="9" t="str">
        <f aca="false">IF($C414="","",SUMIFS(Resultats_jugadores!$D:$D,Resultats_jugadores!$A:$A,$A414,Resultats_jugadores!$B:$B,$C414))</f>
        <v/>
      </c>
      <c r="H414" s="9" t="str">
        <f aca="false">IF($C414="","",N($F414)-N($G414))</f>
        <v/>
      </c>
      <c r="I414" s="9" t="str">
        <f aca="false">IF($C414="","",IFERROR(INDEX(Partits!$C:$C,MATCH($A414&amp;"_"&amp;$D414,Partits!$D:$D,0)),""))</f>
        <v/>
      </c>
      <c r="J414" s="9" t="str">
        <f aca="false">IF($C414="","",IF(AND($I414="V",N($H414)&gt;0),1.2,1))</f>
        <v/>
      </c>
      <c r="K414" s="9" t="str">
        <f aca="false">IF($C414="","",N($H414)*$J414)</f>
        <v/>
      </c>
      <c r="L414" s="9" t="str">
        <f aca="false">IF($C414="","",IF($E414="SI",2,1))</f>
        <v/>
      </c>
      <c r="M414" s="9" t="str">
        <f aca="false">IF($C414="","",$K414*$L414)</f>
        <v/>
      </c>
    </row>
    <row r="415" customFormat="false" ht="15" hidden="false" customHeight="true" outlineLevel="0" collapsed="false">
      <c r="A415" s="9" t="str">
        <f aca="false">IF(Equips_usuari!A415="","",Equips_usuari!A415)</f>
        <v/>
      </c>
      <c r="B415" s="9" t="str">
        <f aca="false">IF(Equips_usuari!B415="","",Equips_usuari!B415)</f>
        <v/>
      </c>
      <c r="C415" s="9" t="str">
        <f aca="false">IF(Equips_usuari!C415="","",Equips_usuari!C415)</f>
        <v/>
      </c>
      <c r="D415" s="9" t="str">
        <f aca="false">IF(Equips_usuari!D415="","",Equips_usuari!D415)</f>
        <v/>
      </c>
      <c r="E415" s="9" t="str">
        <f aca="false">IF(Equips_usuari!F415="","",Equips_usuari!F415)</f>
        <v/>
      </c>
      <c r="F415" s="9" t="str">
        <f aca="false">IF($C415="","",SUMIFS(Resultats_jugadores!$C:$C,Resultats_jugadores!$A:$A,$A415,Resultats_jugadores!$B:$B,$C415))</f>
        <v/>
      </c>
      <c r="G415" s="9" t="str">
        <f aca="false">IF($C415="","",SUMIFS(Resultats_jugadores!$D:$D,Resultats_jugadores!$A:$A,$A415,Resultats_jugadores!$B:$B,$C415))</f>
        <v/>
      </c>
      <c r="H415" s="9" t="str">
        <f aca="false">IF($C415="","",N($F415)-N($G415))</f>
        <v/>
      </c>
      <c r="I415" s="9" t="str">
        <f aca="false">IF($C415="","",IFERROR(INDEX(Partits!$C:$C,MATCH($A415&amp;"_"&amp;$D415,Partits!$D:$D,0)),""))</f>
        <v/>
      </c>
      <c r="J415" s="9" t="str">
        <f aca="false">IF($C415="","",IF(AND($I415="V",N($H415)&gt;0),1.2,1))</f>
        <v/>
      </c>
      <c r="K415" s="9" t="str">
        <f aca="false">IF($C415="","",N($H415)*$J415)</f>
        <v/>
      </c>
      <c r="L415" s="9" t="str">
        <f aca="false">IF($C415="","",IF($E415="SI",2,1))</f>
        <v/>
      </c>
      <c r="M415" s="9" t="str">
        <f aca="false">IF($C415="","",$K415*$L415)</f>
        <v/>
      </c>
    </row>
    <row r="416" customFormat="false" ht="15" hidden="false" customHeight="true" outlineLevel="0" collapsed="false">
      <c r="A416" s="9" t="str">
        <f aca="false">IF(Equips_usuari!A416="","",Equips_usuari!A416)</f>
        <v/>
      </c>
      <c r="B416" s="9" t="str">
        <f aca="false">IF(Equips_usuari!B416="","",Equips_usuari!B416)</f>
        <v/>
      </c>
      <c r="C416" s="9" t="str">
        <f aca="false">IF(Equips_usuari!C416="","",Equips_usuari!C416)</f>
        <v/>
      </c>
      <c r="D416" s="9" t="str">
        <f aca="false">IF(Equips_usuari!D416="","",Equips_usuari!D416)</f>
        <v/>
      </c>
      <c r="E416" s="9" t="str">
        <f aca="false">IF(Equips_usuari!F416="","",Equips_usuari!F416)</f>
        <v/>
      </c>
      <c r="F416" s="9" t="str">
        <f aca="false">IF($C416="","",SUMIFS(Resultats_jugadores!$C:$C,Resultats_jugadores!$A:$A,$A416,Resultats_jugadores!$B:$B,$C416))</f>
        <v/>
      </c>
      <c r="G416" s="9" t="str">
        <f aca="false">IF($C416="","",SUMIFS(Resultats_jugadores!$D:$D,Resultats_jugadores!$A:$A,$A416,Resultats_jugadores!$B:$B,$C416))</f>
        <v/>
      </c>
      <c r="H416" s="9" t="str">
        <f aca="false">IF($C416="","",N($F416)-N($G416))</f>
        <v/>
      </c>
      <c r="I416" s="9" t="str">
        <f aca="false">IF($C416="","",IFERROR(INDEX(Partits!$C:$C,MATCH($A416&amp;"_"&amp;$D416,Partits!$D:$D,0)),""))</f>
        <v/>
      </c>
      <c r="J416" s="9" t="str">
        <f aca="false">IF($C416="","",IF(AND($I416="V",N($H416)&gt;0),1.2,1))</f>
        <v/>
      </c>
      <c r="K416" s="9" t="str">
        <f aca="false">IF($C416="","",N($H416)*$J416)</f>
        <v/>
      </c>
      <c r="L416" s="9" t="str">
        <f aca="false">IF($C416="","",IF($E416="SI",2,1))</f>
        <v/>
      </c>
      <c r="M416" s="9" t="str">
        <f aca="false">IF($C416="","",$K416*$L416)</f>
        <v/>
      </c>
    </row>
    <row r="417" customFormat="false" ht="15" hidden="false" customHeight="true" outlineLevel="0" collapsed="false">
      <c r="A417" s="9" t="str">
        <f aca="false">IF(Equips_usuari!A417="","",Equips_usuari!A417)</f>
        <v/>
      </c>
      <c r="B417" s="9" t="str">
        <f aca="false">IF(Equips_usuari!B417="","",Equips_usuari!B417)</f>
        <v/>
      </c>
      <c r="C417" s="9" t="str">
        <f aca="false">IF(Equips_usuari!C417="","",Equips_usuari!C417)</f>
        <v/>
      </c>
      <c r="D417" s="9" t="str">
        <f aca="false">IF(Equips_usuari!D417="","",Equips_usuari!D417)</f>
        <v/>
      </c>
      <c r="E417" s="9" t="str">
        <f aca="false">IF(Equips_usuari!F417="","",Equips_usuari!F417)</f>
        <v/>
      </c>
      <c r="F417" s="9" t="str">
        <f aca="false">IF($C417="","",SUMIFS(Resultats_jugadores!$C:$C,Resultats_jugadores!$A:$A,$A417,Resultats_jugadores!$B:$B,$C417))</f>
        <v/>
      </c>
      <c r="G417" s="9" t="str">
        <f aca="false">IF($C417="","",SUMIFS(Resultats_jugadores!$D:$D,Resultats_jugadores!$A:$A,$A417,Resultats_jugadores!$B:$B,$C417))</f>
        <v/>
      </c>
      <c r="H417" s="9" t="str">
        <f aca="false">IF($C417="","",N($F417)-N($G417))</f>
        <v/>
      </c>
      <c r="I417" s="9" t="str">
        <f aca="false">IF($C417="","",IFERROR(INDEX(Partits!$C:$C,MATCH($A417&amp;"_"&amp;$D417,Partits!$D:$D,0)),""))</f>
        <v/>
      </c>
      <c r="J417" s="9" t="str">
        <f aca="false">IF($C417="","",IF(AND($I417="V",N($H417)&gt;0),1.2,1))</f>
        <v/>
      </c>
      <c r="K417" s="9" t="str">
        <f aca="false">IF($C417="","",N($H417)*$J417)</f>
        <v/>
      </c>
      <c r="L417" s="9" t="str">
        <f aca="false">IF($C417="","",IF($E417="SI",2,1))</f>
        <v/>
      </c>
      <c r="M417" s="9" t="str">
        <f aca="false">IF($C417="","",$K417*$L417)</f>
        <v/>
      </c>
    </row>
    <row r="418" customFormat="false" ht="15" hidden="false" customHeight="true" outlineLevel="0" collapsed="false">
      <c r="A418" s="9" t="str">
        <f aca="false">IF(Equips_usuari!A418="","",Equips_usuari!A418)</f>
        <v/>
      </c>
      <c r="B418" s="9" t="str">
        <f aca="false">IF(Equips_usuari!B418="","",Equips_usuari!B418)</f>
        <v/>
      </c>
      <c r="C418" s="9" t="str">
        <f aca="false">IF(Equips_usuari!C418="","",Equips_usuari!C418)</f>
        <v/>
      </c>
      <c r="D418" s="9" t="str">
        <f aca="false">IF(Equips_usuari!D418="","",Equips_usuari!D418)</f>
        <v/>
      </c>
      <c r="E418" s="9" t="str">
        <f aca="false">IF(Equips_usuari!F418="","",Equips_usuari!F418)</f>
        <v/>
      </c>
      <c r="F418" s="9" t="str">
        <f aca="false">IF($C418="","",SUMIFS(Resultats_jugadores!$C:$C,Resultats_jugadores!$A:$A,$A418,Resultats_jugadores!$B:$B,$C418))</f>
        <v/>
      </c>
      <c r="G418" s="9" t="str">
        <f aca="false">IF($C418="","",SUMIFS(Resultats_jugadores!$D:$D,Resultats_jugadores!$A:$A,$A418,Resultats_jugadores!$B:$B,$C418))</f>
        <v/>
      </c>
      <c r="H418" s="9" t="str">
        <f aca="false">IF($C418="","",N($F418)-N($G418))</f>
        <v/>
      </c>
      <c r="I418" s="9" t="str">
        <f aca="false">IF($C418="","",IFERROR(INDEX(Partits!$C:$C,MATCH($A418&amp;"_"&amp;$D418,Partits!$D:$D,0)),""))</f>
        <v/>
      </c>
      <c r="J418" s="9" t="str">
        <f aca="false">IF($C418="","",IF(AND($I418="V",N($H418)&gt;0),1.2,1))</f>
        <v/>
      </c>
      <c r="K418" s="9" t="str">
        <f aca="false">IF($C418="","",N($H418)*$J418)</f>
        <v/>
      </c>
      <c r="L418" s="9" t="str">
        <f aca="false">IF($C418="","",IF($E418="SI",2,1))</f>
        <v/>
      </c>
      <c r="M418" s="9" t="str">
        <f aca="false">IF($C418="","",$K418*$L418)</f>
        <v/>
      </c>
    </row>
    <row r="419" customFormat="false" ht="15" hidden="false" customHeight="true" outlineLevel="0" collapsed="false">
      <c r="A419" s="9" t="str">
        <f aca="false">IF(Equips_usuari!A419="","",Equips_usuari!A419)</f>
        <v/>
      </c>
      <c r="B419" s="9" t="str">
        <f aca="false">IF(Equips_usuari!B419="","",Equips_usuari!B419)</f>
        <v/>
      </c>
      <c r="C419" s="9" t="str">
        <f aca="false">IF(Equips_usuari!C419="","",Equips_usuari!C419)</f>
        <v/>
      </c>
      <c r="D419" s="9" t="str">
        <f aca="false">IF(Equips_usuari!D419="","",Equips_usuari!D419)</f>
        <v/>
      </c>
      <c r="E419" s="9" t="str">
        <f aca="false">IF(Equips_usuari!F419="","",Equips_usuari!F419)</f>
        <v/>
      </c>
      <c r="F419" s="9" t="str">
        <f aca="false">IF($C419="","",SUMIFS(Resultats_jugadores!$C:$C,Resultats_jugadores!$A:$A,$A419,Resultats_jugadores!$B:$B,$C419))</f>
        <v/>
      </c>
      <c r="G419" s="9" t="str">
        <f aca="false">IF($C419="","",SUMIFS(Resultats_jugadores!$D:$D,Resultats_jugadores!$A:$A,$A419,Resultats_jugadores!$B:$B,$C419))</f>
        <v/>
      </c>
      <c r="H419" s="9" t="str">
        <f aca="false">IF($C419="","",N($F419)-N($G419))</f>
        <v/>
      </c>
      <c r="I419" s="9" t="str">
        <f aca="false">IF($C419="","",IFERROR(INDEX(Partits!$C:$C,MATCH($A419&amp;"_"&amp;$D419,Partits!$D:$D,0)),""))</f>
        <v/>
      </c>
      <c r="J419" s="9" t="str">
        <f aca="false">IF($C419="","",IF(AND($I419="V",N($H419)&gt;0),1.2,1))</f>
        <v/>
      </c>
      <c r="K419" s="9" t="str">
        <f aca="false">IF($C419="","",N($H419)*$J419)</f>
        <v/>
      </c>
      <c r="L419" s="9" t="str">
        <f aca="false">IF($C419="","",IF($E419="SI",2,1))</f>
        <v/>
      </c>
      <c r="M419" s="9" t="str">
        <f aca="false">IF($C419="","",$K419*$L419)</f>
        <v/>
      </c>
    </row>
    <row r="420" customFormat="false" ht="15" hidden="false" customHeight="true" outlineLevel="0" collapsed="false">
      <c r="A420" s="9" t="str">
        <f aca="false">IF(Equips_usuari!A420="","",Equips_usuari!A420)</f>
        <v/>
      </c>
      <c r="B420" s="9" t="str">
        <f aca="false">IF(Equips_usuari!B420="","",Equips_usuari!B420)</f>
        <v/>
      </c>
      <c r="C420" s="9" t="str">
        <f aca="false">IF(Equips_usuari!C420="","",Equips_usuari!C420)</f>
        <v/>
      </c>
      <c r="D420" s="9" t="str">
        <f aca="false">IF(Equips_usuari!D420="","",Equips_usuari!D420)</f>
        <v/>
      </c>
      <c r="E420" s="9" t="str">
        <f aca="false">IF(Equips_usuari!F420="","",Equips_usuari!F420)</f>
        <v/>
      </c>
      <c r="F420" s="9" t="str">
        <f aca="false">IF($C420="","",SUMIFS(Resultats_jugadores!$C:$C,Resultats_jugadores!$A:$A,$A420,Resultats_jugadores!$B:$B,$C420))</f>
        <v/>
      </c>
      <c r="G420" s="9" t="str">
        <f aca="false">IF($C420="","",SUMIFS(Resultats_jugadores!$D:$D,Resultats_jugadores!$A:$A,$A420,Resultats_jugadores!$B:$B,$C420))</f>
        <v/>
      </c>
      <c r="H420" s="9" t="str">
        <f aca="false">IF($C420="","",N($F420)-N($G420))</f>
        <v/>
      </c>
      <c r="I420" s="9" t="str">
        <f aca="false">IF($C420="","",IFERROR(INDEX(Partits!$C:$C,MATCH($A420&amp;"_"&amp;$D420,Partits!$D:$D,0)),""))</f>
        <v/>
      </c>
      <c r="J420" s="9" t="str">
        <f aca="false">IF($C420="","",IF(AND($I420="V",N($H420)&gt;0),1.2,1))</f>
        <v/>
      </c>
      <c r="K420" s="9" t="str">
        <f aca="false">IF($C420="","",N($H420)*$J420)</f>
        <v/>
      </c>
      <c r="L420" s="9" t="str">
        <f aca="false">IF($C420="","",IF($E420="SI",2,1))</f>
        <v/>
      </c>
      <c r="M420" s="9" t="str">
        <f aca="false">IF($C420="","",$K420*$L420)</f>
        <v/>
      </c>
    </row>
    <row r="421" customFormat="false" ht="15" hidden="false" customHeight="true" outlineLevel="0" collapsed="false">
      <c r="A421" s="9" t="str">
        <f aca="false">IF(Equips_usuari!A421="","",Equips_usuari!A421)</f>
        <v/>
      </c>
      <c r="B421" s="9" t="str">
        <f aca="false">IF(Equips_usuari!B421="","",Equips_usuari!B421)</f>
        <v/>
      </c>
      <c r="C421" s="9" t="str">
        <f aca="false">IF(Equips_usuari!C421="","",Equips_usuari!C421)</f>
        <v/>
      </c>
      <c r="D421" s="9" t="str">
        <f aca="false">IF(Equips_usuari!D421="","",Equips_usuari!D421)</f>
        <v/>
      </c>
      <c r="E421" s="9" t="str">
        <f aca="false">IF(Equips_usuari!F421="","",Equips_usuari!F421)</f>
        <v/>
      </c>
      <c r="F421" s="9" t="str">
        <f aca="false">IF($C421="","",SUMIFS(Resultats_jugadores!$C:$C,Resultats_jugadores!$A:$A,$A421,Resultats_jugadores!$B:$B,$C421))</f>
        <v/>
      </c>
      <c r="G421" s="9" t="str">
        <f aca="false">IF($C421="","",SUMIFS(Resultats_jugadores!$D:$D,Resultats_jugadores!$A:$A,$A421,Resultats_jugadores!$B:$B,$C421))</f>
        <v/>
      </c>
      <c r="H421" s="9" t="str">
        <f aca="false">IF($C421="","",N($F421)-N($G421))</f>
        <v/>
      </c>
      <c r="I421" s="9" t="str">
        <f aca="false">IF($C421="","",IFERROR(INDEX(Partits!$C:$C,MATCH($A421&amp;"_"&amp;$D421,Partits!$D:$D,0)),""))</f>
        <v/>
      </c>
      <c r="J421" s="9" t="str">
        <f aca="false">IF($C421="","",IF(AND($I421="V",N($H421)&gt;0),1.2,1))</f>
        <v/>
      </c>
      <c r="K421" s="9" t="str">
        <f aca="false">IF($C421="","",N($H421)*$J421)</f>
        <v/>
      </c>
      <c r="L421" s="9" t="str">
        <f aca="false">IF($C421="","",IF($E421="SI",2,1))</f>
        <v/>
      </c>
      <c r="M421" s="9" t="str">
        <f aca="false">IF($C421="","",$K421*$L421)</f>
        <v/>
      </c>
    </row>
    <row r="422" customFormat="false" ht="15" hidden="false" customHeight="true" outlineLevel="0" collapsed="false">
      <c r="A422" s="9" t="str">
        <f aca="false">IF(Equips_usuari!A422="","",Equips_usuari!A422)</f>
        <v/>
      </c>
      <c r="B422" s="9" t="str">
        <f aca="false">IF(Equips_usuari!B422="","",Equips_usuari!B422)</f>
        <v/>
      </c>
      <c r="C422" s="9" t="str">
        <f aca="false">IF(Equips_usuari!C422="","",Equips_usuari!C422)</f>
        <v/>
      </c>
      <c r="D422" s="9" t="str">
        <f aca="false">IF(Equips_usuari!D422="","",Equips_usuari!D422)</f>
        <v/>
      </c>
      <c r="E422" s="9" t="str">
        <f aca="false">IF(Equips_usuari!F422="","",Equips_usuari!F422)</f>
        <v/>
      </c>
      <c r="F422" s="9" t="str">
        <f aca="false">IF($C422="","",SUMIFS(Resultats_jugadores!$C:$C,Resultats_jugadores!$A:$A,$A422,Resultats_jugadores!$B:$B,$C422))</f>
        <v/>
      </c>
      <c r="G422" s="9" t="str">
        <f aca="false">IF($C422="","",SUMIFS(Resultats_jugadores!$D:$D,Resultats_jugadores!$A:$A,$A422,Resultats_jugadores!$B:$B,$C422))</f>
        <v/>
      </c>
      <c r="H422" s="9" t="str">
        <f aca="false">IF($C422="","",N($F422)-N($G422))</f>
        <v/>
      </c>
      <c r="I422" s="9" t="str">
        <f aca="false">IF($C422="","",IFERROR(INDEX(Partits!$C:$C,MATCH($A422&amp;"_"&amp;$D422,Partits!$D:$D,0)),""))</f>
        <v/>
      </c>
      <c r="J422" s="9" t="str">
        <f aca="false">IF($C422="","",IF(AND($I422="V",N($H422)&gt;0),1.2,1))</f>
        <v/>
      </c>
      <c r="K422" s="9" t="str">
        <f aca="false">IF($C422="","",N($H422)*$J422)</f>
        <v/>
      </c>
      <c r="L422" s="9" t="str">
        <f aca="false">IF($C422="","",IF($E422="SI",2,1))</f>
        <v/>
      </c>
      <c r="M422" s="9" t="str">
        <f aca="false">IF($C422="","",$K422*$L422)</f>
        <v/>
      </c>
    </row>
    <row r="423" customFormat="false" ht="15" hidden="false" customHeight="true" outlineLevel="0" collapsed="false">
      <c r="A423" s="9" t="str">
        <f aca="false">IF(Equips_usuari!A423="","",Equips_usuari!A423)</f>
        <v/>
      </c>
      <c r="B423" s="9" t="str">
        <f aca="false">IF(Equips_usuari!B423="","",Equips_usuari!B423)</f>
        <v/>
      </c>
      <c r="C423" s="9" t="str">
        <f aca="false">IF(Equips_usuari!C423="","",Equips_usuari!C423)</f>
        <v/>
      </c>
      <c r="D423" s="9" t="str">
        <f aca="false">IF(Equips_usuari!D423="","",Equips_usuari!D423)</f>
        <v/>
      </c>
      <c r="E423" s="9" t="str">
        <f aca="false">IF(Equips_usuari!F423="","",Equips_usuari!F423)</f>
        <v/>
      </c>
      <c r="F423" s="9" t="str">
        <f aca="false">IF($C423="","",SUMIFS(Resultats_jugadores!$C:$C,Resultats_jugadores!$A:$A,$A423,Resultats_jugadores!$B:$B,$C423))</f>
        <v/>
      </c>
      <c r="G423" s="9" t="str">
        <f aca="false">IF($C423="","",SUMIFS(Resultats_jugadores!$D:$D,Resultats_jugadores!$A:$A,$A423,Resultats_jugadores!$B:$B,$C423))</f>
        <v/>
      </c>
      <c r="H423" s="9" t="str">
        <f aca="false">IF($C423="","",N($F423)-N($G423))</f>
        <v/>
      </c>
      <c r="I423" s="9" t="str">
        <f aca="false">IF($C423="","",IFERROR(INDEX(Partits!$C:$C,MATCH($A423&amp;"_"&amp;$D423,Partits!$D:$D,0)),""))</f>
        <v/>
      </c>
      <c r="J423" s="9" t="str">
        <f aca="false">IF($C423="","",IF(AND($I423="V",N($H423)&gt;0),1.2,1))</f>
        <v/>
      </c>
      <c r="K423" s="9" t="str">
        <f aca="false">IF($C423="","",N($H423)*$J423)</f>
        <v/>
      </c>
      <c r="L423" s="9" t="str">
        <f aca="false">IF($C423="","",IF($E423="SI",2,1))</f>
        <v/>
      </c>
      <c r="M423" s="9" t="str">
        <f aca="false">IF($C423="","",$K423*$L423)</f>
        <v/>
      </c>
    </row>
    <row r="424" customFormat="false" ht="15" hidden="false" customHeight="true" outlineLevel="0" collapsed="false">
      <c r="A424" s="9" t="str">
        <f aca="false">IF(Equips_usuari!A424="","",Equips_usuari!A424)</f>
        <v/>
      </c>
      <c r="B424" s="9" t="str">
        <f aca="false">IF(Equips_usuari!B424="","",Equips_usuari!B424)</f>
        <v/>
      </c>
      <c r="C424" s="9" t="str">
        <f aca="false">IF(Equips_usuari!C424="","",Equips_usuari!C424)</f>
        <v/>
      </c>
      <c r="D424" s="9" t="str">
        <f aca="false">IF(Equips_usuari!D424="","",Equips_usuari!D424)</f>
        <v/>
      </c>
      <c r="E424" s="9" t="str">
        <f aca="false">IF(Equips_usuari!F424="","",Equips_usuari!F424)</f>
        <v/>
      </c>
      <c r="F424" s="9" t="str">
        <f aca="false">IF($C424="","",SUMIFS(Resultats_jugadores!$C:$C,Resultats_jugadores!$A:$A,$A424,Resultats_jugadores!$B:$B,$C424))</f>
        <v/>
      </c>
      <c r="G424" s="9" t="str">
        <f aca="false">IF($C424="","",SUMIFS(Resultats_jugadores!$D:$D,Resultats_jugadores!$A:$A,$A424,Resultats_jugadores!$B:$B,$C424))</f>
        <v/>
      </c>
      <c r="H424" s="9" t="str">
        <f aca="false">IF($C424="","",N($F424)-N($G424))</f>
        <v/>
      </c>
      <c r="I424" s="9" t="str">
        <f aca="false">IF($C424="","",IFERROR(INDEX(Partits!$C:$C,MATCH($A424&amp;"_"&amp;$D424,Partits!$D:$D,0)),""))</f>
        <v/>
      </c>
      <c r="J424" s="9" t="str">
        <f aca="false">IF($C424="","",IF(AND($I424="V",N($H424)&gt;0),1.2,1))</f>
        <v/>
      </c>
      <c r="K424" s="9" t="str">
        <f aca="false">IF($C424="","",N($H424)*$J424)</f>
        <v/>
      </c>
      <c r="L424" s="9" t="str">
        <f aca="false">IF($C424="","",IF($E424="SI",2,1))</f>
        <v/>
      </c>
      <c r="M424" s="9" t="str">
        <f aca="false">IF($C424="","",$K424*$L424)</f>
        <v/>
      </c>
    </row>
    <row r="425" customFormat="false" ht="15" hidden="false" customHeight="true" outlineLevel="0" collapsed="false">
      <c r="A425" s="9" t="str">
        <f aca="false">IF(Equips_usuari!A425="","",Equips_usuari!A425)</f>
        <v/>
      </c>
      <c r="B425" s="9" t="str">
        <f aca="false">IF(Equips_usuari!B425="","",Equips_usuari!B425)</f>
        <v/>
      </c>
      <c r="C425" s="9" t="str">
        <f aca="false">IF(Equips_usuari!C425="","",Equips_usuari!C425)</f>
        <v/>
      </c>
      <c r="D425" s="9" t="str">
        <f aca="false">IF(Equips_usuari!D425="","",Equips_usuari!D425)</f>
        <v/>
      </c>
      <c r="E425" s="9" t="str">
        <f aca="false">IF(Equips_usuari!F425="","",Equips_usuari!F425)</f>
        <v/>
      </c>
      <c r="F425" s="9" t="str">
        <f aca="false">IF($C425="","",SUMIFS(Resultats_jugadores!$C:$C,Resultats_jugadores!$A:$A,$A425,Resultats_jugadores!$B:$B,$C425))</f>
        <v/>
      </c>
      <c r="G425" s="9" t="str">
        <f aca="false">IF($C425="","",SUMIFS(Resultats_jugadores!$D:$D,Resultats_jugadores!$A:$A,$A425,Resultats_jugadores!$B:$B,$C425))</f>
        <v/>
      </c>
      <c r="H425" s="9" t="str">
        <f aca="false">IF($C425="","",N($F425)-N($G425))</f>
        <v/>
      </c>
      <c r="I425" s="9" t="str">
        <f aca="false">IF($C425="","",IFERROR(INDEX(Partits!$C:$C,MATCH($A425&amp;"_"&amp;$D425,Partits!$D:$D,0)),""))</f>
        <v/>
      </c>
      <c r="J425" s="9" t="str">
        <f aca="false">IF($C425="","",IF(AND($I425="V",N($H425)&gt;0),1.2,1))</f>
        <v/>
      </c>
      <c r="K425" s="9" t="str">
        <f aca="false">IF($C425="","",N($H425)*$J425)</f>
        <v/>
      </c>
      <c r="L425" s="9" t="str">
        <f aca="false">IF($C425="","",IF($E425="SI",2,1))</f>
        <v/>
      </c>
      <c r="M425" s="9" t="str">
        <f aca="false">IF($C425="","",$K425*$L425)</f>
        <v/>
      </c>
    </row>
    <row r="426" customFormat="false" ht="15" hidden="false" customHeight="true" outlineLevel="0" collapsed="false">
      <c r="A426" s="9" t="str">
        <f aca="false">IF(Equips_usuari!A426="","",Equips_usuari!A426)</f>
        <v/>
      </c>
      <c r="B426" s="9" t="str">
        <f aca="false">IF(Equips_usuari!B426="","",Equips_usuari!B426)</f>
        <v/>
      </c>
      <c r="C426" s="9" t="str">
        <f aca="false">IF(Equips_usuari!C426="","",Equips_usuari!C426)</f>
        <v/>
      </c>
      <c r="D426" s="9" t="str">
        <f aca="false">IF(Equips_usuari!D426="","",Equips_usuari!D426)</f>
        <v/>
      </c>
      <c r="E426" s="9" t="str">
        <f aca="false">IF(Equips_usuari!F426="","",Equips_usuari!F426)</f>
        <v/>
      </c>
      <c r="F426" s="9" t="str">
        <f aca="false">IF($C426="","",SUMIFS(Resultats_jugadores!$C:$C,Resultats_jugadores!$A:$A,$A426,Resultats_jugadores!$B:$B,$C426))</f>
        <v/>
      </c>
      <c r="G426" s="9" t="str">
        <f aca="false">IF($C426="","",SUMIFS(Resultats_jugadores!$D:$D,Resultats_jugadores!$A:$A,$A426,Resultats_jugadores!$B:$B,$C426))</f>
        <v/>
      </c>
      <c r="H426" s="9" t="str">
        <f aca="false">IF($C426="","",N($F426)-N($G426))</f>
        <v/>
      </c>
      <c r="I426" s="9" t="str">
        <f aca="false">IF($C426="","",IFERROR(INDEX(Partits!$C:$C,MATCH($A426&amp;"_"&amp;$D426,Partits!$D:$D,0)),""))</f>
        <v/>
      </c>
      <c r="J426" s="9" t="str">
        <f aca="false">IF($C426="","",IF(AND($I426="V",N($H426)&gt;0),1.2,1))</f>
        <v/>
      </c>
      <c r="K426" s="9" t="str">
        <f aca="false">IF($C426="","",N($H426)*$J426)</f>
        <v/>
      </c>
      <c r="L426" s="9" t="str">
        <f aca="false">IF($C426="","",IF($E426="SI",2,1))</f>
        <v/>
      </c>
      <c r="M426" s="9" t="str">
        <f aca="false">IF($C426="","",$K426*$L426)</f>
        <v/>
      </c>
    </row>
    <row r="427" customFormat="false" ht="15" hidden="false" customHeight="true" outlineLevel="0" collapsed="false">
      <c r="A427" s="9" t="str">
        <f aca="false">IF(Equips_usuari!A427="","",Equips_usuari!A427)</f>
        <v/>
      </c>
      <c r="B427" s="9" t="str">
        <f aca="false">IF(Equips_usuari!B427="","",Equips_usuari!B427)</f>
        <v/>
      </c>
      <c r="C427" s="9" t="str">
        <f aca="false">IF(Equips_usuari!C427="","",Equips_usuari!C427)</f>
        <v/>
      </c>
      <c r="D427" s="9" t="str">
        <f aca="false">IF(Equips_usuari!D427="","",Equips_usuari!D427)</f>
        <v/>
      </c>
      <c r="E427" s="9" t="str">
        <f aca="false">IF(Equips_usuari!F427="","",Equips_usuari!F427)</f>
        <v/>
      </c>
      <c r="F427" s="9" t="str">
        <f aca="false">IF($C427="","",SUMIFS(Resultats_jugadores!$C:$C,Resultats_jugadores!$A:$A,$A427,Resultats_jugadores!$B:$B,$C427))</f>
        <v/>
      </c>
      <c r="G427" s="9" t="str">
        <f aca="false">IF($C427="","",SUMIFS(Resultats_jugadores!$D:$D,Resultats_jugadores!$A:$A,$A427,Resultats_jugadores!$B:$B,$C427))</f>
        <v/>
      </c>
      <c r="H427" s="9" t="str">
        <f aca="false">IF($C427="","",N($F427)-N($G427))</f>
        <v/>
      </c>
      <c r="I427" s="9" t="str">
        <f aca="false">IF($C427="","",IFERROR(INDEX(Partits!$C:$C,MATCH($A427&amp;"_"&amp;$D427,Partits!$D:$D,0)),""))</f>
        <v/>
      </c>
      <c r="J427" s="9" t="str">
        <f aca="false">IF($C427="","",IF(AND($I427="V",N($H427)&gt;0),1.2,1))</f>
        <v/>
      </c>
      <c r="K427" s="9" t="str">
        <f aca="false">IF($C427="","",N($H427)*$J427)</f>
        <v/>
      </c>
      <c r="L427" s="9" t="str">
        <f aca="false">IF($C427="","",IF($E427="SI",2,1))</f>
        <v/>
      </c>
      <c r="M427" s="9" t="str">
        <f aca="false">IF($C427="","",$K427*$L427)</f>
        <v/>
      </c>
    </row>
    <row r="428" customFormat="false" ht="15" hidden="false" customHeight="true" outlineLevel="0" collapsed="false">
      <c r="A428" s="9" t="str">
        <f aca="false">IF(Equips_usuari!A428="","",Equips_usuari!A428)</f>
        <v/>
      </c>
      <c r="B428" s="9" t="str">
        <f aca="false">IF(Equips_usuari!B428="","",Equips_usuari!B428)</f>
        <v/>
      </c>
      <c r="C428" s="9" t="str">
        <f aca="false">IF(Equips_usuari!C428="","",Equips_usuari!C428)</f>
        <v/>
      </c>
      <c r="D428" s="9" t="str">
        <f aca="false">IF(Equips_usuari!D428="","",Equips_usuari!D428)</f>
        <v/>
      </c>
      <c r="E428" s="9" t="str">
        <f aca="false">IF(Equips_usuari!F428="","",Equips_usuari!F428)</f>
        <v/>
      </c>
      <c r="F428" s="9" t="str">
        <f aca="false">IF($C428="","",SUMIFS(Resultats_jugadores!$C:$C,Resultats_jugadores!$A:$A,$A428,Resultats_jugadores!$B:$B,$C428))</f>
        <v/>
      </c>
      <c r="G428" s="9" t="str">
        <f aca="false">IF($C428="","",SUMIFS(Resultats_jugadores!$D:$D,Resultats_jugadores!$A:$A,$A428,Resultats_jugadores!$B:$B,$C428))</f>
        <v/>
      </c>
      <c r="H428" s="9" t="str">
        <f aca="false">IF($C428="","",N($F428)-N($G428))</f>
        <v/>
      </c>
      <c r="I428" s="9" t="str">
        <f aca="false">IF($C428="","",IFERROR(INDEX(Partits!$C:$C,MATCH($A428&amp;"_"&amp;$D428,Partits!$D:$D,0)),""))</f>
        <v/>
      </c>
      <c r="J428" s="9" t="str">
        <f aca="false">IF($C428="","",IF(AND($I428="V",N($H428)&gt;0),1.2,1))</f>
        <v/>
      </c>
      <c r="K428" s="9" t="str">
        <f aca="false">IF($C428="","",N($H428)*$J428)</f>
        <v/>
      </c>
      <c r="L428" s="9" t="str">
        <f aca="false">IF($C428="","",IF($E428="SI",2,1))</f>
        <v/>
      </c>
      <c r="M428" s="9" t="str">
        <f aca="false">IF($C428="","",$K428*$L428)</f>
        <v/>
      </c>
    </row>
    <row r="429" customFormat="false" ht="15" hidden="false" customHeight="true" outlineLevel="0" collapsed="false">
      <c r="A429" s="9" t="str">
        <f aca="false">IF(Equips_usuari!A429="","",Equips_usuari!A429)</f>
        <v/>
      </c>
      <c r="B429" s="9" t="str">
        <f aca="false">IF(Equips_usuari!B429="","",Equips_usuari!B429)</f>
        <v/>
      </c>
      <c r="C429" s="9" t="str">
        <f aca="false">IF(Equips_usuari!C429="","",Equips_usuari!C429)</f>
        <v/>
      </c>
      <c r="D429" s="9" t="str">
        <f aca="false">IF(Equips_usuari!D429="","",Equips_usuari!D429)</f>
        <v/>
      </c>
      <c r="E429" s="9" t="str">
        <f aca="false">IF(Equips_usuari!F429="","",Equips_usuari!F429)</f>
        <v/>
      </c>
      <c r="F429" s="9" t="str">
        <f aca="false">IF($C429="","",SUMIFS(Resultats_jugadores!$C:$C,Resultats_jugadores!$A:$A,$A429,Resultats_jugadores!$B:$B,$C429))</f>
        <v/>
      </c>
      <c r="G429" s="9" t="str">
        <f aca="false">IF($C429="","",SUMIFS(Resultats_jugadores!$D:$D,Resultats_jugadores!$A:$A,$A429,Resultats_jugadores!$B:$B,$C429))</f>
        <v/>
      </c>
      <c r="H429" s="9" t="str">
        <f aca="false">IF($C429="","",N($F429)-N($G429))</f>
        <v/>
      </c>
      <c r="I429" s="9" t="str">
        <f aca="false">IF($C429="","",IFERROR(INDEX(Partits!$C:$C,MATCH($A429&amp;"_"&amp;$D429,Partits!$D:$D,0)),""))</f>
        <v/>
      </c>
      <c r="J429" s="9" t="str">
        <f aca="false">IF($C429="","",IF(AND($I429="V",N($H429)&gt;0),1.2,1))</f>
        <v/>
      </c>
      <c r="K429" s="9" t="str">
        <f aca="false">IF($C429="","",N($H429)*$J429)</f>
        <v/>
      </c>
      <c r="L429" s="9" t="str">
        <f aca="false">IF($C429="","",IF($E429="SI",2,1))</f>
        <v/>
      </c>
      <c r="M429" s="9" t="str">
        <f aca="false">IF($C429="","",$K429*$L429)</f>
        <v/>
      </c>
    </row>
    <row r="430" customFormat="false" ht="15" hidden="false" customHeight="true" outlineLevel="0" collapsed="false">
      <c r="A430" s="9" t="str">
        <f aca="false">IF(Equips_usuari!A430="","",Equips_usuari!A430)</f>
        <v/>
      </c>
      <c r="B430" s="9" t="str">
        <f aca="false">IF(Equips_usuari!B430="","",Equips_usuari!B430)</f>
        <v/>
      </c>
      <c r="C430" s="9" t="str">
        <f aca="false">IF(Equips_usuari!C430="","",Equips_usuari!C430)</f>
        <v/>
      </c>
      <c r="D430" s="9" t="str">
        <f aca="false">IF(Equips_usuari!D430="","",Equips_usuari!D430)</f>
        <v/>
      </c>
      <c r="E430" s="9" t="str">
        <f aca="false">IF(Equips_usuari!F430="","",Equips_usuari!F430)</f>
        <v/>
      </c>
      <c r="F430" s="9" t="str">
        <f aca="false">IF($C430="","",SUMIFS(Resultats_jugadores!$C:$C,Resultats_jugadores!$A:$A,$A430,Resultats_jugadores!$B:$B,$C430))</f>
        <v/>
      </c>
      <c r="G430" s="9" t="str">
        <f aca="false">IF($C430="","",SUMIFS(Resultats_jugadores!$D:$D,Resultats_jugadores!$A:$A,$A430,Resultats_jugadores!$B:$B,$C430))</f>
        <v/>
      </c>
      <c r="H430" s="9" t="str">
        <f aca="false">IF($C430="","",N($F430)-N($G430))</f>
        <v/>
      </c>
      <c r="I430" s="9" t="str">
        <f aca="false">IF($C430="","",IFERROR(INDEX(Partits!$C:$C,MATCH($A430&amp;"_"&amp;$D430,Partits!$D:$D,0)),""))</f>
        <v/>
      </c>
      <c r="J430" s="9" t="str">
        <f aca="false">IF($C430="","",IF(AND($I430="V",N($H430)&gt;0),1.2,1))</f>
        <v/>
      </c>
      <c r="K430" s="9" t="str">
        <f aca="false">IF($C430="","",N($H430)*$J430)</f>
        <v/>
      </c>
      <c r="L430" s="9" t="str">
        <f aca="false">IF($C430="","",IF($E430="SI",2,1))</f>
        <v/>
      </c>
      <c r="M430" s="9" t="str">
        <f aca="false">IF($C430="","",$K430*$L430)</f>
        <v/>
      </c>
    </row>
    <row r="431" customFormat="false" ht="15" hidden="false" customHeight="true" outlineLevel="0" collapsed="false">
      <c r="A431" s="9" t="str">
        <f aca="false">IF(Equips_usuari!A431="","",Equips_usuari!A431)</f>
        <v/>
      </c>
      <c r="B431" s="9" t="str">
        <f aca="false">IF(Equips_usuari!B431="","",Equips_usuari!B431)</f>
        <v/>
      </c>
      <c r="C431" s="9" t="str">
        <f aca="false">IF(Equips_usuari!C431="","",Equips_usuari!C431)</f>
        <v/>
      </c>
      <c r="D431" s="9" t="str">
        <f aca="false">IF(Equips_usuari!D431="","",Equips_usuari!D431)</f>
        <v/>
      </c>
      <c r="E431" s="9" t="str">
        <f aca="false">IF(Equips_usuari!F431="","",Equips_usuari!F431)</f>
        <v/>
      </c>
      <c r="F431" s="9" t="str">
        <f aca="false">IF($C431="","",SUMIFS(Resultats_jugadores!$C:$C,Resultats_jugadores!$A:$A,$A431,Resultats_jugadores!$B:$B,$C431))</f>
        <v/>
      </c>
      <c r="G431" s="9" t="str">
        <f aca="false">IF($C431="","",SUMIFS(Resultats_jugadores!$D:$D,Resultats_jugadores!$A:$A,$A431,Resultats_jugadores!$B:$B,$C431))</f>
        <v/>
      </c>
      <c r="H431" s="9" t="str">
        <f aca="false">IF($C431="","",N($F431)-N($G431))</f>
        <v/>
      </c>
      <c r="I431" s="9" t="str">
        <f aca="false">IF($C431="","",IFERROR(INDEX(Partits!$C:$C,MATCH($A431&amp;"_"&amp;$D431,Partits!$D:$D,0)),""))</f>
        <v/>
      </c>
      <c r="J431" s="9" t="str">
        <f aca="false">IF($C431="","",IF(AND($I431="V",N($H431)&gt;0),1.2,1))</f>
        <v/>
      </c>
      <c r="K431" s="9" t="str">
        <f aca="false">IF($C431="","",N($H431)*$J431)</f>
        <v/>
      </c>
      <c r="L431" s="9" t="str">
        <f aca="false">IF($C431="","",IF($E431="SI",2,1))</f>
        <v/>
      </c>
      <c r="M431" s="9" t="str">
        <f aca="false">IF($C431="","",$K431*$L431)</f>
        <v/>
      </c>
    </row>
    <row r="432" customFormat="false" ht="15" hidden="false" customHeight="true" outlineLevel="0" collapsed="false">
      <c r="A432" s="9" t="str">
        <f aca="false">IF(Equips_usuari!A432="","",Equips_usuari!A432)</f>
        <v/>
      </c>
      <c r="B432" s="9" t="str">
        <f aca="false">IF(Equips_usuari!B432="","",Equips_usuari!B432)</f>
        <v/>
      </c>
      <c r="C432" s="9" t="str">
        <f aca="false">IF(Equips_usuari!C432="","",Equips_usuari!C432)</f>
        <v/>
      </c>
      <c r="D432" s="9" t="str">
        <f aca="false">IF(Equips_usuari!D432="","",Equips_usuari!D432)</f>
        <v/>
      </c>
      <c r="E432" s="9" t="str">
        <f aca="false">IF(Equips_usuari!F432="","",Equips_usuari!F432)</f>
        <v/>
      </c>
      <c r="F432" s="9" t="str">
        <f aca="false">IF($C432="","",SUMIFS(Resultats_jugadores!$C:$C,Resultats_jugadores!$A:$A,$A432,Resultats_jugadores!$B:$B,$C432))</f>
        <v/>
      </c>
      <c r="G432" s="9" t="str">
        <f aca="false">IF($C432="","",SUMIFS(Resultats_jugadores!$D:$D,Resultats_jugadores!$A:$A,$A432,Resultats_jugadores!$B:$B,$C432))</f>
        <v/>
      </c>
      <c r="H432" s="9" t="str">
        <f aca="false">IF($C432="","",N($F432)-N($G432))</f>
        <v/>
      </c>
      <c r="I432" s="9" t="str">
        <f aca="false">IF($C432="","",IFERROR(INDEX(Partits!$C:$C,MATCH($A432&amp;"_"&amp;$D432,Partits!$D:$D,0)),""))</f>
        <v/>
      </c>
      <c r="J432" s="9" t="str">
        <f aca="false">IF($C432="","",IF(AND($I432="V",N($H432)&gt;0),1.2,1))</f>
        <v/>
      </c>
      <c r="K432" s="9" t="str">
        <f aca="false">IF($C432="","",N($H432)*$J432)</f>
        <v/>
      </c>
      <c r="L432" s="9" t="str">
        <f aca="false">IF($C432="","",IF($E432="SI",2,1))</f>
        <v/>
      </c>
      <c r="M432" s="9" t="str">
        <f aca="false">IF($C432="","",$K432*$L432)</f>
        <v/>
      </c>
    </row>
    <row r="433" customFormat="false" ht="15" hidden="false" customHeight="true" outlineLevel="0" collapsed="false">
      <c r="A433" s="9" t="str">
        <f aca="false">IF(Equips_usuari!A433="","",Equips_usuari!A433)</f>
        <v/>
      </c>
      <c r="B433" s="9" t="str">
        <f aca="false">IF(Equips_usuari!B433="","",Equips_usuari!B433)</f>
        <v/>
      </c>
      <c r="C433" s="9" t="str">
        <f aca="false">IF(Equips_usuari!C433="","",Equips_usuari!C433)</f>
        <v/>
      </c>
      <c r="D433" s="9" t="str">
        <f aca="false">IF(Equips_usuari!D433="","",Equips_usuari!D433)</f>
        <v/>
      </c>
      <c r="E433" s="9" t="str">
        <f aca="false">IF(Equips_usuari!F433="","",Equips_usuari!F433)</f>
        <v/>
      </c>
      <c r="F433" s="9" t="str">
        <f aca="false">IF($C433="","",SUMIFS(Resultats_jugadores!$C:$C,Resultats_jugadores!$A:$A,$A433,Resultats_jugadores!$B:$B,$C433))</f>
        <v/>
      </c>
      <c r="G433" s="9" t="str">
        <f aca="false">IF($C433="","",SUMIFS(Resultats_jugadores!$D:$D,Resultats_jugadores!$A:$A,$A433,Resultats_jugadores!$B:$B,$C433))</f>
        <v/>
      </c>
      <c r="H433" s="9" t="str">
        <f aca="false">IF($C433="","",N($F433)-N($G433))</f>
        <v/>
      </c>
      <c r="I433" s="9" t="str">
        <f aca="false">IF($C433="","",IFERROR(INDEX(Partits!$C:$C,MATCH($A433&amp;"_"&amp;$D433,Partits!$D:$D,0)),""))</f>
        <v/>
      </c>
      <c r="J433" s="9" t="str">
        <f aca="false">IF($C433="","",IF(AND($I433="V",N($H433)&gt;0),1.2,1))</f>
        <v/>
      </c>
      <c r="K433" s="9" t="str">
        <f aca="false">IF($C433="","",N($H433)*$J433)</f>
        <v/>
      </c>
      <c r="L433" s="9" t="str">
        <f aca="false">IF($C433="","",IF($E433="SI",2,1))</f>
        <v/>
      </c>
      <c r="M433" s="9" t="str">
        <f aca="false">IF($C433="","",$K433*$L433)</f>
        <v/>
      </c>
    </row>
    <row r="434" customFormat="false" ht="15" hidden="false" customHeight="true" outlineLevel="0" collapsed="false">
      <c r="A434" s="9" t="str">
        <f aca="false">IF(Equips_usuari!A434="","",Equips_usuari!A434)</f>
        <v/>
      </c>
      <c r="B434" s="9" t="str">
        <f aca="false">IF(Equips_usuari!B434="","",Equips_usuari!B434)</f>
        <v/>
      </c>
      <c r="C434" s="9" t="str">
        <f aca="false">IF(Equips_usuari!C434="","",Equips_usuari!C434)</f>
        <v/>
      </c>
      <c r="D434" s="9" t="str">
        <f aca="false">IF(Equips_usuari!D434="","",Equips_usuari!D434)</f>
        <v/>
      </c>
      <c r="E434" s="9" t="str">
        <f aca="false">IF(Equips_usuari!F434="","",Equips_usuari!F434)</f>
        <v/>
      </c>
      <c r="F434" s="9" t="str">
        <f aca="false">IF($C434="","",SUMIFS(Resultats_jugadores!$C:$C,Resultats_jugadores!$A:$A,$A434,Resultats_jugadores!$B:$B,$C434))</f>
        <v/>
      </c>
      <c r="G434" s="9" t="str">
        <f aca="false">IF($C434="","",SUMIFS(Resultats_jugadores!$D:$D,Resultats_jugadores!$A:$A,$A434,Resultats_jugadores!$B:$B,$C434))</f>
        <v/>
      </c>
      <c r="H434" s="9" t="str">
        <f aca="false">IF($C434="","",N($F434)-N($G434))</f>
        <v/>
      </c>
      <c r="I434" s="9" t="str">
        <f aca="false">IF($C434="","",IFERROR(INDEX(Partits!$C:$C,MATCH($A434&amp;"_"&amp;$D434,Partits!$D:$D,0)),""))</f>
        <v/>
      </c>
      <c r="J434" s="9" t="str">
        <f aca="false">IF($C434="","",IF(AND($I434="V",N($H434)&gt;0),1.2,1))</f>
        <v/>
      </c>
      <c r="K434" s="9" t="str">
        <f aca="false">IF($C434="","",N($H434)*$J434)</f>
        <v/>
      </c>
      <c r="L434" s="9" t="str">
        <f aca="false">IF($C434="","",IF($E434="SI",2,1))</f>
        <v/>
      </c>
      <c r="M434" s="9" t="str">
        <f aca="false">IF($C434="","",$K434*$L434)</f>
        <v/>
      </c>
    </row>
    <row r="435" customFormat="false" ht="15" hidden="false" customHeight="true" outlineLevel="0" collapsed="false">
      <c r="A435" s="9" t="str">
        <f aca="false">IF(Equips_usuari!A435="","",Equips_usuari!A435)</f>
        <v/>
      </c>
      <c r="B435" s="9" t="str">
        <f aca="false">IF(Equips_usuari!B435="","",Equips_usuari!B435)</f>
        <v/>
      </c>
      <c r="C435" s="9" t="str">
        <f aca="false">IF(Equips_usuari!C435="","",Equips_usuari!C435)</f>
        <v/>
      </c>
      <c r="D435" s="9" t="str">
        <f aca="false">IF(Equips_usuari!D435="","",Equips_usuari!D435)</f>
        <v/>
      </c>
      <c r="E435" s="9" t="str">
        <f aca="false">IF(Equips_usuari!F435="","",Equips_usuari!F435)</f>
        <v/>
      </c>
      <c r="F435" s="9" t="str">
        <f aca="false">IF($C435="","",SUMIFS(Resultats_jugadores!$C:$C,Resultats_jugadores!$A:$A,$A435,Resultats_jugadores!$B:$B,$C435))</f>
        <v/>
      </c>
      <c r="G435" s="9" t="str">
        <f aca="false">IF($C435="","",SUMIFS(Resultats_jugadores!$D:$D,Resultats_jugadores!$A:$A,$A435,Resultats_jugadores!$B:$B,$C435))</f>
        <v/>
      </c>
      <c r="H435" s="9" t="str">
        <f aca="false">IF($C435="","",N($F435)-N($G435))</f>
        <v/>
      </c>
      <c r="I435" s="9" t="str">
        <f aca="false">IF($C435="","",IFERROR(INDEX(Partits!$C:$C,MATCH($A435&amp;"_"&amp;$D435,Partits!$D:$D,0)),""))</f>
        <v/>
      </c>
      <c r="J435" s="9" t="str">
        <f aca="false">IF($C435="","",IF(AND($I435="V",N($H435)&gt;0),1.2,1))</f>
        <v/>
      </c>
      <c r="K435" s="9" t="str">
        <f aca="false">IF($C435="","",N($H435)*$J435)</f>
        <v/>
      </c>
      <c r="L435" s="9" t="str">
        <f aca="false">IF($C435="","",IF($E435="SI",2,1))</f>
        <v/>
      </c>
      <c r="M435" s="9" t="str">
        <f aca="false">IF($C435="","",$K435*$L435)</f>
        <v/>
      </c>
    </row>
    <row r="436" customFormat="false" ht="15" hidden="false" customHeight="true" outlineLevel="0" collapsed="false">
      <c r="A436" s="9" t="str">
        <f aca="false">IF(Equips_usuari!A436="","",Equips_usuari!A436)</f>
        <v/>
      </c>
      <c r="B436" s="9" t="str">
        <f aca="false">IF(Equips_usuari!B436="","",Equips_usuari!B436)</f>
        <v/>
      </c>
      <c r="C436" s="9" t="str">
        <f aca="false">IF(Equips_usuari!C436="","",Equips_usuari!C436)</f>
        <v/>
      </c>
      <c r="D436" s="9" t="str">
        <f aca="false">IF(Equips_usuari!D436="","",Equips_usuari!D436)</f>
        <v/>
      </c>
      <c r="E436" s="9" t="str">
        <f aca="false">IF(Equips_usuari!F436="","",Equips_usuari!F436)</f>
        <v/>
      </c>
      <c r="F436" s="9" t="str">
        <f aca="false">IF($C436="","",SUMIFS(Resultats_jugadores!$C:$C,Resultats_jugadores!$A:$A,$A436,Resultats_jugadores!$B:$B,$C436))</f>
        <v/>
      </c>
      <c r="G436" s="9" t="str">
        <f aca="false">IF($C436="","",SUMIFS(Resultats_jugadores!$D:$D,Resultats_jugadores!$A:$A,$A436,Resultats_jugadores!$B:$B,$C436))</f>
        <v/>
      </c>
      <c r="H436" s="9" t="str">
        <f aca="false">IF($C436="","",N($F436)-N($G436))</f>
        <v/>
      </c>
      <c r="I436" s="9" t="str">
        <f aca="false">IF($C436="","",IFERROR(INDEX(Partits!$C:$C,MATCH($A436&amp;"_"&amp;$D436,Partits!$D:$D,0)),""))</f>
        <v/>
      </c>
      <c r="J436" s="9" t="str">
        <f aca="false">IF($C436="","",IF(AND($I436="V",N($H436)&gt;0),1.2,1))</f>
        <v/>
      </c>
      <c r="K436" s="9" t="str">
        <f aca="false">IF($C436="","",N($H436)*$J436)</f>
        <v/>
      </c>
      <c r="L436" s="9" t="str">
        <f aca="false">IF($C436="","",IF($E436="SI",2,1))</f>
        <v/>
      </c>
      <c r="M436" s="9" t="str">
        <f aca="false">IF($C436="","",$K436*$L436)</f>
        <v/>
      </c>
    </row>
    <row r="437" customFormat="false" ht="15" hidden="false" customHeight="true" outlineLevel="0" collapsed="false">
      <c r="A437" s="9" t="str">
        <f aca="false">IF(Equips_usuari!A437="","",Equips_usuari!A437)</f>
        <v/>
      </c>
      <c r="B437" s="9" t="str">
        <f aca="false">IF(Equips_usuari!B437="","",Equips_usuari!B437)</f>
        <v/>
      </c>
      <c r="C437" s="9" t="str">
        <f aca="false">IF(Equips_usuari!C437="","",Equips_usuari!C437)</f>
        <v/>
      </c>
      <c r="D437" s="9" t="str">
        <f aca="false">IF(Equips_usuari!D437="","",Equips_usuari!D437)</f>
        <v/>
      </c>
      <c r="E437" s="9" t="str">
        <f aca="false">IF(Equips_usuari!F437="","",Equips_usuari!F437)</f>
        <v/>
      </c>
      <c r="F437" s="9" t="str">
        <f aca="false">IF($C437="","",SUMIFS(Resultats_jugadores!$C:$C,Resultats_jugadores!$A:$A,$A437,Resultats_jugadores!$B:$B,$C437))</f>
        <v/>
      </c>
      <c r="G437" s="9" t="str">
        <f aca="false">IF($C437="","",SUMIFS(Resultats_jugadores!$D:$D,Resultats_jugadores!$A:$A,$A437,Resultats_jugadores!$B:$B,$C437))</f>
        <v/>
      </c>
      <c r="H437" s="9" t="str">
        <f aca="false">IF($C437="","",N($F437)-N($G437))</f>
        <v/>
      </c>
      <c r="I437" s="9" t="str">
        <f aca="false">IF($C437="","",IFERROR(INDEX(Partits!$C:$C,MATCH($A437&amp;"_"&amp;$D437,Partits!$D:$D,0)),""))</f>
        <v/>
      </c>
      <c r="J437" s="9" t="str">
        <f aca="false">IF($C437="","",IF(AND($I437="V",N($H437)&gt;0),1.2,1))</f>
        <v/>
      </c>
      <c r="K437" s="9" t="str">
        <f aca="false">IF($C437="","",N($H437)*$J437)</f>
        <v/>
      </c>
      <c r="L437" s="9" t="str">
        <f aca="false">IF($C437="","",IF($E437="SI",2,1))</f>
        <v/>
      </c>
      <c r="M437" s="9" t="str">
        <f aca="false">IF($C437="","",$K437*$L437)</f>
        <v/>
      </c>
    </row>
    <row r="438" customFormat="false" ht="15" hidden="false" customHeight="true" outlineLevel="0" collapsed="false">
      <c r="A438" s="9" t="str">
        <f aca="false">IF(Equips_usuari!A438="","",Equips_usuari!A438)</f>
        <v/>
      </c>
      <c r="B438" s="9" t="str">
        <f aca="false">IF(Equips_usuari!B438="","",Equips_usuari!B438)</f>
        <v/>
      </c>
      <c r="C438" s="9" t="str">
        <f aca="false">IF(Equips_usuari!C438="","",Equips_usuari!C438)</f>
        <v/>
      </c>
      <c r="D438" s="9" t="str">
        <f aca="false">IF(Equips_usuari!D438="","",Equips_usuari!D438)</f>
        <v/>
      </c>
      <c r="E438" s="9" t="str">
        <f aca="false">IF(Equips_usuari!F438="","",Equips_usuari!F438)</f>
        <v/>
      </c>
      <c r="F438" s="9" t="str">
        <f aca="false">IF($C438="","",SUMIFS(Resultats_jugadores!$C:$C,Resultats_jugadores!$A:$A,$A438,Resultats_jugadores!$B:$B,$C438))</f>
        <v/>
      </c>
      <c r="G438" s="9" t="str">
        <f aca="false">IF($C438="","",SUMIFS(Resultats_jugadores!$D:$D,Resultats_jugadores!$A:$A,$A438,Resultats_jugadores!$B:$B,$C438))</f>
        <v/>
      </c>
      <c r="H438" s="9" t="str">
        <f aca="false">IF($C438="","",N($F438)-N($G438))</f>
        <v/>
      </c>
      <c r="I438" s="9" t="str">
        <f aca="false">IF($C438="","",IFERROR(INDEX(Partits!$C:$C,MATCH($A438&amp;"_"&amp;$D438,Partits!$D:$D,0)),""))</f>
        <v/>
      </c>
      <c r="J438" s="9" t="str">
        <f aca="false">IF($C438="","",IF(AND($I438="V",N($H438)&gt;0),1.2,1))</f>
        <v/>
      </c>
      <c r="K438" s="9" t="str">
        <f aca="false">IF($C438="","",N($H438)*$J438)</f>
        <v/>
      </c>
      <c r="L438" s="9" t="str">
        <f aca="false">IF($C438="","",IF($E438="SI",2,1))</f>
        <v/>
      </c>
      <c r="M438" s="9" t="str">
        <f aca="false">IF($C438="","",$K438*$L438)</f>
        <v/>
      </c>
    </row>
    <row r="439" customFormat="false" ht="15" hidden="false" customHeight="true" outlineLevel="0" collapsed="false">
      <c r="A439" s="9" t="str">
        <f aca="false">IF(Equips_usuari!A439="","",Equips_usuari!A439)</f>
        <v/>
      </c>
      <c r="B439" s="9" t="str">
        <f aca="false">IF(Equips_usuari!B439="","",Equips_usuari!B439)</f>
        <v/>
      </c>
      <c r="C439" s="9" t="str">
        <f aca="false">IF(Equips_usuari!C439="","",Equips_usuari!C439)</f>
        <v/>
      </c>
      <c r="D439" s="9" t="str">
        <f aca="false">IF(Equips_usuari!D439="","",Equips_usuari!D439)</f>
        <v/>
      </c>
      <c r="E439" s="9" t="str">
        <f aca="false">IF(Equips_usuari!F439="","",Equips_usuari!F439)</f>
        <v/>
      </c>
      <c r="F439" s="9" t="str">
        <f aca="false">IF($C439="","",SUMIFS(Resultats_jugadores!$C:$C,Resultats_jugadores!$A:$A,$A439,Resultats_jugadores!$B:$B,$C439))</f>
        <v/>
      </c>
      <c r="G439" s="9" t="str">
        <f aca="false">IF($C439="","",SUMIFS(Resultats_jugadores!$D:$D,Resultats_jugadores!$A:$A,$A439,Resultats_jugadores!$B:$B,$C439))</f>
        <v/>
      </c>
      <c r="H439" s="9" t="str">
        <f aca="false">IF($C439="","",N($F439)-N($G439))</f>
        <v/>
      </c>
      <c r="I439" s="9" t="str">
        <f aca="false">IF($C439="","",IFERROR(INDEX(Partits!$C:$C,MATCH($A439&amp;"_"&amp;$D439,Partits!$D:$D,0)),""))</f>
        <v/>
      </c>
      <c r="J439" s="9" t="str">
        <f aca="false">IF($C439="","",IF(AND($I439="V",N($H439)&gt;0),1.2,1))</f>
        <v/>
      </c>
      <c r="K439" s="9" t="str">
        <f aca="false">IF($C439="","",N($H439)*$J439)</f>
        <v/>
      </c>
      <c r="L439" s="9" t="str">
        <f aca="false">IF($C439="","",IF($E439="SI",2,1))</f>
        <v/>
      </c>
      <c r="M439" s="9" t="str">
        <f aca="false">IF($C439="","",$K439*$L439)</f>
        <v/>
      </c>
    </row>
    <row r="440" customFormat="false" ht="15" hidden="false" customHeight="true" outlineLevel="0" collapsed="false">
      <c r="A440" s="9" t="str">
        <f aca="false">IF(Equips_usuari!A440="","",Equips_usuari!A440)</f>
        <v/>
      </c>
      <c r="B440" s="9" t="str">
        <f aca="false">IF(Equips_usuari!B440="","",Equips_usuari!B440)</f>
        <v/>
      </c>
      <c r="C440" s="9" t="str">
        <f aca="false">IF(Equips_usuari!C440="","",Equips_usuari!C440)</f>
        <v/>
      </c>
      <c r="D440" s="9" t="str">
        <f aca="false">IF(Equips_usuari!D440="","",Equips_usuari!D440)</f>
        <v/>
      </c>
      <c r="E440" s="9" t="str">
        <f aca="false">IF(Equips_usuari!F440="","",Equips_usuari!F440)</f>
        <v/>
      </c>
      <c r="F440" s="9" t="str">
        <f aca="false">IF($C440="","",SUMIFS(Resultats_jugadores!$C:$C,Resultats_jugadores!$A:$A,$A440,Resultats_jugadores!$B:$B,$C440))</f>
        <v/>
      </c>
      <c r="G440" s="9" t="str">
        <f aca="false">IF($C440="","",SUMIFS(Resultats_jugadores!$D:$D,Resultats_jugadores!$A:$A,$A440,Resultats_jugadores!$B:$B,$C440))</f>
        <v/>
      </c>
      <c r="H440" s="9" t="str">
        <f aca="false">IF($C440="","",N($F440)-N($G440))</f>
        <v/>
      </c>
      <c r="I440" s="9" t="str">
        <f aca="false">IF($C440="","",IFERROR(INDEX(Partits!$C:$C,MATCH($A440&amp;"_"&amp;$D440,Partits!$D:$D,0)),""))</f>
        <v/>
      </c>
      <c r="J440" s="9" t="str">
        <f aca="false">IF($C440="","",IF(AND($I440="V",N($H440)&gt;0),1.2,1))</f>
        <v/>
      </c>
      <c r="K440" s="9" t="str">
        <f aca="false">IF($C440="","",N($H440)*$J440)</f>
        <v/>
      </c>
      <c r="L440" s="9" t="str">
        <f aca="false">IF($C440="","",IF($E440="SI",2,1))</f>
        <v/>
      </c>
      <c r="M440" s="9" t="str">
        <f aca="false">IF($C440="","",$K440*$L440)</f>
        <v/>
      </c>
    </row>
    <row r="441" customFormat="false" ht="15" hidden="false" customHeight="true" outlineLevel="0" collapsed="false">
      <c r="A441" s="9" t="str">
        <f aca="false">IF(Equips_usuari!A441="","",Equips_usuari!A441)</f>
        <v/>
      </c>
      <c r="B441" s="9" t="str">
        <f aca="false">IF(Equips_usuari!B441="","",Equips_usuari!B441)</f>
        <v/>
      </c>
      <c r="C441" s="9" t="str">
        <f aca="false">IF(Equips_usuari!C441="","",Equips_usuari!C441)</f>
        <v/>
      </c>
      <c r="D441" s="9" t="str">
        <f aca="false">IF(Equips_usuari!D441="","",Equips_usuari!D441)</f>
        <v/>
      </c>
      <c r="E441" s="9" t="str">
        <f aca="false">IF(Equips_usuari!F441="","",Equips_usuari!F441)</f>
        <v/>
      </c>
      <c r="F441" s="9" t="str">
        <f aca="false">IF($C441="","",SUMIFS(Resultats_jugadores!$C:$C,Resultats_jugadores!$A:$A,$A441,Resultats_jugadores!$B:$B,$C441))</f>
        <v/>
      </c>
      <c r="G441" s="9" t="str">
        <f aca="false">IF($C441="","",SUMIFS(Resultats_jugadores!$D:$D,Resultats_jugadores!$A:$A,$A441,Resultats_jugadores!$B:$B,$C441))</f>
        <v/>
      </c>
      <c r="H441" s="9" t="str">
        <f aca="false">IF($C441="","",N($F441)-N($G441))</f>
        <v/>
      </c>
      <c r="I441" s="9" t="str">
        <f aca="false">IF($C441="","",IFERROR(INDEX(Partits!$C:$C,MATCH($A441&amp;"_"&amp;$D441,Partits!$D:$D,0)),""))</f>
        <v/>
      </c>
      <c r="J441" s="9" t="str">
        <f aca="false">IF($C441="","",IF(AND($I441="V",N($H441)&gt;0),1.2,1))</f>
        <v/>
      </c>
      <c r="K441" s="9" t="str">
        <f aca="false">IF($C441="","",N($H441)*$J441)</f>
        <v/>
      </c>
      <c r="L441" s="9" t="str">
        <f aca="false">IF($C441="","",IF($E441="SI",2,1))</f>
        <v/>
      </c>
      <c r="M441" s="9" t="str">
        <f aca="false">IF($C441="","",$K441*$L441)</f>
        <v/>
      </c>
    </row>
    <row r="442" customFormat="false" ht="15" hidden="false" customHeight="true" outlineLevel="0" collapsed="false">
      <c r="A442" s="9" t="str">
        <f aca="false">IF(Equips_usuari!A442="","",Equips_usuari!A442)</f>
        <v/>
      </c>
      <c r="B442" s="9" t="str">
        <f aca="false">IF(Equips_usuari!B442="","",Equips_usuari!B442)</f>
        <v/>
      </c>
      <c r="C442" s="9" t="str">
        <f aca="false">IF(Equips_usuari!C442="","",Equips_usuari!C442)</f>
        <v/>
      </c>
      <c r="D442" s="9" t="str">
        <f aca="false">IF(Equips_usuari!D442="","",Equips_usuari!D442)</f>
        <v/>
      </c>
      <c r="E442" s="9" t="str">
        <f aca="false">IF(Equips_usuari!F442="","",Equips_usuari!F442)</f>
        <v/>
      </c>
      <c r="F442" s="9" t="str">
        <f aca="false">IF($C442="","",SUMIFS(Resultats_jugadores!$C:$C,Resultats_jugadores!$A:$A,$A442,Resultats_jugadores!$B:$B,$C442))</f>
        <v/>
      </c>
      <c r="G442" s="9" t="str">
        <f aca="false">IF($C442="","",SUMIFS(Resultats_jugadores!$D:$D,Resultats_jugadores!$A:$A,$A442,Resultats_jugadores!$B:$B,$C442))</f>
        <v/>
      </c>
      <c r="H442" s="9" t="str">
        <f aca="false">IF($C442="","",N($F442)-N($G442))</f>
        <v/>
      </c>
      <c r="I442" s="9" t="str">
        <f aca="false">IF($C442="","",IFERROR(INDEX(Partits!$C:$C,MATCH($A442&amp;"_"&amp;$D442,Partits!$D:$D,0)),""))</f>
        <v/>
      </c>
      <c r="J442" s="9" t="str">
        <f aca="false">IF($C442="","",IF(AND($I442="V",N($H442)&gt;0),1.2,1))</f>
        <v/>
      </c>
      <c r="K442" s="9" t="str">
        <f aca="false">IF($C442="","",N($H442)*$J442)</f>
        <v/>
      </c>
      <c r="L442" s="9" t="str">
        <f aca="false">IF($C442="","",IF($E442="SI",2,1))</f>
        <v/>
      </c>
      <c r="M442" s="9" t="str">
        <f aca="false">IF($C442="","",$K442*$L442)</f>
        <v/>
      </c>
    </row>
    <row r="443" customFormat="false" ht="15" hidden="false" customHeight="true" outlineLevel="0" collapsed="false">
      <c r="A443" s="9" t="str">
        <f aca="false">IF(Equips_usuari!A443="","",Equips_usuari!A443)</f>
        <v/>
      </c>
      <c r="B443" s="9" t="str">
        <f aca="false">IF(Equips_usuari!B443="","",Equips_usuari!B443)</f>
        <v/>
      </c>
      <c r="C443" s="9" t="str">
        <f aca="false">IF(Equips_usuari!C443="","",Equips_usuari!C443)</f>
        <v/>
      </c>
      <c r="D443" s="9" t="str">
        <f aca="false">IF(Equips_usuari!D443="","",Equips_usuari!D443)</f>
        <v/>
      </c>
      <c r="E443" s="9" t="str">
        <f aca="false">IF(Equips_usuari!F443="","",Equips_usuari!F443)</f>
        <v/>
      </c>
      <c r="F443" s="9" t="str">
        <f aca="false">IF($C443="","",SUMIFS(Resultats_jugadores!$C:$C,Resultats_jugadores!$A:$A,$A443,Resultats_jugadores!$B:$B,$C443))</f>
        <v/>
      </c>
      <c r="G443" s="9" t="str">
        <f aca="false">IF($C443="","",SUMIFS(Resultats_jugadores!$D:$D,Resultats_jugadores!$A:$A,$A443,Resultats_jugadores!$B:$B,$C443))</f>
        <v/>
      </c>
      <c r="H443" s="9" t="str">
        <f aca="false">IF($C443="","",N($F443)-N($G443))</f>
        <v/>
      </c>
      <c r="I443" s="9" t="str">
        <f aca="false">IF($C443="","",IFERROR(INDEX(Partits!$C:$C,MATCH($A443&amp;"_"&amp;$D443,Partits!$D:$D,0)),""))</f>
        <v/>
      </c>
      <c r="J443" s="9" t="str">
        <f aca="false">IF($C443="","",IF(AND($I443="V",N($H443)&gt;0),1.2,1))</f>
        <v/>
      </c>
      <c r="K443" s="9" t="str">
        <f aca="false">IF($C443="","",N($H443)*$J443)</f>
        <v/>
      </c>
      <c r="L443" s="9" t="str">
        <f aca="false">IF($C443="","",IF($E443="SI",2,1))</f>
        <v/>
      </c>
      <c r="M443" s="9" t="str">
        <f aca="false">IF($C443="","",$K443*$L443)</f>
        <v/>
      </c>
    </row>
    <row r="444" customFormat="false" ht="15" hidden="false" customHeight="true" outlineLevel="0" collapsed="false">
      <c r="A444" s="9" t="str">
        <f aca="false">IF(Equips_usuari!A444="","",Equips_usuari!A444)</f>
        <v/>
      </c>
      <c r="B444" s="9" t="str">
        <f aca="false">IF(Equips_usuari!B444="","",Equips_usuari!B444)</f>
        <v/>
      </c>
      <c r="C444" s="9" t="str">
        <f aca="false">IF(Equips_usuari!C444="","",Equips_usuari!C444)</f>
        <v/>
      </c>
      <c r="D444" s="9" t="str">
        <f aca="false">IF(Equips_usuari!D444="","",Equips_usuari!D444)</f>
        <v/>
      </c>
      <c r="E444" s="9" t="str">
        <f aca="false">IF(Equips_usuari!F444="","",Equips_usuari!F444)</f>
        <v/>
      </c>
      <c r="F444" s="9" t="str">
        <f aca="false">IF($C444="","",SUMIFS(Resultats_jugadores!$C:$C,Resultats_jugadores!$A:$A,$A444,Resultats_jugadores!$B:$B,$C444))</f>
        <v/>
      </c>
      <c r="G444" s="9" t="str">
        <f aca="false">IF($C444="","",SUMIFS(Resultats_jugadores!$D:$D,Resultats_jugadores!$A:$A,$A444,Resultats_jugadores!$B:$B,$C444))</f>
        <v/>
      </c>
      <c r="H444" s="9" t="str">
        <f aca="false">IF($C444="","",N($F444)-N($G444))</f>
        <v/>
      </c>
      <c r="I444" s="9" t="str">
        <f aca="false">IF($C444="","",IFERROR(INDEX(Partits!$C:$C,MATCH($A444&amp;"_"&amp;$D444,Partits!$D:$D,0)),""))</f>
        <v/>
      </c>
      <c r="J444" s="9" t="str">
        <f aca="false">IF($C444="","",IF(AND($I444="V",N($H444)&gt;0),1.2,1))</f>
        <v/>
      </c>
      <c r="K444" s="9" t="str">
        <f aca="false">IF($C444="","",N($H444)*$J444)</f>
        <v/>
      </c>
      <c r="L444" s="9" t="str">
        <f aca="false">IF($C444="","",IF($E444="SI",2,1))</f>
        <v/>
      </c>
      <c r="M444" s="9" t="str">
        <f aca="false">IF($C444="","",$K444*$L444)</f>
        <v/>
      </c>
    </row>
    <row r="445" customFormat="false" ht="15" hidden="false" customHeight="true" outlineLevel="0" collapsed="false">
      <c r="A445" s="9" t="str">
        <f aca="false">IF(Equips_usuari!A445="","",Equips_usuari!A445)</f>
        <v/>
      </c>
      <c r="B445" s="9" t="str">
        <f aca="false">IF(Equips_usuari!B445="","",Equips_usuari!B445)</f>
        <v/>
      </c>
      <c r="C445" s="9" t="str">
        <f aca="false">IF(Equips_usuari!C445="","",Equips_usuari!C445)</f>
        <v/>
      </c>
      <c r="D445" s="9" t="str">
        <f aca="false">IF(Equips_usuari!D445="","",Equips_usuari!D445)</f>
        <v/>
      </c>
      <c r="E445" s="9" t="str">
        <f aca="false">IF(Equips_usuari!F445="","",Equips_usuari!F445)</f>
        <v/>
      </c>
      <c r="F445" s="9" t="str">
        <f aca="false">IF($C445="","",SUMIFS(Resultats_jugadores!$C:$C,Resultats_jugadores!$A:$A,$A445,Resultats_jugadores!$B:$B,$C445))</f>
        <v/>
      </c>
      <c r="G445" s="9" t="str">
        <f aca="false">IF($C445="","",SUMIFS(Resultats_jugadores!$D:$D,Resultats_jugadores!$A:$A,$A445,Resultats_jugadores!$B:$B,$C445))</f>
        <v/>
      </c>
      <c r="H445" s="9" t="str">
        <f aca="false">IF($C445="","",N($F445)-N($G445))</f>
        <v/>
      </c>
      <c r="I445" s="9" t="str">
        <f aca="false">IF($C445="","",IFERROR(INDEX(Partits!$C:$C,MATCH($A445&amp;"_"&amp;$D445,Partits!$D:$D,0)),""))</f>
        <v/>
      </c>
      <c r="J445" s="9" t="str">
        <f aca="false">IF($C445="","",IF(AND($I445="V",N($H445)&gt;0),1.2,1))</f>
        <v/>
      </c>
      <c r="K445" s="9" t="str">
        <f aca="false">IF($C445="","",N($H445)*$J445)</f>
        <v/>
      </c>
      <c r="L445" s="9" t="str">
        <f aca="false">IF($C445="","",IF($E445="SI",2,1))</f>
        <v/>
      </c>
      <c r="M445" s="9" t="str">
        <f aca="false">IF($C445="","",$K445*$L445)</f>
        <v/>
      </c>
    </row>
    <row r="446" customFormat="false" ht="15" hidden="false" customHeight="true" outlineLevel="0" collapsed="false">
      <c r="A446" s="9" t="str">
        <f aca="false">IF(Equips_usuari!A446="","",Equips_usuari!A446)</f>
        <v/>
      </c>
      <c r="B446" s="9" t="str">
        <f aca="false">IF(Equips_usuari!B446="","",Equips_usuari!B446)</f>
        <v/>
      </c>
      <c r="C446" s="9" t="str">
        <f aca="false">IF(Equips_usuari!C446="","",Equips_usuari!C446)</f>
        <v/>
      </c>
      <c r="D446" s="9" t="str">
        <f aca="false">IF(Equips_usuari!D446="","",Equips_usuari!D446)</f>
        <v/>
      </c>
      <c r="E446" s="9" t="str">
        <f aca="false">IF(Equips_usuari!F446="","",Equips_usuari!F446)</f>
        <v/>
      </c>
      <c r="F446" s="9" t="str">
        <f aca="false">IF($C446="","",SUMIFS(Resultats_jugadores!$C:$C,Resultats_jugadores!$A:$A,$A446,Resultats_jugadores!$B:$B,$C446))</f>
        <v/>
      </c>
      <c r="G446" s="9" t="str">
        <f aca="false">IF($C446="","",SUMIFS(Resultats_jugadores!$D:$D,Resultats_jugadores!$A:$A,$A446,Resultats_jugadores!$B:$B,$C446))</f>
        <v/>
      </c>
      <c r="H446" s="9" t="str">
        <f aca="false">IF($C446="","",N($F446)-N($G446))</f>
        <v/>
      </c>
      <c r="I446" s="9" t="str">
        <f aca="false">IF($C446="","",IFERROR(INDEX(Partits!$C:$C,MATCH($A446&amp;"_"&amp;$D446,Partits!$D:$D,0)),""))</f>
        <v/>
      </c>
      <c r="J446" s="9" t="str">
        <f aca="false">IF($C446="","",IF(AND($I446="V",N($H446)&gt;0),1.2,1))</f>
        <v/>
      </c>
      <c r="K446" s="9" t="str">
        <f aca="false">IF($C446="","",N($H446)*$J446)</f>
        <v/>
      </c>
      <c r="L446" s="9" t="str">
        <f aca="false">IF($C446="","",IF($E446="SI",2,1))</f>
        <v/>
      </c>
      <c r="M446" s="9" t="str">
        <f aca="false">IF($C446="","",$K446*$L446)</f>
        <v/>
      </c>
    </row>
    <row r="447" customFormat="false" ht="15" hidden="false" customHeight="true" outlineLevel="0" collapsed="false">
      <c r="A447" s="9" t="str">
        <f aca="false">IF(Equips_usuari!A447="","",Equips_usuari!A447)</f>
        <v/>
      </c>
      <c r="B447" s="9" t="str">
        <f aca="false">IF(Equips_usuari!B447="","",Equips_usuari!B447)</f>
        <v/>
      </c>
      <c r="C447" s="9" t="str">
        <f aca="false">IF(Equips_usuari!C447="","",Equips_usuari!C447)</f>
        <v/>
      </c>
      <c r="D447" s="9" t="str">
        <f aca="false">IF(Equips_usuari!D447="","",Equips_usuari!D447)</f>
        <v/>
      </c>
      <c r="E447" s="9" t="str">
        <f aca="false">IF(Equips_usuari!F447="","",Equips_usuari!F447)</f>
        <v/>
      </c>
      <c r="F447" s="9" t="str">
        <f aca="false">IF($C447="","",SUMIFS(Resultats_jugadores!$C:$C,Resultats_jugadores!$A:$A,$A447,Resultats_jugadores!$B:$B,$C447))</f>
        <v/>
      </c>
      <c r="G447" s="9" t="str">
        <f aca="false">IF($C447="","",SUMIFS(Resultats_jugadores!$D:$D,Resultats_jugadores!$A:$A,$A447,Resultats_jugadores!$B:$B,$C447))</f>
        <v/>
      </c>
      <c r="H447" s="9" t="str">
        <f aca="false">IF($C447="","",N($F447)-N($G447))</f>
        <v/>
      </c>
      <c r="I447" s="9" t="str">
        <f aca="false">IF($C447="","",IFERROR(INDEX(Partits!$C:$C,MATCH($A447&amp;"_"&amp;$D447,Partits!$D:$D,0)),""))</f>
        <v/>
      </c>
      <c r="J447" s="9" t="str">
        <f aca="false">IF($C447="","",IF(AND($I447="V",N($H447)&gt;0),1.2,1))</f>
        <v/>
      </c>
      <c r="K447" s="9" t="str">
        <f aca="false">IF($C447="","",N($H447)*$J447)</f>
        <v/>
      </c>
      <c r="L447" s="9" t="str">
        <f aca="false">IF($C447="","",IF($E447="SI",2,1))</f>
        <v/>
      </c>
      <c r="M447" s="9" t="str">
        <f aca="false">IF($C447="","",$K447*$L447)</f>
        <v/>
      </c>
    </row>
    <row r="448" customFormat="false" ht="15" hidden="false" customHeight="true" outlineLevel="0" collapsed="false">
      <c r="A448" s="9" t="str">
        <f aca="false">IF(Equips_usuari!A448="","",Equips_usuari!A448)</f>
        <v/>
      </c>
      <c r="B448" s="9" t="str">
        <f aca="false">IF(Equips_usuari!B448="","",Equips_usuari!B448)</f>
        <v/>
      </c>
      <c r="C448" s="9" t="str">
        <f aca="false">IF(Equips_usuari!C448="","",Equips_usuari!C448)</f>
        <v/>
      </c>
      <c r="D448" s="9" t="str">
        <f aca="false">IF(Equips_usuari!D448="","",Equips_usuari!D448)</f>
        <v/>
      </c>
      <c r="E448" s="9" t="str">
        <f aca="false">IF(Equips_usuari!F448="","",Equips_usuari!F448)</f>
        <v/>
      </c>
      <c r="F448" s="9" t="str">
        <f aca="false">IF($C448="","",SUMIFS(Resultats_jugadores!$C:$C,Resultats_jugadores!$A:$A,$A448,Resultats_jugadores!$B:$B,$C448))</f>
        <v/>
      </c>
      <c r="G448" s="9" t="str">
        <f aca="false">IF($C448="","",SUMIFS(Resultats_jugadores!$D:$D,Resultats_jugadores!$A:$A,$A448,Resultats_jugadores!$B:$B,$C448))</f>
        <v/>
      </c>
      <c r="H448" s="9" t="str">
        <f aca="false">IF($C448="","",N($F448)-N($G448))</f>
        <v/>
      </c>
      <c r="I448" s="9" t="str">
        <f aca="false">IF($C448="","",IFERROR(INDEX(Partits!$C:$C,MATCH($A448&amp;"_"&amp;$D448,Partits!$D:$D,0)),""))</f>
        <v/>
      </c>
      <c r="J448" s="9" t="str">
        <f aca="false">IF($C448="","",IF(AND($I448="V",N($H448)&gt;0),1.2,1))</f>
        <v/>
      </c>
      <c r="K448" s="9" t="str">
        <f aca="false">IF($C448="","",N($H448)*$J448)</f>
        <v/>
      </c>
      <c r="L448" s="9" t="str">
        <f aca="false">IF($C448="","",IF($E448="SI",2,1))</f>
        <v/>
      </c>
      <c r="M448" s="9" t="str">
        <f aca="false">IF($C448="","",$K448*$L448)</f>
        <v/>
      </c>
    </row>
    <row r="449" customFormat="false" ht="15" hidden="false" customHeight="true" outlineLevel="0" collapsed="false">
      <c r="A449" s="9" t="str">
        <f aca="false">IF(Equips_usuari!A449="","",Equips_usuari!A449)</f>
        <v/>
      </c>
      <c r="B449" s="9" t="str">
        <f aca="false">IF(Equips_usuari!B449="","",Equips_usuari!B449)</f>
        <v/>
      </c>
      <c r="C449" s="9" t="str">
        <f aca="false">IF(Equips_usuari!C449="","",Equips_usuari!C449)</f>
        <v/>
      </c>
      <c r="D449" s="9" t="str">
        <f aca="false">IF(Equips_usuari!D449="","",Equips_usuari!D449)</f>
        <v/>
      </c>
      <c r="E449" s="9" t="str">
        <f aca="false">IF(Equips_usuari!F449="","",Equips_usuari!F449)</f>
        <v/>
      </c>
      <c r="F449" s="9" t="str">
        <f aca="false">IF($C449="","",SUMIFS(Resultats_jugadores!$C:$C,Resultats_jugadores!$A:$A,$A449,Resultats_jugadores!$B:$B,$C449))</f>
        <v/>
      </c>
      <c r="G449" s="9" t="str">
        <f aca="false">IF($C449="","",SUMIFS(Resultats_jugadores!$D:$D,Resultats_jugadores!$A:$A,$A449,Resultats_jugadores!$B:$B,$C449))</f>
        <v/>
      </c>
      <c r="H449" s="9" t="str">
        <f aca="false">IF($C449="","",N($F449)-N($G449))</f>
        <v/>
      </c>
      <c r="I449" s="9" t="str">
        <f aca="false">IF($C449="","",IFERROR(INDEX(Partits!$C:$C,MATCH($A449&amp;"_"&amp;$D449,Partits!$D:$D,0)),""))</f>
        <v/>
      </c>
      <c r="J449" s="9" t="str">
        <f aca="false">IF($C449="","",IF(AND($I449="V",N($H449)&gt;0),1.2,1))</f>
        <v/>
      </c>
      <c r="K449" s="9" t="str">
        <f aca="false">IF($C449="","",N($H449)*$J449)</f>
        <v/>
      </c>
      <c r="L449" s="9" t="str">
        <f aca="false">IF($C449="","",IF($E449="SI",2,1))</f>
        <v/>
      </c>
      <c r="M449" s="9" t="str">
        <f aca="false">IF($C449="","",$K449*$L449)</f>
        <v/>
      </c>
    </row>
    <row r="450" customFormat="false" ht="15" hidden="false" customHeight="true" outlineLevel="0" collapsed="false">
      <c r="A450" s="9" t="str">
        <f aca="false">IF(Equips_usuari!A450="","",Equips_usuari!A450)</f>
        <v/>
      </c>
      <c r="B450" s="9" t="str">
        <f aca="false">IF(Equips_usuari!B450="","",Equips_usuari!B450)</f>
        <v/>
      </c>
      <c r="C450" s="9" t="str">
        <f aca="false">IF(Equips_usuari!C450="","",Equips_usuari!C450)</f>
        <v/>
      </c>
      <c r="D450" s="9" t="str">
        <f aca="false">IF(Equips_usuari!D450="","",Equips_usuari!D450)</f>
        <v/>
      </c>
      <c r="E450" s="9" t="str">
        <f aca="false">IF(Equips_usuari!F450="","",Equips_usuari!F450)</f>
        <v/>
      </c>
      <c r="F450" s="9" t="str">
        <f aca="false">IF($C450="","",SUMIFS(Resultats_jugadores!$C:$C,Resultats_jugadores!$A:$A,$A450,Resultats_jugadores!$B:$B,$C450))</f>
        <v/>
      </c>
      <c r="G450" s="9" t="str">
        <f aca="false">IF($C450="","",SUMIFS(Resultats_jugadores!$D:$D,Resultats_jugadores!$A:$A,$A450,Resultats_jugadores!$B:$B,$C450))</f>
        <v/>
      </c>
      <c r="H450" s="9" t="str">
        <f aca="false">IF($C450="","",N($F450)-N($G450))</f>
        <v/>
      </c>
      <c r="I450" s="9" t="str">
        <f aca="false">IF($C450="","",IFERROR(INDEX(Partits!$C:$C,MATCH($A450&amp;"_"&amp;$D450,Partits!$D:$D,0)),""))</f>
        <v/>
      </c>
      <c r="J450" s="9" t="str">
        <f aca="false">IF($C450="","",IF(AND($I450="V",N($H450)&gt;0),1.2,1))</f>
        <v/>
      </c>
      <c r="K450" s="9" t="str">
        <f aca="false">IF($C450="","",N($H450)*$J450)</f>
        <v/>
      </c>
      <c r="L450" s="9" t="str">
        <f aca="false">IF($C450="","",IF($E450="SI",2,1))</f>
        <v/>
      </c>
      <c r="M450" s="9" t="str">
        <f aca="false">IF($C450="","",$K450*$L450)</f>
        <v/>
      </c>
    </row>
    <row r="451" customFormat="false" ht="15" hidden="false" customHeight="true" outlineLevel="0" collapsed="false">
      <c r="A451" s="9" t="str">
        <f aca="false">IF(Equips_usuari!A451="","",Equips_usuari!A451)</f>
        <v/>
      </c>
      <c r="B451" s="9" t="str">
        <f aca="false">IF(Equips_usuari!B451="","",Equips_usuari!B451)</f>
        <v/>
      </c>
      <c r="C451" s="9" t="str">
        <f aca="false">IF(Equips_usuari!C451="","",Equips_usuari!C451)</f>
        <v/>
      </c>
      <c r="D451" s="9" t="str">
        <f aca="false">IF(Equips_usuari!D451="","",Equips_usuari!D451)</f>
        <v/>
      </c>
      <c r="E451" s="9" t="str">
        <f aca="false">IF(Equips_usuari!F451="","",Equips_usuari!F451)</f>
        <v/>
      </c>
      <c r="F451" s="9" t="str">
        <f aca="false">IF($C451="","",SUMIFS(Resultats_jugadores!$C:$C,Resultats_jugadores!$A:$A,$A451,Resultats_jugadores!$B:$B,$C451))</f>
        <v/>
      </c>
      <c r="G451" s="9" t="str">
        <f aca="false">IF($C451="","",SUMIFS(Resultats_jugadores!$D:$D,Resultats_jugadores!$A:$A,$A451,Resultats_jugadores!$B:$B,$C451))</f>
        <v/>
      </c>
      <c r="H451" s="9" t="str">
        <f aca="false">IF($C451="","",N($F451)-N($G451))</f>
        <v/>
      </c>
      <c r="I451" s="9" t="str">
        <f aca="false">IF($C451="","",IFERROR(INDEX(Partits!$C:$C,MATCH($A451&amp;"_"&amp;$D451,Partits!$D:$D,0)),""))</f>
        <v/>
      </c>
      <c r="J451" s="9" t="str">
        <f aca="false">IF($C451="","",IF(AND($I451="V",N($H451)&gt;0),1.2,1))</f>
        <v/>
      </c>
      <c r="K451" s="9" t="str">
        <f aca="false">IF($C451="","",N($H451)*$J451)</f>
        <v/>
      </c>
      <c r="L451" s="9" t="str">
        <f aca="false">IF($C451="","",IF($E451="SI",2,1))</f>
        <v/>
      </c>
      <c r="M451" s="9" t="str">
        <f aca="false">IF($C451="","",$K451*$L451)</f>
        <v/>
      </c>
    </row>
    <row r="452" customFormat="false" ht="15" hidden="false" customHeight="true" outlineLevel="0" collapsed="false">
      <c r="A452" s="9" t="str">
        <f aca="false">IF(Equips_usuari!A452="","",Equips_usuari!A452)</f>
        <v/>
      </c>
      <c r="B452" s="9" t="str">
        <f aca="false">IF(Equips_usuari!B452="","",Equips_usuari!B452)</f>
        <v/>
      </c>
      <c r="C452" s="9" t="str">
        <f aca="false">IF(Equips_usuari!C452="","",Equips_usuari!C452)</f>
        <v/>
      </c>
      <c r="D452" s="9" t="str">
        <f aca="false">IF(Equips_usuari!D452="","",Equips_usuari!D452)</f>
        <v/>
      </c>
      <c r="E452" s="9" t="str">
        <f aca="false">IF(Equips_usuari!F452="","",Equips_usuari!F452)</f>
        <v/>
      </c>
      <c r="F452" s="9" t="str">
        <f aca="false">IF($C452="","",SUMIFS(Resultats_jugadores!$C:$C,Resultats_jugadores!$A:$A,$A452,Resultats_jugadores!$B:$B,$C452))</f>
        <v/>
      </c>
      <c r="G452" s="9" t="str">
        <f aca="false">IF($C452="","",SUMIFS(Resultats_jugadores!$D:$D,Resultats_jugadores!$A:$A,$A452,Resultats_jugadores!$B:$B,$C452))</f>
        <v/>
      </c>
      <c r="H452" s="9" t="str">
        <f aca="false">IF($C452="","",N($F452)-N($G452))</f>
        <v/>
      </c>
      <c r="I452" s="9" t="str">
        <f aca="false">IF($C452="","",IFERROR(INDEX(Partits!$C:$C,MATCH($A452&amp;"_"&amp;$D452,Partits!$D:$D,0)),""))</f>
        <v/>
      </c>
      <c r="J452" s="9" t="str">
        <f aca="false">IF($C452="","",IF(AND($I452="V",N($H452)&gt;0),1.2,1))</f>
        <v/>
      </c>
      <c r="K452" s="9" t="str">
        <f aca="false">IF($C452="","",N($H452)*$J452)</f>
        <v/>
      </c>
      <c r="L452" s="9" t="str">
        <f aca="false">IF($C452="","",IF($E452="SI",2,1))</f>
        <v/>
      </c>
      <c r="M452" s="9" t="str">
        <f aca="false">IF($C452="","",$K452*$L452)</f>
        <v/>
      </c>
    </row>
    <row r="453" customFormat="false" ht="15" hidden="false" customHeight="true" outlineLevel="0" collapsed="false">
      <c r="A453" s="9" t="str">
        <f aca="false">IF(Equips_usuari!A453="","",Equips_usuari!A453)</f>
        <v/>
      </c>
      <c r="B453" s="9" t="str">
        <f aca="false">IF(Equips_usuari!B453="","",Equips_usuari!B453)</f>
        <v/>
      </c>
      <c r="C453" s="9" t="str">
        <f aca="false">IF(Equips_usuari!C453="","",Equips_usuari!C453)</f>
        <v/>
      </c>
      <c r="D453" s="9" t="str">
        <f aca="false">IF(Equips_usuari!D453="","",Equips_usuari!D453)</f>
        <v/>
      </c>
      <c r="E453" s="9" t="str">
        <f aca="false">IF(Equips_usuari!F453="","",Equips_usuari!F453)</f>
        <v/>
      </c>
      <c r="F453" s="9" t="str">
        <f aca="false">IF($C453="","",SUMIFS(Resultats_jugadores!$C:$C,Resultats_jugadores!$A:$A,$A453,Resultats_jugadores!$B:$B,$C453))</f>
        <v/>
      </c>
      <c r="G453" s="9" t="str">
        <f aca="false">IF($C453="","",SUMIFS(Resultats_jugadores!$D:$D,Resultats_jugadores!$A:$A,$A453,Resultats_jugadores!$B:$B,$C453))</f>
        <v/>
      </c>
      <c r="H453" s="9" t="str">
        <f aca="false">IF($C453="","",N($F453)-N($G453))</f>
        <v/>
      </c>
      <c r="I453" s="9" t="str">
        <f aca="false">IF($C453="","",IFERROR(INDEX(Partits!$C:$C,MATCH($A453&amp;"_"&amp;$D453,Partits!$D:$D,0)),""))</f>
        <v/>
      </c>
      <c r="J453" s="9" t="str">
        <f aca="false">IF($C453="","",IF(AND($I453="V",N($H453)&gt;0),1.2,1))</f>
        <v/>
      </c>
      <c r="K453" s="9" t="str">
        <f aca="false">IF($C453="","",N($H453)*$J453)</f>
        <v/>
      </c>
      <c r="L453" s="9" t="str">
        <f aca="false">IF($C453="","",IF($E453="SI",2,1))</f>
        <v/>
      </c>
      <c r="M453" s="9" t="str">
        <f aca="false">IF($C453="","",$K453*$L453)</f>
        <v/>
      </c>
    </row>
    <row r="454" customFormat="false" ht="15" hidden="false" customHeight="true" outlineLevel="0" collapsed="false">
      <c r="A454" s="9" t="str">
        <f aca="false">IF(Equips_usuari!A454="","",Equips_usuari!A454)</f>
        <v/>
      </c>
      <c r="B454" s="9" t="str">
        <f aca="false">IF(Equips_usuari!B454="","",Equips_usuari!B454)</f>
        <v/>
      </c>
      <c r="C454" s="9" t="str">
        <f aca="false">IF(Equips_usuari!C454="","",Equips_usuari!C454)</f>
        <v/>
      </c>
      <c r="D454" s="9" t="str">
        <f aca="false">IF(Equips_usuari!D454="","",Equips_usuari!D454)</f>
        <v/>
      </c>
      <c r="E454" s="9" t="str">
        <f aca="false">IF(Equips_usuari!F454="","",Equips_usuari!F454)</f>
        <v/>
      </c>
      <c r="F454" s="9" t="str">
        <f aca="false">IF($C454="","",SUMIFS(Resultats_jugadores!$C:$C,Resultats_jugadores!$A:$A,$A454,Resultats_jugadores!$B:$B,$C454))</f>
        <v/>
      </c>
      <c r="G454" s="9" t="str">
        <f aca="false">IF($C454="","",SUMIFS(Resultats_jugadores!$D:$D,Resultats_jugadores!$A:$A,$A454,Resultats_jugadores!$B:$B,$C454))</f>
        <v/>
      </c>
      <c r="H454" s="9" t="str">
        <f aca="false">IF($C454="","",N($F454)-N($G454))</f>
        <v/>
      </c>
      <c r="I454" s="9" t="str">
        <f aca="false">IF($C454="","",IFERROR(INDEX(Partits!$C:$C,MATCH($A454&amp;"_"&amp;$D454,Partits!$D:$D,0)),""))</f>
        <v/>
      </c>
      <c r="J454" s="9" t="str">
        <f aca="false">IF($C454="","",IF(AND($I454="V",N($H454)&gt;0),1.2,1))</f>
        <v/>
      </c>
      <c r="K454" s="9" t="str">
        <f aca="false">IF($C454="","",N($H454)*$J454)</f>
        <v/>
      </c>
      <c r="L454" s="9" t="str">
        <f aca="false">IF($C454="","",IF($E454="SI",2,1))</f>
        <v/>
      </c>
      <c r="M454" s="9" t="str">
        <f aca="false">IF($C454="","",$K454*$L454)</f>
        <v/>
      </c>
    </row>
    <row r="455" customFormat="false" ht="15" hidden="false" customHeight="true" outlineLevel="0" collapsed="false">
      <c r="A455" s="9" t="str">
        <f aca="false">IF(Equips_usuari!A455="","",Equips_usuari!A455)</f>
        <v/>
      </c>
      <c r="B455" s="9" t="str">
        <f aca="false">IF(Equips_usuari!B455="","",Equips_usuari!B455)</f>
        <v/>
      </c>
      <c r="C455" s="9" t="str">
        <f aca="false">IF(Equips_usuari!C455="","",Equips_usuari!C455)</f>
        <v/>
      </c>
      <c r="D455" s="9" t="str">
        <f aca="false">IF(Equips_usuari!D455="","",Equips_usuari!D455)</f>
        <v/>
      </c>
      <c r="E455" s="9" t="str">
        <f aca="false">IF(Equips_usuari!F455="","",Equips_usuari!F455)</f>
        <v/>
      </c>
      <c r="F455" s="9" t="str">
        <f aca="false">IF($C455="","",SUMIFS(Resultats_jugadores!$C:$C,Resultats_jugadores!$A:$A,$A455,Resultats_jugadores!$B:$B,$C455))</f>
        <v/>
      </c>
      <c r="G455" s="9" t="str">
        <f aca="false">IF($C455="","",SUMIFS(Resultats_jugadores!$D:$D,Resultats_jugadores!$A:$A,$A455,Resultats_jugadores!$B:$B,$C455))</f>
        <v/>
      </c>
      <c r="H455" s="9" t="str">
        <f aca="false">IF($C455="","",N($F455)-N($G455))</f>
        <v/>
      </c>
      <c r="I455" s="9" t="str">
        <f aca="false">IF($C455="","",IFERROR(INDEX(Partits!$C:$C,MATCH($A455&amp;"_"&amp;$D455,Partits!$D:$D,0)),""))</f>
        <v/>
      </c>
      <c r="J455" s="9" t="str">
        <f aca="false">IF($C455="","",IF(AND($I455="V",N($H455)&gt;0),1.2,1))</f>
        <v/>
      </c>
      <c r="K455" s="9" t="str">
        <f aca="false">IF($C455="","",N($H455)*$J455)</f>
        <v/>
      </c>
      <c r="L455" s="9" t="str">
        <f aca="false">IF($C455="","",IF($E455="SI",2,1))</f>
        <v/>
      </c>
      <c r="M455" s="9" t="str">
        <f aca="false">IF($C455="","",$K455*$L455)</f>
        <v/>
      </c>
    </row>
    <row r="456" customFormat="false" ht="15" hidden="false" customHeight="true" outlineLevel="0" collapsed="false">
      <c r="A456" s="9" t="str">
        <f aca="false">IF(Equips_usuari!A456="","",Equips_usuari!A456)</f>
        <v/>
      </c>
      <c r="B456" s="9" t="str">
        <f aca="false">IF(Equips_usuari!B456="","",Equips_usuari!B456)</f>
        <v/>
      </c>
      <c r="C456" s="9" t="str">
        <f aca="false">IF(Equips_usuari!C456="","",Equips_usuari!C456)</f>
        <v/>
      </c>
      <c r="D456" s="9" t="str">
        <f aca="false">IF(Equips_usuari!D456="","",Equips_usuari!D456)</f>
        <v/>
      </c>
      <c r="E456" s="9" t="str">
        <f aca="false">IF(Equips_usuari!F456="","",Equips_usuari!F456)</f>
        <v/>
      </c>
      <c r="F456" s="9" t="str">
        <f aca="false">IF($C456="","",SUMIFS(Resultats_jugadores!$C:$C,Resultats_jugadores!$A:$A,$A456,Resultats_jugadores!$B:$B,$C456))</f>
        <v/>
      </c>
      <c r="G456" s="9" t="str">
        <f aca="false">IF($C456="","",SUMIFS(Resultats_jugadores!$D:$D,Resultats_jugadores!$A:$A,$A456,Resultats_jugadores!$B:$B,$C456))</f>
        <v/>
      </c>
      <c r="H456" s="9" t="str">
        <f aca="false">IF($C456="","",N($F456)-N($G456))</f>
        <v/>
      </c>
      <c r="I456" s="9" t="str">
        <f aca="false">IF($C456="","",IFERROR(INDEX(Partits!$C:$C,MATCH($A456&amp;"_"&amp;$D456,Partits!$D:$D,0)),""))</f>
        <v/>
      </c>
      <c r="J456" s="9" t="str">
        <f aca="false">IF($C456="","",IF(AND($I456="V",N($H456)&gt;0),1.2,1))</f>
        <v/>
      </c>
      <c r="K456" s="9" t="str">
        <f aca="false">IF($C456="","",N($H456)*$J456)</f>
        <v/>
      </c>
      <c r="L456" s="9" t="str">
        <f aca="false">IF($C456="","",IF($E456="SI",2,1))</f>
        <v/>
      </c>
      <c r="M456" s="9" t="str">
        <f aca="false">IF($C456="","",$K456*$L456)</f>
        <v/>
      </c>
    </row>
    <row r="457" customFormat="false" ht="15" hidden="false" customHeight="true" outlineLevel="0" collapsed="false">
      <c r="A457" s="9" t="str">
        <f aca="false">IF(Equips_usuari!A457="","",Equips_usuari!A457)</f>
        <v/>
      </c>
      <c r="B457" s="9" t="str">
        <f aca="false">IF(Equips_usuari!B457="","",Equips_usuari!B457)</f>
        <v/>
      </c>
      <c r="C457" s="9" t="str">
        <f aca="false">IF(Equips_usuari!C457="","",Equips_usuari!C457)</f>
        <v/>
      </c>
      <c r="D457" s="9" t="str">
        <f aca="false">IF(Equips_usuari!D457="","",Equips_usuari!D457)</f>
        <v/>
      </c>
      <c r="E457" s="9" t="str">
        <f aca="false">IF(Equips_usuari!F457="","",Equips_usuari!F457)</f>
        <v/>
      </c>
      <c r="F457" s="9" t="str">
        <f aca="false">IF($C457="","",SUMIFS(Resultats_jugadores!$C:$C,Resultats_jugadores!$A:$A,$A457,Resultats_jugadores!$B:$B,$C457))</f>
        <v/>
      </c>
      <c r="G457" s="9" t="str">
        <f aca="false">IF($C457="","",SUMIFS(Resultats_jugadores!$D:$D,Resultats_jugadores!$A:$A,$A457,Resultats_jugadores!$B:$B,$C457))</f>
        <v/>
      </c>
      <c r="H457" s="9" t="str">
        <f aca="false">IF($C457="","",N($F457)-N($G457))</f>
        <v/>
      </c>
      <c r="I457" s="9" t="str">
        <f aca="false">IF($C457="","",IFERROR(INDEX(Partits!$C:$C,MATCH($A457&amp;"_"&amp;$D457,Partits!$D:$D,0)),""))</f>
        <v/>
      </c>
      <c r="J457" s="9" t="str">
        <f aca="false">IF($C457="","",IF(AND($I457="V",N($H457)&gt;0),1.2,1))</f>
        <v/>
      </c>
      <c r="K457" s="9" t="str">
        <f aca="false">IF($C457="","",N($H457)*$J457)</f>
        <v/>
      </c>
      <c r="L457" s="9" t="str">
        <f aca="false">IF($C457="","",IF($E457="SI",2,1))</f>
        <v/>
      </c>
      <c r="M457" s="9" t="str">
        <f aca="false">IF($C457="","",$K457*$L457)</f>
        <v/>
      </c>
    </row>
    <row r="458" customFormat="false" ht="15" hidden="false" customHeight="true" outlineLevel="0" collapsed="false">
      <c r="A458" s="9" t="str">
        <f aca="false">IF(Equips_usuari!A458="","",Equips_usuari!A458)</f>
        <v/>
      </c>
      <c r="B458" s="9" t="str">
        <f aca="false">IF(Equips_usuari!B458="","",Equips_usuari!B458)</f>
        <v/>
      </c>
      <c r="C458" s="9" t="str">
        <f aca="false">IF(Equips_usuari!C458="","",Equips_usuari!C458)</f>
        <v/>
      </c>
      <c r="D458" s="9" t="str">
        <f aca="false">IF(Equips_usuari!D458="","",Equips_usuari!D458)</f>
        <v/>
      </c>
      <c r="E458" s="9" t="str">
        <f aca="false">IF(Equips_usuari!F458="","",Equips_usuari!F458)</f>
        <v/>
      </c>
      <c r="F458" s="9" t="str">
        <f aca="false">IF($C458="","",SUMIFS(Resultats_jugadores!$C:$C,Resultats_jugadores!$A:$A,$A458,Resultats_jugadores!$B:$B,$C458))</f>
        <v/>
      </c>
      <c r="G458" s="9" t="str">
        <f aca="false">IF($C458="","",SUMIFS(Resultats_jugadores!$D:$D,Resultats_jugadores!$A:$A,$A458,Resultats_jugadores!$B:$B,$C458))</f>
        <v/>
      </c>
      <c r="H458" s="9" t="str">
        <f aca="false">IF($C458="","",N($F458)-N($G458))</f>
        <v/>
      </c>
      <c r="I458" s="9" t="str">
        <f aca="false">IF($C458="","",IFERROR(INDEX(Partits!$C:$C,MATCH($A458&amp;"_"&amp;$D458,Partits!$D:$D,0)),""))</f>
        <v/>
      </c>
      <c r="J458" s="9" t="str">
        <f aca="false">IF($C458="","",IF(AND($I458="V",N($H458)&gt;0),1.2,1))</f>
        <v/>
      </c>
      <c r="K458" s="9" t="str">
        <f aca="false">IF($C458="","",N($H458)*$J458)</f>
        <v/>
      </c>
      <c r="L458" s="9" t="str">
        <f aca="false">IF($C458="","",IF($E458="SI",2,1))</f>
        <v/>
      </c>
      <c r="M458" s="9" t="str">
        <f aca="false">IF($C458="","",$K458*$L458)</f>
        <v/>
      </c>
    </row>
    <row r="459" customFormat="false" ht="15" hidden="false" customHeight="true" outlineLevel="0" collapsed="false">
      <c r="A459" s="9" t="str">
        <f aca="false">IF(Equips_usuari!A459="","",Equips_usuari!A459)</f>
        <v/>
      </c>
      <c r="B459" s="9" t="str">
        <f aca="false">IF(Equips_usuari!B459="","",Equips_usuari!B459)</f>
        <v/>
      </c>
      <c r="C459" s="9" t="str">
        <f aca="false">IF(Equips_usuari!C459="","",Equips_usuari!C459)</f>
        <v/>
      </c>
      <c r="D459" s="9" t="str">
        <f aca="false">IF(Equips_usuari!D459="","",Equips_usuari!D459)</f>
        <v/>
      </c>
      <c r="E459" s="9" t="str">
        <f aca="false">IF(Equips_usuari!F459="","",Equips_usuari!F459)</f>
        <v/>
      </c>
      <c r="F459" s="9" t="str">
        <f aca="false">IF($C459="","",SUMIFS(Resultats_jugadores!$C:$C,Resultats_jugadores!$A:$A,$A459,Resultats_jugadores!$B:$B,$C459))</f>
        <v/>
      </c>
      <c r="G459" s="9" t="str">
        <f aca="false">IF($C459="","",SUMIFS(Resultats_jugadores!$D:$D,Resultats_jugadores!$A:$A,$A459,Resultats_jugadores!$B:$B,$C459))</f>
        <v/>
      </c>
      <c r="H459" s="9" t="str">
        <f aca="false">IF($C459="","",N($F459)-N($G459))</f>
        <v/>
      </c>
      <c r="I459" s="9" t="str">
        <f aca="false">IF($C459="","",IFERROR(INDEX(Partits!$C:$C,MATCH($A459&amp;"_"&amp;$D459,Partits!$D:$D,0)),""))</f>
        <v/>
      </c>
      <c r="J459" s="9" t="str">
        <f aca="false">IF($C459="","",IF(AND($I459="V",N($H459)&gt;0),1.2,1))</f>
        <v/>
      </c>
      <c r="K459" s="9" t="str">
        <f aca="false">IF($C459="","",N($H459)*$J459)</f>
        <v/>
      </c>
      <c r="L459" s="9" t="str">
        <f aca="false">IF($C459="","",IF($E459="SI",2,1))</f>
        <v/>
      </c>
      <c r="M459" s="9" t="str">
        <f aca="false">IF($C459="","",$K459*$L459)</f>
        <v/>
      </c>
    </row>
    <row r="460" customFormat="false" ht="15" hidden="false" customHeight="true" outlineLevel="0" collapsed="false">
      <c r="A460" s="9" t="str">
        <f aca="false">IF(Equips_usuari!A460="","",Equips_usuari!A460)</f>
        <v/>
      </c>
      <c r="B460" s="9" t="str">
        <f aca="false">IF(Equips_usuari!B460="","",Equips_usuari!B460)</f>
        <v/>
      </c>
      <c r="C460" s="9" t="str">
        <f aca="false">IF(Equips_usuari!C460="","",Equips_usuari!C460)</f>
        <v/>
      </c>
      <c r="D460" s="9" t="str">
        <f aca="false">IF(Equips_usuari!D460="","",Equips_usuari!D460)</f>
        <v/>
      </c>
      <c r="E460" s="9" t="str">
        <f aca="false">IF(Equips_usuari!F460="","",Equips_usuari!F460)</f>
        <v/>
      </c>
      <c r="F460" s="9" t="str">
        <f aca="false">IF($C460="","",SUMIFS(Resultats_jugadores!$C:$C,Resultats_jugadores!$A:$A,$A460,Resultats_jugadores!$B:$B,$C460))</f>
        <v/>
      </c>
      <c r="G460" s="9" t="str">
        <f aca="false">IF($C460="","",SUMIFS(Resultats_jugadores!$D:$D,Resultats_jugadores!$A:$A,$A460,Resultats_jugadores!$B:$B,$C460))</f>
        <v/>
      </c>
      <c r="H460" s="9" t="str">
        <f aca="false">IF($C460="","",N($F460)-N($G460))</f>
        <v/>
      </c>
      <c r="I460" s="9" t="str">
        <f aca="false">IF($C460="","",IFERROR(INDEX(Partits!$C:$C,MATCH($A460&amp;"_"&amp;$D460,Partits!$D:$D,0)),""))</f>
        <v/>
      </c>
      <c r="J460" s="9" t="str">
        <f aca="false">IF($C460="","",IF(AND($I460="V",N($H460)&gt;0),1.2,1))</f>
        <v/>
      </c>
      <c r="K460" s="9" t="str">
        <f aca="false">IF($C460="","",N($H460)*$J460)</f>
        <v/>
      </c>
      <c r="L460" s="9" t="str">
        <f aca="false">IF($C460="","",IF($E460="SI",2,1))</f>
        <v/>
      </c>
      <c r="M460" s="9" t="str">
        <f aca="false">IF($C460="","",$K460*$L460)</f>
        <v/>
      </c>
    </row>
    <row r="461" customFormat="false" ht="15" hidden="false" customHeight="true" outlineLevel="0" collapsed="false">
      <c r="A461" s="9" t="str">
        <f aca="false">IF(Equips_usuari!A461="","",Equips_usuari!A461)</f>
        <v/>
      </c>
      <c r="B461" s="9" t="str">
        <f aca="false">IF(Equips_usuari!B461="","",Equips_usuari!B461)</f>
        <v/>
      </c>
      <c r="C461" s="9" t="str">
        <f aca="false">IF(Equips_usuari!C461="","",Equips_usuari!C461)</f>
        <v/>
      </c>
      <c r="D461" s="9" t="str">
        <f aca="false">IF(Equips_usuari!D461="","",Equips_usuari!D461)</f>
        <v/>
      </c>
      <c r="E461" s="9" t="str">
        <f aca="false">IF(Equips_usuari!F461="","",Equips_usuari!F461)</f>
        <v/>
      </c>
      <c r="F461" s="9" t="str">
        <f aca="false">IF($C461="","",SUMIFS(Resultats_jugadores!$C:$C,Resultats_jugadores!$A:$A,$A461,Resultats_jugadores!$B:$B,$C461))</f>
        <v/>
      </c>
      <c r="G461" s="9" t="str">
        <f aca="false">IF($C461="","",SUMIFS(Resultats_jugadores!$D:$D,Resultats_jugadores!$A:$A,$A461,Resultats_jugadores!$B:$B,$C461))</f>
        <v/>
      </c>
      <c r="H461" s="9" t="str">
        <f aca="false">IF($C461="","",N($F461)-N($G461))</f>
        <v/>
      </c>
      <c r="I461" s="9" t="str">
        <f aca="false">IF($C461="","",IFERROR(INDEX(Partits!$C:$C,MATCH($A461&amp;"_"&amp;$D461,Partits!$D:$D,0)),""))</f>
        <v/>
      </c>
      <c r="J461" s="9" t="str">
        <f aca="false">IF($C461="","",IF(AND($I461="V",N($H461)&gt;0),1.2,1))</f>
        <v/>
      </c>
      <c r="K461" s="9" t="str">
        <f aca="false">IF($C461="","",N($H461)*$J461)</f>
        <v/>
      </c>
      <c r="L461" s="9" t="str">
        <f aca="false">IF($C461="","",IF($E461="SI",2,1))</f>
        <v/>
      </c>
      <c r="M461" s="9" t="str">
        <f aca="false">IF($C461="","",$K461*$L461)</f>
        <v/>
      </c>
    </row>
    <row r="462" customFormat="false" ht="15" hidden="false" customHeight="true" outlineLevel="0" collapsed="false">
      <c r="A462" s="9" t="str">
        <f aca="false">IF(Equips_usuari!A462="","",Equips_usuari!A462)</f>
        <v/>
      </c>
      <c r="B462" s="9" t="str">
        <f aca="false">IF(Equips_usuari!B462="","",Equips_usuari!B462)</f>
        <v/>
      </c>
      <c r="C462" s="9" t="str">
        <f aca="false">IF(Equips_usuari!C462="","",Equips_usuari!C462)</f>
        <v/>
      </c>
      <c r="D462" s="9" t="str">
        <f aca="false">IF(Equips_usuari!D462="","",Equips_usuari!D462)</f>
        <v/>
      </c>
      <c r="E462" s="9" t="str">
        <f aca="false">IF(Equips_usuari!F462="","",Equips_usuari!F462)</f>
        <v/>
      </c>
      <c r="F462" s="9" t="str">
        <f aca="false">IF($C462="","",SUMIFS(Resultats_jugadores!$C:$C,Resultats_jugadores!$A:$A,$A462,Resultats_jugadores!$B:$B,$C462))</f>
        <v/>
      </c>
      <c r="G462" s="9" t="str">
        <f aca="false">IF($C462="","",SUMIFS(Resultats_jugadores!$D:$D,Resultats_jugadores!$A:$A,$A462,Resultats_jugadores!$B:$B,$C462))</f>
        <v/>
      </c>
      <c r="H462" s="9" t="str">
        <f aca="false">IF($C462="","",N($F462)-N($G462))</f>
        <v/>
      </c>
      <c r="I462" s="9" t="str">
        <f aca="false">IF($C462="","",IFERROR(INDEX(Partits!$C:$C,MATCH($A462&amp;"_"&amp;$D462,Partits!$D:$D,0)),""))</f>
        <v/>
      </c>
      <c r="J462" s="9" t="str">
        <f aca="false">IF($C462="","",IF(AND($I462="V",N($H462)&gt;0),1.2,1))</f>
        <v/>
      </c>
      <c r="K462" s="9" t="str">
        <f aca="false">IF($C462="","",N($H462)*$J462)</f>
        <v/>
      </c>
      <c r="L462" s="9" t="str">
        <f aca="false">IF($C462="","",IF($E462="SI",2,1))</f>
        <v/>
      </c>
      <c r="M462" s="9" t="str">
        <f aca="false">IF($C462="","",$K462*$L462)</f>
        <v/>
      </c>
    </row>
    <row r="463" customFormat="false" ht="15" hidden="false" customHeight="true" outlineLevel="0" collapsed="false">
      <c r="A463" s="9" t="str">
        <f aca="false">IF(Equips_usuari!A463="","",Equips_usuari!A463)</f>
        <v/>
      </c>
      <c r="B463" s="9" t="str">
        <f aca="false">IF(Equips_usuari!B463="","",Equips_usuari!B463)</f>
        <v/>
      </c>
      <c r="C463" s="9" t="str">
        <f aca="false">IF(Equips_usuari!C463="","",Equips_usuari!C463)</f>
        <v/>
      </c>
      <c r="D463" s="9" t="str">
        <f aca="false">IF(Equips_usuari!D463="","",Equips_usuari!D463)</f>
        <v/>
      </c>
      <c r="E463" s="9" t="str">
        <f aca="false">IF(Equips_usuari!F463="","",Equips_usuari!F463)</f>
        <v/>
      </c>
      <c r="F463" s="9" t="str">
        <f aca="false">IF($C463="","",SUMIFS(Resultats_jugadores!$C:$C,Resultats_jugadores!$A:$A,$A463,Resultats_jugadores!$B:$B,$C463))</f>
        <v/>
      </c>
      <c r="G463" s="9" t="str">
        <f aca="false">IF($C463="","",SUMIFS(Resultats_jugadores!$D:$D,Resultats_jugadores!$A:$A,$A463,Resultats_jugadores!$B:$B,$C463))</f>
        <v/>
      </c>
      <c r="H463" s="9" t="str">
        <f aca="false">IF($C463="","",N($F463)-N($G463))</f>
        <v/>
      </c>
      <c r="I463" s="9" t="str">
        <f aca="false">IF($C463="","",IFERROR(INDEX(Partits!$C:$C,MATCH($A463&amp;"_"&amp;$D463,Partits!$D:$D,0)),""))</f>
        <v/>
      </c>
      <c r="J463" s="9" t="str">
        <f aca="false">IF($C463="","",IF(AND($I463="V",N($H463)&gt;0),1.2,1))</f>
        <v/>
      </c>
      <c r="K463" s="9" t="str">
        <f aca="false">IF($C463="","",N($H463)*$J463)</f>
        <v/>
      </c>
      <c r="L463" s="9" t="str">
        <f aca="false">IF($C463="","",IF($E463="SI",2,1))</f>
        <v/>
      </c>
      <c r="M463" s="9" t="str">
        <f aca="false">IF($C463="","",$K463*$L463)</f>
        <v/>
      </c>
    </row>
    <row r="464" customFormat="false" ht="15" hidden="false" customHeight="true" outlineLevel="0" collapsed="false">
      <c r="A464" s="9" t="str">
        <f aca="false">IF(Equips_usuari!A464="","",Equips_usuari!A464)</f>
        <v/>
      </c>
      <c r="B464" s="9" t="str">
        <f aca="false">IF(Equips_usuari!B464="","",Equips_usuari!B464)</f>
        <v/>
      </c>
      <c r="C464" s="9" t="str">
        <f aca="false">IF(Equips_usuari!C464="","",Equips_usuari!C464)</f>
        <v/>
      </c>
      <c r="D464" s="9" t="str">
        <f aca="false">IF(Equips_usuari!D464="","",Equips_usuari!D464)</f>
        <v/>
      </c>
      <c r="E464" s="9" t="str">
        <f aca="false">IF(Equips_usuari!F464="","",Equips_usuari!F464)</f>
        <v/>
      </c>
      <c r="F464" s="9" t="str">
        <f aca="false">IF($C464="","",SUMIFS(Resultats_jugadores!$C:$C,Resultats_jugadores!$A:$A,$A464,Resultats_jugadores!$B:$B,$C464))</f>
        <v/>
      </c>
      <c r="G464" s="9" t="str">
        <f aca="false">IF($C464="","",SUMIFS(Resultats_jugadores!$D:$D,Resultats_jugadores!$A:$A,$A464,Resultats_jugadores!$B:$B,$C464))</f>
        <v/>
      </c>
      <c r="H464" s="9" t="str">
        <f aca="false">IF($C464="","",N($F464)-N($G464))</f>
        <v/>
      </c>
      <c r="I464" s="9" t="str">
        <f aca="false">IF($C464="","",IFERROR(INDEX(Partits!$C:$C,MATCH($A464&amp;"_"&amp;$D464,Partits!$D:$D,0)),""))</f>
        <v/>
      </c>
      <c r="J464" s="9" t="str">
        <f aca="false">IF($C464="","",IF(AND($I464="V",N($H464)&gt;0),1.2,1))</f>
        <v/>
      </c>
      <c r="K464" s="9" t="str">
        <f aca="false">IF($C464="","",N($H464)*$J464)</f>
        <v/>
      </c>
      <c r="L464" s="9" t="str">
        <f aca="false">IF($C464="","",IF($E464="SI",2,1))</f>
        <v/>
      </c>
      <c r="M464" s="9" t="str">
        <f aca="false">IF($C464="","",$K464*$L464)</f>
        <v/>
      </c>
    </row>
    <row r="465" customFormat="false" ht="15" hidden="false" customHeight="true" outlineLevel="0" collapsed="false">
      <c r="A465" s="9" t="str">
        <f aca="false">IF(Equips_usuari!A465="","",Equips_usuari!A465)</f>
        <v/>
      </c>
      <c r="B465" s="9" t="str">
        <f aca="false">IF(Equips_usuari!B465="","",Equips_usuari!B465)</f>
        <v/>
      </c>
      <c r="C465" s="9" t="str">
        <f aca="false">IF(Equips_usuari!C465="","",Equips_usuari!C465)</f>
        <v/>
      </c>
      <c r="D465" s="9" t="str">
        <f aca="false">IF(Equips_usuari!D465="","",Equips_usuari!D465)</f>
        <v/>
      </c>
      <c r="E465" s="9" t="str">
        <f aca="false">IF(Equips_usuari!F465="","",Equips_usuari!F465)</f>
        <v/>
      </c>
      <c r="F465" s="9" t="str">
        <f aca="false">IF($C465="","",SUMIFS(Resultats_jugadores!$C:$C,Resultats_jugadores!$A:$A,$A465,Resultats_jugadores!$B:$B,$C465))</f>
        <v/>
      </c>
      <c r="G465" s="9" t="str">
        <f aca="false">IF($C465="","",SUMIFS(Resultats_jugadores!$D:$D,Resultats_jugadores!$A:$A,$A465,Resultats_jugadores!$B:$B,$C465))</f>
        <v/>
      </c>
      <c r="H465" s="9" t="str">
        <f aca="false">IF($C465="","",N($F465)-N($G465))</f>
        <v/>
      </c>
      <c r="I465" s="9" t="str">
        <f aca="false">IF($C465="","",IFERROR(INDEX(Partits!$C:$C,MATCH($A465&amp;"_"&amp;$D465,Partits!$D:$D,0)),""))</f>
        <v/>
      </c>
      <c r="J465" s="9" t="str">
        <f aca="false">IF($C465="","",IF(AND($I465="V",N($H465)&gt;0),1.2,1))</f>
        <v/>
      </c>
      <c r="K465" s="9" t="str">
        <f aca="false">IF($C465="","",N($H465)*$J465)</f>
        <v/>
      </c>
      <c r="L465" s="9" t="str">
        <f aca="false">IF($C465="","",IF($E465="SI",2,1))</f>
        <v/>
      </c>
      <c r="M465" s="9" t="str">
        <f aca="false">IF($C465="","",$K465*$L465)</f>
        <v/>
      </c>
    </row>
    <row r="466" customFormat="false" ht="15" hidden="false" customHeight="true" outlineLevel="0" collapsed="false">
      <c r="A466" s="9" t="str">
        <f aca="false">IF(Equips_usuari!A466="","",Equips_usuari!A466)</f>
        <v/>
      </c>
      <c r="B466" s="9" t="str">
        <f aca="false">IF(Equips_usuari!B466="","",Equips_usuari!B466)</f>
        <v/>
      </c>
      <c r="C466" s="9" t="str">
        <f aca="false">IF(Equips_usuari!C466="","",Equips_usuari!C466)</f>
        <v/>
      </c>
      <c r="D466" s="9" t="str">
        <f aca="false">IF(Equips_usuari!D466="","",Equips_usuari!D466)</f>
        <v/>
      </c>
      <c r="E466" s="9" t="str">
        <f aca="false">IF(Equips_usuari!F466="","",Equips_usuari!F466)</f>
        <v/>
      </c>
      <c r="F466" s="9" t="str">
        <f aca="false">IF($C466="","",SUMIFS(Resultats_jugadores!$C:$C,Resultats_jugadores!$A:$A,$A466,Resultats_jugadores!$B:$B,$C466))</f>
        <v/>
      </c>
      <c r="G466" s="9" t="str">
        <f aca="false">IF($C466="","",SUMIFS(Resultats_jugadores!$D:$D,Resultats_jugadores!$A:$A,$A466,Resultats_jugadores!$B:$B,$C466))</f>
        <v/>
      </c>
      <c r="H466" s="9" t="str">
        <f aca="false">IF($C466="","",N($F466)-N($G466))</f>
        <v/>
      </c>
      <c r="I466" s="9" t="str">
        <f aca="false">IF($C466="","",IFERROR(INDEX(Partits!$C:$C,MATCH($A466&amp;"_"&amp;$D466,Partits!$D:$D,0)),""))</f>
        <v/>
      </c>
      <c r="J466" s="9" t="str">
        <f aca="false">IF($C466="","",IF(AND($I466="V",N($H466)&gt;0),1.2,1))</f>
        <v/>
      </c>
      <c r="K466" s="9" t="str">
        <f aca="false">IF($C466="","",N($H466)*$J466)</f>
        <v/>
      </c>
      <c r="L466" s="9" t="str">
        <f aca="false">IF($C466="","",IF($E466="SI",2,1))</f>
        <v/>
      </c>
      <c r="M466" s="9" t="str">
        <f aca="false">IF($C466="","",$K466*$L466)</f>
        <v/>
      </c>
    </row>
    <row r="467" customFormat="false" ht="15" hidden="false" customHeight="true" outlineLevel="0" collapsed="false">
      <c r="A467" s="9" t="str">
        <f aca="false">IF(Equips_usuari!A467="","",Equips_usuari!A467)</f>
        <v/>
      </c>
      <c r="B467" s="9" t="str">
        <f aca="false">IF(Equips_usuari!B467="","",Equips_usuari!B467)</f>
        <v/>
      </c>
      <c r="C467" s="9" t="str">
        <f aca="false">IF(Equips_usuari!C467="","",Equips_usuari!C467)</f>
        <v/>
      </c>
      <c r="D467" s="9" t="str">
        <f aca="false">IF(Equips_usuari!D467="","",Equips_usuari!D467)</f>
        <v/>
      </c>
      <c r="E467" s="9" t="str">
        <f aca="false">IF(Equips_usuari!F467="","",Equips_usuari!F467)</f>
        <v/>
      </c>
      <c r="F467" s="9" t="str">
        <f aca="false">IF($C467="","",SUMIFS(Resultats_jugadores!$C:$C,Resultats_jugadores!$A:$A,$A467,Resultats_jugadores!$B:$B,$C467))</f>
        <v/>
      </c>
      <c r="G467" s="9" t="str">
        <f aca="false">IF($C467="","",SUMIFS(Resultats_jugadores!$D:$D,Resultats_jugadores!$A:$A,$A467,Resultats_jugadores!$B:$B,$C467))</f>
        <v/>
      </c>
      <c r="H467" s="9" t="str">
        <f aca="false">IF($C467="","",N($F467)-N($G467))</f>
        <v/>
      </c>
      <c r="I467" s="9" t="str">
        <f aca="false">IF($C467="","",IFERROR(INDEX(Partits!$C:$C,MATCH($A467&amp;"_"&amp;$D467,Partits!$D:$D,0)),""))</f>
        <v/>
      </c>
      <c r="J467" s="9" t="str">
        <f aca="false">IF($C467="","",IF(AND($I467="V",N($H467)&gt;0),1.2,1))</f>
        <v/>
      </c>
      <c r="K467" s="9" t="str">
        <f aca="false">IF($C467="","",N($H467)*$J467)</f>
        <v/>
      </c>
      <c r="L467" s="9" t="str">
        <f aca="false">IF($C467="","",IF($E467="SI",2,1))</f>
        <v/>
      </c>
      <c r="M467" s="9" t="str">
        <f aca="false">IF($C467="","",$K467*$L467)</f>
        <v/>
      </c>
    </row>
    <row r="468" customFormat="false" ht="15" hidden="false" customHeight="true" outlineLevel="0" collapsed="false">
      <c r="A468" s="9" t="str">
        <f aca="false">IF(Equips_usuari!A468="","",Equips_usuari!A468)</f>
        <v/>
      </c>
      <c r="B468" s="9" t="str">
        <f aca="false">IF(Equips_usuari!B468="","",Equips_usuari!B468)</f>
        <v/>
      </c>
      <c r="C468" s="9" t="str">
        <f aca="false">IF(Equips_usuari!C468="","",Equips_usuari!C468)</f>
        <v/>
      </c>
      <c r="D468" s="9" t="str">
        <f aca="false">IF(Equips_usuari!D468="","",Equips_usuari!D468)</f>
        <v/>
      </c>
      <c r="E468" s="9" t="str">
        <f aca="false">IF(Equips_usuari!F468="","",Equips_usuari!F468)</f>
        <v/>
      </c>
      <c r="F468" s="9" t="str">
        <f aca="false">IF($C468="","",SUMIFS(Resultats_jugadores!$C:$C,Resultats_jugadores!$A:$A,$A468,Resultats_jugadores!$B:$B,$C468))</f>
        <v/>
      </c>
      <c r="G468" s="9" t="str">
        <f aca="false">IF($C468="","",SUMIFS(Resultats_jugadores!$D:$D,Resultats_jugadores!$A:$A,$A468,Resultats_jugadores!$B:$B,$C468))</f>
        <v/>
      </c>
      <c r="H468" s="9" t="str">
        <f aca="false">IF($C468="","",N($F468)-N($G468))</f>
        <v/>
      </c>
      <c r="I468" s="9" t="str">
        <f aca="false">IF($C468="","",IFERROR(INDEX(Partits!$C:$C,MATCH($A468&amp;"_"&amp;$D468,Partits!$D:$D,0)),""))</f>
        <v/>
      </c>
      <c r="J468" s="9" t="str">
        <f aca="false">IF($C468="","",IF(AND($I468="V",N($H468)&gt;0),1.2,1))</f>
        <v/>
      </c>
      <c r="K468" s="9" t="str">
        <f aca="false">IF($C468="","",N($H468)*$J468)</f>
        <v/>
      </c>
      <c r="L468" s="9" t="str">
        <f aca="false">IF($C468="","",IF($E468="SI",2,1))</f>
        <v/>
      </c>
      <c r="M468" s="9" t="str">
        <f aca="false">IF($C468="","",$K468*$L468)</f>
        <v/>
      </c>
    </row>
    <row r="469" customFormat="false" ht="15" hidden="false" customHeight="true" outlineLevel="0" collapsed="false">
      <c r="A469" s="9" t="str">
        <f aca="false">IF(Equips_usuari!A469="","",Equips_usuari!A469)</f>
        <v/>
      </c>
      <c r="B469" s="9" t="str">
        <f aca="false">IF(Equips_usuari!B469="","",Equips_usuari!B469)</f>
        <v/>
      </c>
      <c r="C469" s="9" t="str">
        <f aca="false">IF(Equips_usuari!C469="","",Equips_usuari!C469)</f>
        <v/>
      </c>
      <c r="D469" s="9" t="str">
        <f aca="false">IF(Equips_usuari!D469="","",Equips_usuari!D469)</f>
        <v/>
      </c>
      <c r="E469" s="9" t="str">
        <f aca="false">IF(Equips_usuari!F469="","",Equips_usuari!F469)</f>
        <v/>
      </c>
      <c r="F469" s="9" t="str">
        <f aca="false">IF($C469="","",SUMIFS(Resultats_jugadores!$C:$C,Resultats_jugadores!$A:$A,$A469,Resultats_jugadores!$B:$B,$C469))</f>
        <v/>
      </c>
      <c r="G469" s="9" t="str">
        <f aca="false">IF($C469="","",SUMIFS(Resultats_jugadores!$D:$D,Resultats_jugadores!$A:$A,$A469,Resultats_jugadores!$B:$B,$C469))</f>
        <v/>
      </c>
      <c r="H469" s="9" t="str">
        <f aca="false">IF($C469="","",N($F469)-N($G469))</f>
        <v/>
      </c>
      <c r="I469" s="9" t="str">
        <f aca="false">IF($C469="","",IFERROR(INDEX(Partits!$C:$C,MATCH($A469&amp;"_"&amp;$D469,Partits!$D:$D,0)),""))</f>
        <v/>
      </c>
      <c r="J469" s="9" t="str">
        <f aca="false">IF($C469="","",IF(AND($I469="V",N($H469)&gt;0),1.2,1))</f>
        <v/>
      </c>
      <c r="K469" s="9" t="str">
        <f aca="false">IF($C469="","",N($H469)*$J469)</f>
        <v/>
      </c>
      <c r="L469" s="9" t="str">
        <f aca="false">IF($C469="","",IF($E469="SI",2,1))</f>
        <v/>
      </c>
      <c r="M469" s="9" t="str">
        <f aca="false">IF($C469="","",$K469*$L469)</f>
        <v/>
      </c>
    </row>
    <row r="470" customFormat="false" ht="15" hidden="false" customHeight="true" outlineLevel="0" collapsed="false">
      <c r="A470" s="9" t="str">
        <f aca="false">IF(Equips_usuari!A470="","",Equips_usuari!A470)</f>
        <v/>
      </c>
      <c r="B470" s="9" t="str">
        <f aca="false">IF(Equips_usuari!B470="","",Equips_usuari!B470)</f>
        <v/>
      </c>
      <c r="C470" s="9" t="str">
        <f aca="false">IF(Equips_usuari!C470="","",Equips_usuari!C470)</f>
        <v/>
      </c>
      <c r="D470" s="9" t="str">
        <f aca="false">IF(Equips_usuari!D470="","",Equips_usuari!D470)</f>
        <v/>
      </c>
      <c r="E470" s="9" t="str">
        <f aca="false">IF(Equips_usuari!F470="","",Equips_usuari!F470)</f>
        <v/>
      </c>
      <c r="F470" s="9" t="str">
        <f aca="false">IF($C470="","",SUMIFS(Resultats_jugadores!$C:$C,Resultats_jugadores!$A:$A,$A470,Resultats_jugadores!$B:$B,$C470))</f>
        <v/>
      </c>
      <c r="G470" s="9" t="str">
        <f aca="false">IF($C470="","",SUMIFS(Resultats_jugadores!$D:$D,Resultats_jugadores!$A:$A,$A470,Resultats_jugadores!$B:$B,$C470))</f>
        <v/>
      </c>
      <c r="H470" s="9" t="str">
        <f aca="false">IF($C470="","",N($F470)-N($G470))</f>
        <v/>
      </c>
      <c r="I470" s="9" t="str">
        <f aca="false">IF($C470="","",IFERROR(INDEX(Partits!$C:$C,MATCH($A470&amp;"_"&amp;$D470,Partits!$D:$D,0)),""))</f>
        <v/>
      </c>
      <c r="J470" s="9" t="str">
        <f aca="false">IF($C470="","",IF(AND($I470="V",N($H470)&gt;0),1.2,1))</f>
        <v/>
      </c>
      <c r="K470" s="9" t="str">
        <f aca="false">IF($C470="","",N($H470)*$J470)</f>
        <v/>
      </c>
      <c r="L470" s="9" t="str">
        <f aca="false">IF($C470="","",IF($E470="SI",2,1))</f>
        <v/>
      </c>
      <c r="M470" s="9" t="str">
        <f aca="false">IF($C470="","",$K470*$L470)</f>
        <v/>
      </c>
    </row>
    <row r="471" customFormat="false" ht="15" hidden="false" customHeight="true" outlineLevel="0" collapsed="false">
      <c r="A471" s="9" t="str">
        <f aca="false">IF(Equips_usuari!A471="","",Equips_usuari!A471)</f>
        <v/>
      </c>
      <c r="B471" s="9" t="str">
        <f aca="false">IF(Equips_usuari!B471="","",Equips_usuari!B471)</f>
        <v/>
      </c>
      <c r="C471" s="9" t="str">
        <f aca="false">IF(Equips_usuari!C471="","",Equips_usuari!C471)</f>
        <v/>
      </c>
      <c r="D471" s="9" t="str">
        <f aca="false">IF(Equips_usuari!D471="","",Equips_usuari!D471)</f>
        <v/>
      </c>
      <c r="E471" s="9" t="str">
        <f aca="false">IF(Equips_usuari!F471="","",Equips_usuari!F471)</f>
        <v/>
      </c>
      <c r="F471" s="9" t="str">
        <f aca="false">IF($C471="","",SUMIFS(Resultats_jugadores!$C:$C,Resultats_jugadores!$A:$A,$A471,Resultats_jugadores!$B:$B,$C471))</f>
        <v/>
      </c>
      <c r="G471" s="9" t="str">
        <f aca="false">IF($C471="","",SUMIFS(Resultats_jugadores!$D:$D,Resultats_jugadores!$A:$A,$A471,Resultats_jugadores!$B:$B,$C471))</f>
        <v/>
      </c>
      <c r="H471" s="9" t="str">
        <f aca="false">IF($C471="","",N($F471)-N($G471))</f>
        <v/>
      </c>
      <c r="I471" s="9" t="str">
        <f aca="false">IF($C471="","",IFERROR(INDEX(Partits!$C:$C,MATCH($A471&amp;"_"&amp;$D471,Partits!$D:$D,0)),""))</f>
        <v/>
      </c>
      <c r="J471" s="9" t="str">
        <f aca="false">IF($C471="","",IF(AND($I471="V",N($H471)&gt;0),1.2,1))</f>
        <v/>
      </c>
      <c r="K471" s="9" t="str">
        <f aca="false">IF($C471="","",N($H471)*$J471)</f>
        <v/>
      </c>
      <c r="L471" s="9" t="str">
        <f aca="false">IF($C471="","",IF($E471="SI",2,1))</f>
        <v/>
      </c>
      <c r="M471" s="9" t="str">
        <f aca="false">IF($C471="","",$K471*$L471)</f>
        <v/>
      </c>
    </row>
    <row r="472" customFormat="false" ht="15" hidden="false" customHeight="true" outlineLevel="0" collapsed="false">
      <c r="A472" s="9" t="str">
        <f aca="false">IF(Equips_usuari!A472="","",Equips_usuari!A472)</f>
        <v/>
      </c>
      <c r="B472" s="9" t="str">
        <f aca="false">IF(Equips_usuari!B472="","",Equips_usuari!B472)</f>
        <v/>
      </c>
      <c r="C472" s="9" t="str">
        <f aca="false">IF(Equips_usuari!C472="","",Equips_usuari!C472)</f>
        <v/>
      </c>
      <c r="D472" s="9" t="str">
        <f aca="false">IF(Equips_usuari!D472="","",Equips_usuari!D472)</f>
        <v/>
      </c>
      <c r="E472" s="9" t="str">
        <f aca="false">IF(Equips_usuari!F472="","",Equips_usuari!F472)</f>
        <v/>
      </c>
      <c r="F472" s="9" t="str">
        <f aca="false">IF($C472="","",SUMIFS(Resultats_jugadores!$C:$C,Resultats_jugadores!$A:$A,$A472,Resultats_jugadores!$B:$B,$C472))</f>
        <v/>
      </c>
      <c r="G472" s="9" t="str">
        <f aca="false">IF($C472="","",SUMIFS(Resultats_jugadores!$D:$D,Resultats_jugadores!$A:$A,$A472,Resultats_jugadores!$B:$B,$C472))</f>
        <v/>
      </c>
      <c r="H472" s="9" t="str">
        <f aca="false">IF($C472="","",N($F472)-N($G472))</f>
        <v/>
      </c>
      <c r="I472" s="9" t="str">
        <f aca="false">IF($C472="","",IFERROR(INDEX(Partits!$C:$C,MATCH($A472&amp;"_"&amp;$D472,Partits!$D:$D,0)),""))</f>
        <v/>
      </c>
      <c r="J472" s="9" t="str">
        <f aca="false">IF($C472="","",IF(AND($I472="V",N($H472)&gt;0),1.2,1))</f>
        <v/>
      </c>
      <c r="K472" s="9" t="str">
        <f aca="false">IF($C472="","",N($H472)*$J472)</f>
        <v/>
      </c>
      <c r="L472" s="9" t="str">
        <f aca="false">IF($C472="","",IF($E472="SI",2,1))</f>
        <v/>
      </c>
      <c r="M472" s="9" t="str">
        <f aca="false">IF($C472="","",$K472*$L472)</f>
        <v/>
      </c>
    </row>
    <row r="473" customFormat="false" ht="15" hidden="false" customHeight="true" outlineLevel="0" collapsed="false">
      <c r="A473" s="9" t="str">
        <f aca="false">IF(Equips_usuari!A473="","",Equips_usuari!A473)</f>
        <v/>
      </c>
      <c r="B473" s="9" t="str">
        <f aca="false">IF(Equips_usuari!B473="","",Equips_usuari!B473)</f>
        <v/>
      </c>
      <c r="C473" s="9" t="str">
        <f aca="false">IF(Equips_usuari!C473="","",Equips_usuari!C473)</f>
        <v/>
      </c>
      <c r="D473" s="9" t="str">
        <f aca="false">IF(Equips_usuari!D473="","",Equips_usuari!D473)</f>
        <v/>
      </c>
      <c r="E473" s="9" t="str">
        <f aca="false">IF(Equips_usuari!F473="","",Equips_usuari!F473)</f>
        <v/>
      </c>
      <c r="F473" s="9" t="str">
        <f aca="false">IF($C473="","",SUMIFS(Resultats_jugadores!$C:$C,Resultats_jugadores!$A:$A,$A473,Resultats_jugadores!$B:$B,$C473))</f>
        <v/>
      </c>
      <c r="G473" s="9" t="str">
        <f aca="false">IF($C473="","",SUMIFS(Resultats_jugadores!$D:$D,Resultats_jugadores!$A:$A,$A473,Resultats_jugadores!$B:$B,$C473))</f>
        <v/>
      </c>
      <c r="H473" s="9" t="str">
        <f aca="false">IF($C473="","",N($F473)-N($G473))</f>
        <v/>
      </c>
      <c r="I473" s="9" t="str">
        <f aca="false">IF($C473="","",IFERROR(INDEX(Partits!$C:$C,MATCH($A473&amp;"_"&amp;$D473,Partits!$D:$D,0)),""))</f>
        <v/>
      </c>
      <c r="J473" s="9" t="str">
        <f aca="false">IF($C473="","",IF(AND($I473="V",N($H473)&gt;0),1.2,1))</f>
        <v/>
      </c>
      <c r="K473" s="9" t="str">
        <f aca="false">IF($C473="","",N($H473)*$J473)</f>
        <v/>
      </c>
      <c r="L473" s="9" t="str">
        <f aca="false">IF($C473="","",IF($E473="SI",2,1))</f>
        <v/>
      </c>
      <c r="M473" s="9" t="str">
        <f aca="false">IF($C473="","",$K473*$L473)</f>
        <v/>
      </c>
    </row>
    <row r="474" customFormat="false" ht="15" hidden="false" customHeight="true" outlineLevel="0" collapsed="false">
      <c r="A474" s="9" t="str">
        <f aca="false">IF(Equips_usuari!A474="","",Equips_usuari!A474)</f>
        <v/>
      </c>
      <c r="B474" s="9" t="str">
        <f aca="false">IF(Equips_usuari!B474="","",Equips_usuari!B474)</f>
        <v/>
      </c>
      <c r="C474" s="9" t="str">
        <f aca="false">IF(Equips_usuari!C474="","",Equips_usuari!C474)</f>
        <v/>
      </c>
      <c r="D474" s="9" t="str">
        <f aca="false">IF(Equips_usuari!D474="","",Equips_usuari!D474)</f>
        <v/>
      </c>
      <c r="E474" s="9" t="str">
        <f aca="false">IF(Equips_usuari!F474="","",Equips_usuari!F474)</f>
        <v/>
      </c>
      <c r="F474" s="9" t="str">
        <f aca="false">IF($C474="","",SUMIFS(Resultats_jugadores!$C:$C,Resultats_jugadores!$A:$A,$A474,Resultats_jugadores!$B:$B,$C474))</f>
        <v/>
      </c>
      <c r="G474" s="9" t="str">
        <f aca="false">IF($C474="","",SUMIFS(Resultats_jugadores!$D:$D,Resultats_jugadores!$A:$A,$A474,Resultats_jugadores!$B:$B,$C474))</f>
        <v/>
      </c>
      <c r="H474" s="9" t="str">
        <f aca="false">IF($C474="","",N($F474)-N($G474))</f>
        <v/>
      </c>
      <c r="I474" s="9" t="str">
        <f aca="false">IF($C474="","",IFERROR(INDEX(Partits!$C:$C,MATCH($A474&amp;"_"&amp;$D474,Partits!$D:$D,0)),""))</f>
        <v/>
      </c>
      <c r="J474" s="9" t="str">
        <f aca="false">IF($C474="","",IF(AND($I474="V",N($H474)&gt;0),1.2,1))</f>
        <v/>
      </c>
      <c r="K474" s="9" t="str">
        <f aca="false">IF($C474="","",N($H474)*$J474)</f>
        <v/>
      </c>
      <c r="L474" s="9" t="str">
        <f aca="false">IF($C474="","",IF($E474="SI",2,1))</f>
        <v/>
      </c>
      <c r="M474" s="9" t="str">
        <f aca="false">IF($C474="","",$K474*$L474)</f>
        <v/>
      </c>
    </row>
    <row r="475" customFormat="false" ht="15" hidden="false" customHeight="true" outlineLevel="0" collapsed="false">
      <c r="A475" s="9" t="str">
        <f aca="false">IF(Equips_usuari!A475="","",Equips_usuari!A475)</f>
        <v/>
      </c>
      <c r="B475" s="9" t="str">
        <f aca="false">IF(Equips_usuari!B475="","",Equips_usuari!B475)</f>
        <v/>
      </c>
      <c r="C475" s="9" t="str">
        <f aca="false">IF(Equips_usuari!C475="","",Equips_usuari!C475)</f>
        <v/>
      </c>
      <c r="D475" s="9" t="str">
        <f aca="false">IF(Equips_usuari!D475="","",Equips_usuari!D475)</f>
        <v/>
      </c>
      <c r="E475" s="9" t="str">
        <f aca="false">IF(Equips_usuari!F475="","",Equips_usuari!F475)</f>
        <v/>
      </c>
      <c r="F475" s="9" t="str">
        <f aca="false">IF($C475="","",SUMIFS(Resultats_jugadores!$C:$C,Resultats_jugadores!$A:$A,$A475,Resultats_jugadores!$B:$B,$C475))</f>
        <v/>
      </c>
      <c r="G475" s="9" t="str">
        <f aca="false">IF($C475="","",SUMIFS(Resultats_jugadores!$D:$D,Resultats_jugadores!$A:$A,$A475,Resultats_jugadores!$B:$B,$C475))</f>
        <v/>
      </c>
      <c r="H475" s="9" t="str">
        <f aca="false">IF($C475="","",N($F475)-N($G475))</f>
        <v/>
      </c>
      <c r="I475" s="9" t="str">
        <f aca="false">IF($C475="","",IFERROR(INDEX(Partits!$C:$C,MATCH($A475&amp;"_"&amp;$D475,Partits!$D:$D,0)),""))</f>
        <v/>
      </c>
      <c r="J475" s="9" t="str">
        <f aca="false">IF($C475="","",IF(AND($I475="V",N($H475)&gt;0),1.2,1))</f>
        <v/>
      </c>
      <c r="K475" s="9" t="str">
        <f aca="false">IF($C475="","",N($H475)*$J475)</f>
        <v/>
      </c>
      <c r="L475" s="9" t="str">
        <f aca="false">IF($C475="","",IF($E475="SI",2,1))</f>
        <v/>
      </c>
      <c r="M475" s="9" t="str">
        <f aca="false">IF($C475="","",$K475*$L475)</f>
        <v/>
      </c>
    </row>
    <row r="476" customFormat="false" ht="15" hidden="false" customHeight="true" outlineLevel="0" collapsed="false">
      <c r="A476" s="9" t="str">
        <f aca="false">IF(Equips_usuari!A476="","",Equips_usuari!A476)</f>
        <v/>
      </c>
      <c r="B476" s="9" t="str">
        <f aca="false">IF(Equips_usuari!B476="","",Equips_usuari!B476)</f>
        <v/>
      </c>
      <c r="C476" s="9" t="str">
        <f aca="false">IF(Equips_usuari!C476="","",Equips_usuari!C476)</f>
        <v/>
      </c>
      <c r="D476" s="9" t="str">
        <f aca="false">IF(Equips_usuari!D476="","",Equips_usuari!D476)</f>
        <v/>
      </c>
      <c r="E476" s="9" t="str">
        <f aca="false">IF(Equips_usuari!F476="","",Equips_usuari!F476)</f>
        <v/>
      </c>
      <c r="F476" s="9" t="str">
        <f aca="false">IF($C476="","",SUMIFS(Resultats_jugadores!$C:$C,Resultats_jugadores!$A:$A,$A476,Resultats_jugadores!$B:$B,$C476))</f>
        <v/>
      </c>
      <c r="G476" s="9" t="str">
        <f aca="false">IF($C476="","",SUMIFS(Resultats_jugadores!$D:$D,Resultats_jugadores!$A:$A,$A476,Resultats_jugadores!$B:$B,$C476))</f>
        <v/>
      </c>
      <c r="H476" s="9" t="str">
        <f aca="false">IF($C476="","",N($F476)-N($G476))</f>
        <v/>
      </c>
      <c r="I476" s="9" t="str">
        <f aca="false">IF($C476="","",IFERROR(INDEX(Partits!$C:$C,MATCH($A476&amp;"_"&amp;$D476,Partits!$D:$D,0)),""))</f>
        <v/>
      </c>
      <c r="J476" s="9" t="str">
        <f aca="false">IF($C476="","",IF(AND($I476="V",N($H476)&gt;0),1.2,1))</f>
        <v/>
      </c>
      <c r="K476" s="9" t="str">
        <f aca="false">IF($C476="","",N($H476)*$J476)</f>
        <v/>
      </c>
      <c r="L476" s="9" t="str">
        <f aca="false">IF($C476="","",IF($E476="SI",2,1))</f>
        <v/>
      </c>
      <c r="M476" s="9" t="str">
        <f aca="false">IF($C476="","",$K476*$L476)</f>
        <v/>
      </c>
    </row>
    <row r="477" customFormat="false" ht="15" hidden="false" customHeight="true" outlineLevel="0" collapsed="false">
      <c r="A477" s="9" t="str">
        <f aca="false">IF(Equips_usuari!A477="","",Equips_usuari!A477)</f>
        <v/>
      </c>
      <c r="B477" s="9" t="str">
        <f aca="false">IF(Equips_usuari!B477="","",Equips_usuari!B477)</f>
        <v/>
      </c>
      <c r="C477" s="9" t="str">
        <f aca="false">IF(Equips_usuari!C477="","",Equips_usuari!C477)</f>
        <v/>
      </c>
      <c r="D477" s="9" t="str">
        <f aca="false">IF(Equips_usuari!D477="","",Equips_usuari!D477)</f>
        <v/>
      </c>
      <c r="E477" s="9" t="str">
        <f aca="false">IF(Equips_usuari!F477="","",Equips_usuari!F477)</f>
        <v/>
      </c>
      <c r="F477" s="9" t="str">
        <f aca="false">IF($C477="","",SUMIFS(Resultats_jugadores!$C:$C,Resultats_jugadores!$A:$A,$A477,Resultats_jugadores!$B:$B,$C477))</f>
        <v/>
      </c>
      <c r="G477" s="9" t="str">
        <f aca="false">IF($C477="","",SUMIFS(Resultats_jugadores!$D:$D,Resultats_jugadores!$A:$A,$A477,Resultats_jugadores!$B:$B,$C477))</f>
        <v/>
      </c>
      <c r="H477" s="9" t="str">
        <f aca="false">IF($C477="","",N($F477)-N($G477))</f>
        <v/>
      </c>
      <c r="I477" s="9" t="str">
        <f aca="false">IF($C477="","",IFERROR(INDEX(Partits!$C:$C,MATCH($A477&amp;"_"&amp;$D477,Partits!$D:$D,0)),""))</f>
        <v/>
      </c>
      <c r="J477" s="9" t="str">
        <f aca="false">IF($C477="","",IF(AND($I477="V",N($H477)&gt;0),1.2,1))</f>
        <v/>
      </c>
      <c r="K477" s="9" t="str">
        <f aca="false">IF($C477="","",N($H477)*$J477)</f>
        <v/>
      </c>
      <c r="L477" s="9" t="str">
        <f aca="false">IF($C477="","",IF($E477="SI",2,1))</f>
        <v/>
      </c>
      <c r="M477" s="9" t="str">
        <f aca="false">IF($C477="","",$K477*$L477)</f>
        <v/>
      </c>
    </row>
    <row r="478" customFormat="false" ht="15" hidden="false" customHeight="true" outlineLevel="0" collapsed="false">
      <c r="A478" s="9" t="str">
        <f aca="false">IF(Equips_usuari!A478="","",Equips_usuari!A478)</f>
        <v/>
      </c>
      <c r="B478" s="9" t="str">
        <f aca="false">IF(Equips_usuari!B478="","",Equips_usuari!B478)</f>
        <v/>
      </c>
      <c r="C478" s="9" t="str">
        <f aca="false">IF(Equips_usuari!C478="","",Equips_usuari!C478)</f>
        <v/>
      </c>
      <c r="D478" s="9" t="str">
        <f aca="false">IF(Equips_usuari!D478="","",Equips_usuari!D478)</f>
        <v/>
      </c>
      <c r="E478" s="9" t="str">
        <f aca="false">IF(Equips_usuari!F478="","",Equips_usuari!F478)</f>
        <v/>
      </c>
      <c r="F478" s="9" t="str">
        <f aca="false">IF($C478="","",SUMIFS(Resultats_jugadores!$C:$C,Resultats_jugadores!$A:$A,$A478,Resultats_jugadores!$B:$B,$C478))</f>
        <v/>
      </c>
      <c r="G478" s="9" t="str">
        <f aca="false">IF($C478="","",SUMIFS(Resultats_jugadores!$D:$D,Resultats_jugadores!$A:$A,$A478,Resultats_jugadores!$B:$B,$C478))</f>
        <v/>
      </c>
      <c r="H478" s="9" t="str">
        <f aca="false">IF($C478="","",N($F478)-N($G478))</f>
        <v/>
      </c>
      <c r="I478" s="9" t="str">
        <f aca="false">IF($C478="","",IFERROR(INDEX(Partits!$C:$C,MATCH($A478&amp;"_"&amp;$D478,Partits!$D:$D,0)),""))</f>
        <v/>
      </c>
      <c r="J478" s="9" t="str">
        <f aca="false">IF($C478="","",IF(AND($I478="V",N($H478)&gt;0),1.2,1))</f>
        <v/>
      </c>
      <c r="K478" s="9" t="str">
        <f aca="false">IF($C478="","",N($H478)*$J478)</f>
        <v/>
      </c>
      <c r="L478" s="9" t="str">
        <f aca="false">IF($C478="","",IF($E478="SI",2,1))</f>
        <v/>
      </c>
      <c r="M478" s="9" t="str">
        <f aca="false">IF($C478="","",$K478*$L478)</f>
        <v/>
      </c>
    </row>
    <row r="479" customFormat="false" ht="15" hidden="false" customHeight="true" outlineLevel="0" collapsed="false">
      <c r="A479" s="9" t="str">
        <f aca="false">IF(Equips_usuari!A479="","",Equips_usuari!A479)</f>
        <v/>
      </c>
      <c r="B479" s="9" t="str">
        <f aca="false">IF(Equips_usuari!B479="","",Equips_usuari!B479)</f>
        <v/>
      </c>
      <c r="C479" s="9" t="str">
        <f aca="false">IF(Equips_usuari!C479="","",Equips_usuari!C479)</f>
        <v/>
      </c>
      <c r="D479" s="9" t="str">
        <f aca="false">IF(Equips_usuari!D479="","",Equips_usuari!D479)</f>
        <v/>
      </c>
      <c r="E479" s="9" t="str">
        <f aca="false">IF(Equips_usuari!F479="","",Equips_usuari!F479)</f>
        <v/>
      </c>
      <c r="F479" s="9" t="str">
        <f aca="false">IF($C479="","",SUMIFS(Resultats_jugadores!$C:$C,Resultats_jugadores!$A:$A,$A479,Resultats_jugadores!$B:$B,$C479))</f>
        <v/>
      </c>
      <c r="G479" s="9" t="str">
        <f aca="false">IF($C479="","",SUMIFS(Resultats_jugadores!$D:$D,Resultats_jugadores!$A:$A,$A479,Resultats_jugadores!$B:$B,$C479))</f>
        <v/>
      </c>
      <c r="H479" s="9" t="str">
        <f aca="false">IF($C479="","",N($F479)-N($G479))</f>
        <v/>
      </c>
      <c r="I479" s="9" t="str">
        <f aca="false">IF($C479="","",IFERROR(INDEX(Partits!$C:$C,MATCH($A479&amp;"_"&amp;$D479,Partits!$D:$D,0)),""))</f>
        <v/>
      </c>
      <c r="J479" s="9" t="str">
        <f aca="false">IF($C479="","",IF(AND($I479="V",N($H479)&gt;0),1.2,1))</f>
        <v/>
      </c>
      <c r="K479" s="9" t="str">
        <f aca="false">IF($C479="","",N($H479)*$J479)</f>
        <v/>
      </c>
      <c r="L479" s="9" t="str">
        <f aca="false">IF($C479="","",IF($E479="SI",2,1))</f>
        <v/>
      </c>
      <c r="M479" s="9" t="str">
        <f aca="false">IF($C479="","",$K479*$L479)</f>
        <v/>
      </c>
    </row>
    <row r="480" customFormat="false" ht="15" hidden="false" customHeight="true" outlineLevel="0" collapsed="false">
      <c r="A480" s="9" t="str">
        <f aca="false">IF(Equips_usuari!A480="","",Equips_usuari!A480)</f>
        <v/>
      </c>
      <c r="B480" s="9" t="str">
        <f aca="false">IF(Equips_usuari!B480="","",Equips_usuari!B480)</f>
        <v/>
      </c>
      <c r="C480" s="9" t="str">
        <f aca="false">IF(Equips_usuari!C480="","",Equips_usuari!C480)</f>
        <v/>
      </c>
      <c r="D480" s="9" t="str">
        <f aca="false">IF(Equips_usuari!D480="","",Equips_usuari!D480)</f>
        <v/>
      </c>
      <c r="E480" s="9" t="str">
        <f aca="false">IF(Equips_usuari!F480="","",Equips_usuari!F480)</f>
        <v/>
      </c>
      <c r="F480" s="9" t="str">
        <f aca="false">IF($C480="","",SUMIFS(Resultats_jugadores!$C:$C,Resultats_jugadores!$A:$A,$A480,Resultats_jugadores!$B:$B,$C480))</f>
        <v/>
      </c>
      <c r="G480" s="9" t="str">
        <f aca="false">IF($C480="","",SUMIFS(Resultats_jugadores!$D:$D,Resultats_jugadores!$A:$A,$A480,Resultats_jugadores!$B:$B,$C480))</f>
        <v/>
      </c>
      <c r="H480" s="9" t="str">
        <f aca="false">IF($C480="","",N($F480)-N($G480))</f>
        <v/>
      </c>
      <c r="I480" s="9" t="str">
        <f aca="false">IF($C480="","",IFERROR(INDEX(Partits!$C:$C,MATCH($A480&amp;"_"&amp;$D480,Partits!$D:$D,0)),""))</f>
        <v/>
      </c>
      <c r="J480" s="9" t="str">
        <f aca="false">IF($C480="","",IF(AND($I480="V",N($H480)&gt;0),1.2,1))</f>
        <v/>
      </c>
      <c r="K480" s="9" t="str">
        <f aca="false">IF($C480="","",N($H480)*$J480)</f>
        <v/>
      </c>
      <c r="L480" s="9" t="str">
        <f aca="false">IF($C480="","",IF($E480="SI",2,1))</f>
        <v/>
      </c>
      <c r="M480" s="9" t="str">
        <f aca="false">IF($C480="","",$K480*$L480)</f>
        <v/>
      </c>
    </row>
    <row r="481" customFormat="false" ht="15" hidden="false" customHeight="true" outlineLevel="0" collapsed="false">
      <c r="A481" s="9" t="str">
        <f aca="false">IF(Equips_usuari!A481="","",Equips_usuari!A481)</f>
        <v/>
      </c>
      <c r="B481" s="9" t="str">
        <f aca="false">IF(Equips_usuari!B481="","",Equips_usuari!B481)</f>
        <v/>
      </c>
      <c r="C481" s="9" t="str">
        <f aca="false">IF(Equips_usuari!C481="","",Equips_usuari!C481)</f>
        <v/>
      </c>
      <c r="D481" s="9" t="str">
        <f aca="false">IF(Equips_usuari!D481="","",Equips_usuari!D481)</f>
        <v/>
      </c>
      <c r="E481" s="9" t="str">
        <f aca="false">IF(Equips_usuari!F481="","",Equips_usuari!F481)</f>
        <v/>
      </c>
      <c r="F481" s="9" t="str">
        <f aca="false">IF($C481="","",SUMIFS(Resultats_jugadores!$C:$C,Resultats_jugadores!$A:$A,$A481,Resultats_jugadores!$B:$B,$C481))</f>
        <v/>
      </c>
      <c r="G481" s="9" t="str">
        <f aca="false">IF($C481="","",SUMIFS(Resultats_jugadores!$D:$D,Resultats_jugadores!$A:$A,$A481,Resultats_jugadores!$B:$B,$C481))</f>
        <v/>
      </c>
      <c r="H481" s="9" t="str">
        <f aca="false">IF($C481="","",N($F481)-N($G481))</f>
        <v/>
      </c>
      <c r="I481" s="9" t="str">
        <f aca="false">IF($C481="","",IFERROR(INDEX(Partits!$C:$C,MATCH($A481&amp;"_"&amp;$D481,Partits!$D:$D,0)),""))</f>
        <v/>
      </c>
      <c r="J481" s="9" t="str">
        <f aca="false">IF($C481="","",IF(AND($I481="V",N($H481)&gt;0),1.2,1))</f>
        <v/>
      </c>
      <c r="K481" s="9" t="str">
        <f aca="false">IF($C481="","",N($H481)*$J481)</f>
        <v/>
      </c>
      <c r="L481" s="9" t="str">
        <f aca="false">IF($C481="","",IF($E481="SI",2,1))</f>
        <v/>
      </c>
      <c r="M481" s="9" t="str">
        <f aca="false">IF($C481="","",$K481*$L481)</f>
        <v/>
      </c>
    </row>
    <row r="482" customFormat="false" ht="15" hidden="false" customHeight="true" outlineLevel="0" collapsed="false">
      <c r="A482" s="9" t="str">
        <f aca="false">IF(Equips_usuari!A482="","",Equips_usuari!A482)</f>
        <v/>
      </c>
      <c r="B482" s="9" t="str">
        <f aca="false">IF(Equips_usuari!B482="","",Equips_usuari!B482)</f>
        <v/>
      </c>
      <c r="C482" s="9" t="str">
        <f aca="false">IF(Equips_usuari!C482="","",Equips_usuari!C482)</f>
        <v/>
      </c>
      <c r="D482" s="9" t="str">
        <f aca="false">IF(Equips_usuari!D482="","",Equips_usuari!D482)</f>
        <v/>
      </c>
      <c r="E482" s="9" t="str">
        <f aca="false">IF(Equips_usuari!F482="","",Equips_usuari!F482)</f>
        <v/>
      </c>
      <c r="F482" s="9" t="str">
        <f aca="false">IF($C482="","",SUMIFS(Resultats_jugadores!$C:$C,Resultats_jugadores!$A:$A,$A482,Resultats_jugadores!$B:$B,$C482))</f>
        <v/>
      </c>
      <c r="G482" s="9" t="str">
        <f aca="false">IF($C482="","",SUMIFS(Resultats_jugadores!$D:$D,Resultats_jugadores!$A:$A,$A482,Resultats_jugadores!$B:$B,$C482))</f>
        <v/>
      </c>
      <c r="H482" s="9" t="str">
        <f aca="false">IF($C482="","",N($F482)-N($G482))</f>
        <v/>
      </c>
      <c r="I482" s="9" t="str">
        <f aca="false">IF($C482="","",IFERROR(INDEX(Partits!$C:$C,MATCH($A482&amp;"_"&amp;$D482,Partits!$D:$D,0)),""))</f>
        <v/>
      </c>
      <c r="J482" s="9" t="str">
        <f aca="false">IF($C482="","",IF(AND($I482="V",N($H482)&gt;0),1.2,1))</f>
        <v/>
      </c>
      <c r="K482" s="9" t="str">
        <f aca="false">IF($C482="","",N($H482)*$J482)</f>
        <v/>
      </c>
      <c r="L482" s="9" t="str">
        <f aca="false">IF($C482="","",IF($E482="SI",2,1))</f>
        <v/>
      </c>
      <c r="M482" s="9" t="str">
        <f aca="false">IF($C482="","",$K482*$L482)</f>
        <v/>
      </c>
    </row>
    <row r="483" customFormat="false" ht="15" hidden="false" customHeight="true" outlineLevel="0" collapsed="false">
      <c r="A483" s="9" t="str">
        <f aca="false">IF(Equips_usuari!A483="","",Equips_usuari!A483)</f>
        <v/>
      </c>
      <c r="B483" s="9" t="str">
        <f aca="false">IF(Equips_usuari!B483="","",Equips_usuari!B483)</f>
        <v/>
      </c>
      <c r="C483" s="9" t="str">
        <f aca="false">IF(Equips_usuari!C483="","",Equips_usuari!C483)</f>
        <v/>
      </c>
      <c r="D483" s="9" t="str">
        <f aca="false">IF(Equips_usuari!D483="","",Equips_usuari!D483)</f>
        <v/>
      </c>
      <c r="E483" s="9" t="str">
        <f aca="false">IF(Equips_usuari!F483="","",Equips_usuari!F483)</f>
        <v/>
      </c>
      <c r="F483" s="9" t="str">
        <f aca="false">IF($C483="","",SUMIFS(Resultats_jugadores!$C:$C,Resultats_jugadores!$A:$A,$A483,Resultats_jugadores!$B:$B,$C483))</f>
        <v/>
      </c>
      <c r="G483" s="9" t="str">
        <f aca="false">IF($C483="","",SUMIFS(Resultats_jugadores!$D:$D,Resultats_jugadores!$A:$A,$A483,Resultats_jugadores!$B:$B,$C483))</f>
        <v/>
      </c>
      <c r="H483" s="9" t="str">
        <f aca="false">IF($C483="","",N($F483)-N($G483))</f>
        <v/>
      </c>
      <c r="I483" s="9" t="str">
        <f aca="false">IF($C483="","",IFERROR(INDEX(Partits!$C:$C,MATCH($A483&amp;"_"&amp;$D483,Partits!$D:$D,0)),""))</f>
        <v/>
      </c>
      <c r="J483" s="9" t="str">
        <f aca="false">IF($C483="","",IF(AND($I483="V",N($H483)&gt;0),1.2,1))</f>
        <v/>
      </c>
      <c r="K483" s="9" t="str">
        <f aca="false">IF($C483="","",N($H483)*$J483)</f>
        <v/>
      </c>
      <c r="L483" s="9" t="str">
        <f aca="false">IF($C483="","",IF($E483="SI",2,1))</f>
        <v/>
      </c>
      <c r="M483" s="9" t="str">
        <f aca="false">IF($C483="","",$K483*$L483)</f>
        <v/>
      </c>
    </row>
    <row r="484" customFormat="false" ht="15" hidden="false" customHeight="true" outlineLevel="0" collapsed="false">
      <c r="A484" s="9" t="str">
        <f aca="false">IF(Equips_usuari!A484="","",Equips_usuari!A484)</f>
        <v/>
      </c>
      <c r="B484" s="9" t="str">
        <f aca="false">IF(Equips_usuari!B484="","",Equips_usuari!B484)</f>
        <v/>
      </c>
      <c r="C484" s="9" t="str">
        <f aca="false">IF(Equips_usuari!C484="","",Equips_usuari!C484)</f>
        <v/>
      </c>
      <c r="D484" s="9" t="str">
        <f aca="false">IF(Equips_usuari!D484="","",Equips_usuari!D484)</f>
        <v/>
      </c>
      <c r="E484" s="9" t="str">
        <f aca="false">IF(Equips_usuari!F484="","",Equips_usuari!F484)</f>
        <v/>
      </c>
      <c r="F484" s="9" t="str">
        <f aca="false">IF($C484="","",SUMIFS(Resultats_jugadores!$C:$C,Resultats_jugadores!$A:$A,$A484,Resultats_jugadores!$B:$B,$C484))</f>
        <v/>
      </c>
      <c r="G484" s="9" t="str">
        <f aca="false">IF($C484="","",SUMIFS(Resultats_jugadores!$D:$D,Resultats_jugadores!$A:$A,$A484,Resultats_jugadores!$B:$B,$C484))</f>
        <v/>
      </c>
      <c r="H484" s="9" t="str">
        <f aca="false">IF($C484="","",N($F484)-N($G484))</f>
        <v/>
      </c>
      <c r="I484" s="9" t="str">
        <f aca="false">IF($C484="","",IFERROR(INDEX(Partits!$C:$C,MATCH($A484&amp;"_"&amp;$D484,Partits!$D:$D,0)),""))</f>
        <v/>
      </c>
      <c r="J484" s="9" t="str">
        <f aca="false">IF($C484="","",IF(AND($I484="V",N($H484)&gt;0),1.2,1))</f>
        <v/>
      </c>
      <c r="K484" s="9" t="str">
        <f aca="false">IF($C484="","",N($H484)*$J484)</f>
        <v/>
      </c>
      <c r="L484" s="9" t="str">
        <f aca="false">IF($C484="","",IF($E484="SI",2,1))</f>
        <v/>
      </c>
      <c r="M484" s="9" t="str">
        <f aca="false">IF($C484="","",$K484*$L484)</f>
        <v/>
      </c>
    </row>
    <row r="485" customFormat="false" ht="15" hidden="false" customHeight="true" outlineLevel="0" collapsed="false">
      <c r="A485" s="9" t="str">
        <f aca="false">IF(Equips_usuari!A485="","",Equips_usuari!A485)</f>
        <v/>
      </c>
      <c r="B485" s="9" t="str">
        <f aca="false">IF(Equips_usuari!B485="","",Equips_usuari!B485)</f>
        <v/>
      </c>
      <c r="C485" s="9" t="str">
        <f aca="false">IF(Equips_usuari!C485="","",Equips_usuari!C485)</f>
        <v/>
      </c>
      <c r="D485" s="9" t="str">
        <f aca="false">IF(Equips_usuari!D485="","",Equips_usuari!D485)</f>
        <v/>
      </c>
      <c r="E485" s="9" t="str">
        <f aca="false">IF(Equips_usuari!F485="","",Equips_usuari!F485)</f>
        <v/>
      </c>
      <c r="F485" s="9" t="str">
        <f aca="false">IF($C485="","",SUMIFS(Resultats_jugadores!$C:$C,Resultats_jugadores!$A:$A,$A485,Resultats_jugadores!$B:$B,$C485))</f>
        <v/>
      </c>
      <c r="G485" s="9" t="str">
        <f aca="false">IF($C485="","",SUMIFS(Resultats_jugadores!$D:$D,Resultats_jugadores!$A:$A,$A485,Resultats_jugadores!$B:$B,$C485))</f>
        <v/>
      </c>
      <c r="H485" s="9" t="str">
        <f aca="false">IF($C485="","",N($F485)-N($G485))</f>
        <v/>
      </c>
      <c r="I485" s="9" t="str">
        <f aca="false">IF($C485="","",IFERROR(INDEX(Partits!$C:$C,MATCH($A485&amp;"_"&amp;$D485,Partits!$D:$D,0)),""))</f>
        <v/>
      </c>
      <c r="J485" s="9" t="str">
        <f aca="false">IF($C485="","",IF(AND($I485="V",N($H485)&gt;0),1.2,1))</f>
        <v/>
      </c>
      <c r="K485" s="9" t="str">
        <f aca="false">IF($C485="","",N($H485)*$J485)</f>
        <v/>
      </c>
      <c r="L485" s="9" t="str">
        <f aca="false">IF($C485="","",IF($E485="SI",2,1))</f>
        <v/>
      </c>
      <c r="M485" s="9" t="str">
        <f aca="false">IF($C485="","",$K485*$L485)</f>
        <v/>
      </c>
    </row>
    <row r="486" customFormat="false" ht="15" hidden="false" customHeight="true" outlineLevel="0" collapsed="false">
      <c r="A486" s="9" t="str">
        <f aca="false">IF(Equips_usuari!A486="","",Equips_usuari!A486)</f>
        <v/>
      </c>
      <c r="B486" s="9" t="str">
        <f aca="false">IF(Equips_usuari!B486="","",Equips_usuari!B486)</f>
        <v/>
      </c>
      <c r="C486" s="9" t="str">
        <f aca="false">IF(Equips_usuari!C486="","",Equips_usuari!C486)</f>
        <v/>
      </c>
      <c r="D486" s="9" t="str">
        <f aca="false">IF(Equips_usuari!D486="","",Equips_usuari!D486)</f>
        <v/>
      </c>
      <c r="E486" s="9" t="str">
        <f aca="false">IF(Equips_usuari!F486="","",Equips_usuari!F486)</f>
        <v/>
      </c>
      <c r="F486" s="9" t="str">
        <f aca="false">IF($C486="","",SUMIFS(Resultats_jugadores!$C:$C,Resultats_jugadores!$A:$A,$A486,Resultats_jugadores!$B:$B,$C486))</f>
        <v/>
      </c>
      <c r="G486" s="9" t="str">
        <f aca="false">IF($C486="","",SUMIFS(Resultats_jugadores!$D:$D,Resultats_jugadores!$A:$A,$A486,Resultats_jugadores!$B:$B,$C486))</f>
        <v/>
      </c>
      <c r="H486" s="9" t="str">
        <f aca="false">IF($C486="","",N($F486)-N($G486))</f>
        <v/>
      </c>
      <c r="I486" s="9" t="str">
        <f aca="false">IF($C486="","",IFERROR(INDEX(Partits!$C:$C,MATCH($A486&amp;"_"&amp;$D486,Partits!$D:$D,0)),""))</f>
        <v/>
      </c>
      <c r="J486" s="9" t="str">
        <f aca="false">IF($C486="","",IF(AND($I486="V",N($H486)&gt;0),1.2,1))</f>
        <v/>
      </c>
      <c r="K486" s="9" t="str">
        <f aca="false">IF($C486="","",N($H486)*$J486)</f>
        <v/>
      </c>
      <c r="L486" s="9" t="str">
        <f aca="false">IF($C486="","",IF($E486="SI",2,1))</f>
        <v/>
      </c>
      <c r="M486" s="9" t="str">
        <f aca="false">IF($C486="","",$K486*$L486)</f>
        <v/>
      </c>
    </row>
    <row r="487" customFormat="false" ht="15" hidden="false" customHeight="true" outlineLevel="0" collapsed="false">
      <c r="A487" s="9" t="str">
        <f aca="false">IF(Equips_usuari!A487="","",Equips_usuari!A487)</f>
        <v/>
      </c>
      <c r="B487" s="9" t="str">
        <f aca="false">IF(Equips_usuari!B487="","",Equips_usuari!B487)</f>
        <v/>
      </c>
      <c r="C487" s="9" t="str">
        <f aca="false">IF(Equips_usuari!C487="","",Equips_usuari!C487)</f>
        <v/>
      </c>
      <c r="D487" s="9" t="str">
        <f aca="false">IF(Equips_usuari!D487="","",Equips_usuari!D487)</f>
        <v/>
      </c>
      <c r="E487" s="9" t="str">
        <f aca="false">IF(Equips_usuari!F487="","",Equips_usuari!F487)</f>
        <v/>
      </c>
      <c r="F487" s="9" t="str">
        <f aca="false">IF($C487="","",SUMIFS(Resultats_jugadores!$C:$C,Resultats_jugadores!$A:$A,$A487,Resultats_jugadores!$B:$B,$C487))</f>
        <v/>
      </c>
      <c r="G487" s="9" t="str">
        <f aca="false">IF($C487="","",SUMIFS(Resultats_jugadores!$D:$D,Resultats_jugadores!$A:$A,$A487,Resultats_jugadores!$B:$B,$C487))</f>
        <v/>
      </c>
      <c r="H487" s="9" t="str">
        <f aca="false">IF($C487="","",N($F487)-N($G487))</f>
        <v/>
      </c>
      <c r="I487" s="9" t="str">
        <f aca="false">IF($C487="","",IFERROR(INDEX(Partits!$C:$C,MATCH($A487&amp;"_"&amp;$D487,Partits!$D:$D,0)),""))</f>
        <v/>
      </c>
      <c r="J487" s="9" t="str">
        <f aca="false">IF($C487="","",IF(AND($I487="V",N($H487)&gt;0),1.2,1))</f>
        <v/>
      </c>
      <c r="K487" s="9" t="str">
        <f aca="false">IF($C487="","",N($H487)*$J487)</f>
        <v/>
      </c>
      <c r="L487" s="9" t="str">
        <f aca="false">IF($C487="","",IF($E487="SI",2,1))</f>
        <v/>
      </c>
      <c r="M487" s="9" t="str">
        <f aca="false">IF($C487="","",$K487*$L487)</f>
        <v/>
      </c>
    </row>
    <row r="488" customFormat="false" ht="15" hidden="false" customHeight="true" outlineLevel="0" collapsed="false">
      <c r="A488" s="9" t="str">
        <f aca="false">IF(Equips_usuari!A488="","",Equips_usuari!A488)</f>
        <v/>
      </c>
      <c r="B488" s="9" t="str">
        <f aca="false">IF(Equips_usuari!B488="","",Equips_usuari!B488)</f>
        <v/>
      </c>
      <c r="C488" s="9" t="str">
        <f aca="false">IF(Equips_usuari!C488="","",Equips_usuari!C488)</f>
        <v/>
      </c>
      <c r="D488" s="9" t="str">
        <f aca="false">IF(Equips_usuari!D488="","",Equips_usuari!D488)</f>
        <v/>
      </c>
      <c r="E488" s="9" t="str">
        <f aca="false">IF(Equips_usuari!F488="","",Equips_usuari!F488)</f>
        <v/>
      </c>
      <c r="F488" s="9" t="str">
        <f aca="false">IF($C488="","",SUMIFS(Resultats_jugadores!$C:$C,Resultats_jugadores!$A:$A,$A488,Resultats_jugadores!$B:$B,$C488))</f>
        <v/>
      </c>
      <c r="G488" s="9" t="str">
        <f aca="false">IF($C488="","",SUMIFS(Resultats_jugadores!$D:$D,Resultats_jugadores!$A:$A,$A488,Resultats_jugadores!$B:$B,$C488))</f>
        <v/>
      </c>
      <c r="H488" s="9" t="str">
        <f aca="false">IF($C488="","",N($F488)-N($G488))</f>
        <v/>
      </c>
      <c r="I488" s="9" t="str">
        <f aca="false">IF($C488="","",IFERROR(INDEX(Partits!$C:$C,MATCH($A488&amp;"_"&amp;$D488,Partits!$D:$D,0)),""))</f>
        <v/>
      </c>
      <c r="J488" s="9" t="str">
        <f aca="false">IF($C488="","",IF(AND($I488="V",N($H488)&gt;0),1.2,1))</f>
        <v/>
      </c>
      <c r="K488" s="9" t="str">
        <f aca="false">IF($C488="","",N($H488)*$J488)</f>
        <v/>
      </c>
      <c r="L488" s="9" t="str">
        <f aca="false">IF($C488="","",IF($E488="SI",2,1))</f>
        <v/>
      </c>
      <c r="M488" s="9" t="str">
        <f aca="false">IF($C488="","",$K488*$L488)</f>
        <v/>
      </c>
    </row>
    <row r="489" customFormat="false" ht="15" hidden="false" customHeight="true" outlineLevel="0" collapsed="false">
      <c r="A489" s="9" t="str">
        <f aca="false">IF(Equips_usuari!A489="","",Equips_usuari!A489)</f>
        <v/>
      </c>
      <c r="B489" s="9" t="str">
        <f aca="false">IF(Equips_usuari!B489="","",Equips_usuari!B489)</f>
        <v/>
      </c>
      <c r="C489" s="9" t="str">
        <f aca="false">IF(Equips_usuari!C489="","",Equips_usuari!C489)</f>
        <v/>
      </c>
      <c r="D489" s="9" t="str">
        <f aca="false">IF(Equips_usuari!D489="","",Equips_usuari!D489)</f>
        <v/>
      </c>
      <c r="E489" s="9" t="str">
        <f aca="false">IF(Equips_usuari!F489="","",Equips_usuari!F489)</f>
        <v/>
      </c>
      <c r="F489" s="9" t="str">
        <f aca="false">IF($C489="","",SUMIFS(Resultats_jugadores!$C:$C,Resultats_jugadores!$A:$A,$A489,Resultats_jugadores!$B:$B,$C489))</f>
        <v/>
      </c>
      <c r="G489" s="9" t="str">
        <f aca="false">IF($C489="","",SUMIFS(Resultats_jugadores!$D:$D,Resultats_jugadores!$A:$A,$A489,Resultats_jugadores!$B:$B,$C489))</f>
        <v/>
      </c>
      <c r="H489" s="9" t="str">
        <f aca="false">IF($C489="","",N($F489)-N($G489))</f>
        <v/>
      </c>
      <c r="I489" s="9" t="str">
        <f aca="false">IF($C489="","",IFERROR(INDEX(Partits!$C:$C,MATCH($A489&amp;"_"&amp;$D489,Partits!$D:$D,0)),""))</f>
        <v/>
      </c>
      <c r="J489" s="9" t="str">
        <f aca="false">IF($C489="","",IF(AND($I489="V",N($H489)&gt;0),1.2,1))</f>
        <v/>
      </c>
      <c r="K489" s="9" t="str">
        <f aca="false">IF($C489="","",N($H489)*$J489)</f>
        <v/>
      </c>
      <c r="L489" s="9" t="str">
        <f aca="false">IF($C489="","",IF($E489="SI",2,1))</f>
        <v/>
      </c>
      <c r="M489" s="9" t="str">
        <f aca="false">IF($C489="","",$K489*$L489)</f>
        <v/>
      </c>
    </row>
    <row r="490" customFormat="false" ht="15" hidden="false" customHeight="true" outlineLevel="0" collapsed="false">
      <c r="A490" s="9" t="str">
        <f aca="false">IF(Equips_usuari!A490="","",Equips_usuari!A490)</f>
        <v/>
      </c>
      <c r="B490" s="9" t="str">
        <f aca="false">IF(Equips_usuari!B490="","",Equips_usuari!B490)</f>
        <v/>
      </c>
      <c r="C490" s="9" t="str">
        <f aca="false">IF(Equips_usuari!C490="","",Equips_usuari!C490)</f>
        <v/>
      </c>
      <c r="D490" s="9" t="str">
        <f aca="false">IF(Equips_usuari!D490="","",Equips_usuari!D490)</f>
        <v/>
      </c>
      <c r="E490" s="9" t="str">
        <f aca="false">IF(Equips_usuari!F490="","",Equips_usuari!F490)</f>
        <v/>
      </c>
      <c r="F490" s="9" t="str">
        <f aca="false">IF($C490="","",SUMIFS(Resultats_jugadores!$C:$C,Resultats_jugadores!$A:$A,$A490,Resultats_jugadores!$B:$B,$C490))</f>
        <v/>
      </c>
      <c r="G490" s="9" t="str">
        <f aca="false">IF($C490="","",SUMIFS(Resultats_jugadores!$D:$D,Resultats_jugadores!$A:$A,$A490,Resultats_jugadores!$B:$B,$C490))</f>
        <v/>
      </c>
      <c r="H490" s="9" t="str">
        <f aca="false">IF($C490="","",N($F490)-N($G490))</f>
        <v/>
      </c>
      <c r="I490" s="9" t="str">
        <f aca="false">IF($C490="","",IFERROR(INDEX(Partits!$C:$C,MATCH($A490&amp;"_"&amp;$D490,Partits!$D:$D,0)),""))</f>
        <v/>
      </c>
      <c r="J490" s="9" t="str">
        <f aca="false">IF($C490="","",IF(AND($I490="V",N($H490)&gt;0),1.2,1))</f>
        <v/>
      </c>
      <c r="K490" s="9" t="str">
        <f aca="false">IF($C490="","",N($H490)*$J490)</f>
        <v/>
      </c>
      <c r="L490" s="9" t="str">
        <f aca="false">IF($C490="","",IF($E490="SI",2,1))</f>
        <v/>
      </c>
      <c r="M490" s="9" t="str">
        <f aca="false">IF($C490="","",$K490*$L490)</f>
        <v/>
      </c>
    </row>
    <row r="491" customFormat="false" ht="15" hidden="false" customHeight="true" outlineLevel="0" collapsed="false">
      <c r="A491" s="9" t="str">
        <f aca="false">IF(Equips_usuari!A491="","",Equips_usuari!A491)</f>
        <v/>
      </c>
      <c r="B491" s="9" t="str">
        <f aca="false">IF(Equips_usuari!B491="","",Equips_usuari!B491)</f>
        <v/>
      </c>
      <c r="C491" s="9" t="str">
        <f aca="false">IF(Equips_usuari!C491="","",Equips_usuari!C491)</f>
        <v/>
      </c>
      <c r="D491" s="9" t="str">
        <f aca="false">IF(Equips_usuari!D491="","",Equips_usuari!D491)</f>
        <v/>
      </c>
      <c r="E491" s="9" t="str">
        <f aca="false">IF(Equips_usuari!F491="","",Equips_usuari!F491)</f>
        <v/>
      </c>
      <c r="F491" s="9" t="str">
        <f aca="false">IF($C491="","",SUMIFS(Resultats_jugadores!$C:$C,Resultats_jugadores!$A:$A,$A491,Resultats_jugadores!$B:$B,$C491))</f>
        <v/>
      </c>
      <c r="G491" s="9" t="str">
        <f aca="false">IF($C491="","",SUMIFS(Resultats_jugadores!$D:$D,Resultats_jugadores!$A:$A,$A491,Resultats_jugadores!$B:$B,$C491))</f>
        <v/>
      </c>
      <c r="H491" s="9" t="str">
        <f aca="false">IF($C491="","",N($F491)-N($G491))</f>
        <v/>
      </c>
      <c r="I491" s="9" t="str">
        <f aca="false">IF($C491="","",IFERROR(INDEX(Partits!$C:$C,MATCH($A491&amp;"_"&amp;$D491,Partits!$D:$D,0)),""))</f>
        <v/>
      </c>
      <c r="J491" s="9" t="str">
        <f aca="false">IF($C491="","",IF(AND($I491="V",N($H491)&gt;0),1.2,1))</f>
        <v/>
      </c>
      <c r="K491" s="9" t="str">
        <f aca="false">IF($C491="","",N($H491)*$J491)</f>
        <v/>
      </c>
      <c r="L491" s="9" t="str">
        <f aca="false">IF($C491="","",IF($E491="SI",2,1))</f>
        <v/>
      </c>
      <c r="M491" s="9" t="str">
        <f aca="false">IF($C491="","",$K491*$L491)</f>
        <v/>
      </c>
    </row>
    <row r="492" customFormat="false" ht="15" hidden="false" customHeight="true" outlineLevel="0" collapsed="false">
      <c r="A492" s="9" t="str">
        <f aca="false">IF(Equips_usuari!A492="","",Equips_usuari!A492)</f>
        <v/>
      </c>
      <c r="B492" s="9" t="str">
        <f aca="false">IF(Equips_usuari!B492="","",Equips_usuari!B492)</f>
        <v/>
      </c>
      <c r="C492" s="9" t="str">
        <f aca="false">IF(Equips_usuari!C492="","",Equips_usuari!C492)</f>
        <v/>
      </c>
      <c r="D492" s="9" t="str">
        <f aca="false">IF(Equips_usuari!D492="","",Equips_usuari!D492)</f>
        <v/>
      </c>
      <c r="E492" s="9" t="str">
        <f aca="false">IF(Equips_usuari!F492="","",Equips_usuari!F492)</f>
        <v/>
      </c>
      <c r="F492" s="9" t="str">
        <f aca="false">IF($C492="","",SUMIFS(Resultats_jugadores!$C:$C,Resultats_jugadores!$A:$A,$A492,Resultats_jugadores!$B:$B,$C492))</f>
        <v/>
      </c>
      <c r="G492" s="9" t="str">
        <f aca="false">IF($C492="","",SUMIFS(Resultats_jugadores!$D:$D,Resultats_jugadores!$A:$A,$A492,Resultats_jugadores!$B:$B,$C492))</f>
        <v/>
      </c>
      <c r="H492" s="9" t="str">
        <f aca="false">IF($C492="","",N($F492)-N($G492))</f>
        <v/>
      </c>
      <c r="I492" s="9" t="str">
        <f aca="false">IF($C492="","",IFERROR(INDEX(Partits!$C:$C,MATCH($A492&amp;"_"&amp;$D492,Partits!$D:$D,0)),""))</f>
        <v/>
      </c>
      <c r="J492" s="9" t="str">
        <f aca="false">IF($C492="","",IF(AND($I492="V",N($H492)&gt;0),1.2,1))</f>
        <v/>
      </c>
      <c r="K492" s="9" t="str">
        <f aca="false">IF($C492="","",N($H492)*$J492)</f>
        <v/>
      </c>
      <c r="L492" s="9" t="str">
        <f aca="false">IF($C492="","",IF($E492="SI",2,1))</f>
        <v/>
      </c>
      <c r="M492" s="9" t="str">
        <f aca="false">IF($C492="","",$K492*$L492)</f>
        <v/>
      </c>
    </row>
    <row r="493" customFormat="false" ht="15" hidden="false" customHeight="true" outlineLevel="0" collapsed="false">
      <c r="A493" s="9" t="str">
        <f aca="false">IF(Equips_usuari!A493="","",Equips_usuari!A493)</f>
        <v/>
      </c>
      <c r="B493" s="9" t="str">
        <f aca="false">IF(Equips_usuari!B493="","",Equips_usuari!B493)</f>
        <v/>
      </c>
      <c r="C493" s="9" t="str">
        <f aca="false">IF(Equips_usuari!C493="","",Equips_usuari!C493)</f>
        <v/>
      </c>
      <c r="D493" s="9" t="str">
        <f aca="false">IF(Equips_usuari!D493="","",Equips_usuari!D493)</f>
        <v/>
      </c>
      <c r="E493" s="9" t="str">
        <f aca="false">IF(Equips_usuari!F493="","",Equips_usuari!F493)</f>
        <v/>
      </c>
      <c r="F493" s="9" t="str">
        <f aca="false">IF($C493="","",SUMIFS(Resultats_jugadores!$C:$C,Resultats_jugadores!$A:$A,$A493,Resultats_jugadores!$B:$B,$C493))</f>
        <v/>
      </c>
      <c r="G493" s="9" t="str">
        <f aca="false">IF($C493="","",SUMIFS(Resultats_jugadores!$D:$D,Resultats_jugadores!$A:$A,$A493,Resultats_jugadores!$B:$B,$C493))</f>
        <v/>
      </c>
      <c r="H493" s="9" t="str">
        <f aca="false">IF($C493="","",N($F493)-N($G493))</f>
        <v/>
      </c>
      <c r="I493" s="9" t="str">
        <f aca="false">IF($C493="","",IFERROR(INDEX(Partits!$C:$C,MATCH($A493&amp;"_"&amp;$D493,Partits!$D:$D,0)),""))</f>
        <v/>
      </c>
      <c r="J493" s="9" t="str">
        <f aca="false">IF($C493="","",IF(AND($I493="V",N($H493)&gt;0),1.2,1))</f>
        <v/>
      </c>
      <c r="K493" s="9" t="str">
        <f aca="false">IF($C493="","",N($H493)*$J493)</f>
        <v/>
      </c>
      <c r="L493" s="9" t="str">
        <f aca="false">IF($C493="","",IF($E493="SI",2,1))</f>
        <v/>
      </c>
      <c r="M493" s="9" t="str">
        <f aca="false">IF($C493="","",$K493*$L493)</f>
        <v/>
      </c>
    </row>
    <row r="494" customFormat="false" ht="15" hidden="false" customHeight="true" outlineLevel="0" collapsed="false">
      <c r="A494" s="9" t="str">
        <f aca="false">IF(Equips_usuari!A494="","",Equips_usuari!A494)</f>
        <v/>
      </c>
      <c r="B494" s="9" t="str">
        <f aca="false">IF(Equips_usuari!B494="","",Equips_usuari!B494)</f>
        <v/>
      </c>
      <c r="C494" s="9" t="str">
        <f aca="false">IF(Equips_usuari!C494="","",Equips_usuari!C494)</f>
        <v/>
      </c>
      <c r="D494" s="9" t="str">
        <f aca="false">IF(Equips_usuari!D494="","",Equips_usuari!D494)</f>
        <v/>
      </c>
      <c r="E494" s="9" t="str">
        <f aca="false">IF(Equips_usuari!F494="","",Equips_usuari!F494)</f>
        <v/>
      </c>
      <c r="F494" s="9" t="str">
        <f aca="false">IF($C494="","",SUMIFS(Resultats_jugadores!$C:$C,Resultats_jugadores!$A:$A,$A494,Resultats_jugadores!$B:$B,$C494))</f>
        <v/>
      </c>
      <c r="G494" s="9" t="str">
        <f aca="false">IF($C494="","",SUMIFS(Resultats_jugadores!$D:$D,Resultats_jugadores!$A:$A,$A494,Resultats_jugadores!$B:$B,$C494))</f>
        <v/>
      </c>
      <c r="H494" s="9" t="str">
        <f aca="false">IF($C494="","",N($F494)-N($G494))</f>
        <v/>
      </c>
      <c r="I494" s="9" t="str">
        <f aca="false">IF($C494="","",IFERROR(INDEX(Partits!$C:$C,MATCH($A494&amp;"_"&amp;$D494,Partits!$D:$D,0)),""))</f>
        <v/>
      </c>
      <c r="J494" s="9" t="str">
        <f aca="false">IF($C494="","",IF(AND($I494="V",N($H494)&gt;0),1.2,1))</f>
        <v/>
      </c>
      <c r="K494" s="9" t="str">
        <f aca="false">IF($C494="","",N($H494)*$J494)</f>
        <v/>
      </c>
      <c r="L494" s="9" t="str">
        <f aca="false">IF($C494="","",IF($E494="SI",2,1))</f>
        <v/>
      </c>
      <c r="M494" s="9" t="str">
        <f aca="false">IF($C494="","",$K494*$L494)</f>
        <v/>
      </c>
    </row>
    <row r="495" customFormat="false" ht="15" hidden="false" customHeight="true" outlineLevel="0" collapsed="false">
      <c r="A495" s="9" t="str">
        <f aca="false">IF(Equips_usuari!A495="","",Equips_usuari!A495)</f>
        <v/>
      </c>
      <c r="B495" s="9" t="str">
        <f aca="false">IF(Equips_usuari!B495="","",Equips_usuari!B495)</f>
        <v/>
      </c>
      <c r="C495" s="9" t="str">
        <f aca="false">IF(Equips_usuari!C495="","",Equips_usuari!C495)</f>
        <v/>
      </c>
      <c r="D495" s="9" t="str">
        <f aca="false">IF(Equips_usuari!D495="","",Equips_usuari!D495)</f>
        <v/>
      </c>
      <c r="E495" s="9" t="str">
        <f aca="false">IF(Equips_usuari!F495="","",Equips_usuari!F495)</f>
        <v/>
      </c>
      <c r="F495" s="9" t="str">
        <f aca="false">IF($C495="","",SUMIFS(Resultats_jugadores!$C:$C,Resultats_jugadores!$A:$A,$A495,Resultats_jugadores!$B:$B,$C495))</f>
        <v/>
      </c>
      <c r="G495" s="9" t="str">
        <f aca="false">IF($C495="","",SUMIFS(Resultats_jugadores!$D:$D,Resultats_jugadores!$A:$A,$A495,Resultats_jugadores!$B:$B,$C495))</f>
        <v/>
      </c>
      <c r="H495" s="9" t="str">
        <f aca="false">IF($C495="","",N($F495)-N($G495))</f>
        <v/>
      </c>
      <c r="I495" s="9" t="str">
        <f aca="false">IF($C495="","",IFERROR(INDEX(Partits!$C:$C,MATCH($A495&amp;"_"&amp;$D495,Partits!$D:$D,0)),""))</f>
        <v/>
      </c>
      <c r="J495" s="9" t="str">
        <f aca="false">IF($C495="","",IF(AND($I495="V",N($H495)&gt;0),1.2,1))</f>
        <v/>
      </c>
      <c r="K495" s="9" t="str">
        <f aca="false">IF($C495="","",N($H495)*$J495)</f>
        <v/>
      </c>
      <c r="L495" s="9" t="str">
        <f aca="false">IF($C495="","",IF($E495="SI",2,1))</f>
        <v/>
      </c>
      <c r="M495" s="9" t="str">
        <f aca="false">IF($C495="","",$K495*$L495)</f>
        <v/>
      </c>
    </row>
    <row r="496" customFormat="false" ht="15" hidden="false" customHeight="true" outlineLevel="0" collapsed="false">
      <c r="A496" s="9" t="str">
        <f aca="false">IF(Equips_usuari!A496="","",Equips_usuari!A496)</f>
        <v/>
      </c>
      <c r="B496" s="9" t="str">
        <f aca="false">IF(Equips_usuari!B496="","",Equips_usuari!B496)</f>
        <v/>
      </c>
      <c r="C496" s="9" t="str">
        <f aca="false">IF(Equips_usuari!C496="","",Equips_usuari!C496)</f>
        <v/>
      </c>
      <c r="D496" s="9" t="str">
        <f aca="false">IF(Equips_usuari!D496="","",Equips_usuari!D496)</f>
        <v/>
      </c>
      <c r="E496" s="9" t="str">
        <f aca="false">IF(Equips_usuari!F496="","",Equips_usuari!F496)</f>
        <v/>
      </c>
      <c r="F496" s="9" t="str">
        <f aca="false">IF($C496="","",SUMIFS(Resultats_jugadores!$C:$C,Resultats_jugadores!$A:$A,$A496,Resultats_jugadores!$B:$B,$C496))</f>
        <v/>
      </c>
      <c r="G496" s="9" t="str">
        <f aca="false">IF($C496="","",SUMIFS(Resultats_jugadores!$D:$D,Resultats_jugadores!$A:$A,$A496,Resultats_jugadores!$B:$B,$C496))</f>
        <v/>
      </c>
      <c r="H496" s="9" t="str">
        <f aca="false">IF($C496="","",N($F496)-N($G496))</f>
        <v/>
      </c>
      <c r="I496" s="9" t="str">
        <f aca="false">IF($C496="","",IFERROR(INDEX(Partits!$C:$C,MATCH($A496&amp;"_"&amp;$D496,Partits!$D:$D,0)),""))</f>
        <v/>
      </c>
      <c r="J496" s="9" t="str">
        <f aca="false">IF($C496="","",IF(AND($I496="V",N($H496)&gt;0),1.2,1))</f>
        <v/>
      </c>
      <c r="K496" s="9" t="str">
        <f aca="false">IF($C496="","",N($H496)*$J496)</f>
        <v/>
      </c>
      <c r="L496" s="9" t="str">
        <f aca="false">IF($C496="","",IF($E496="SI",2,1))</f>
        <v/>
      </c>
      <c r="M496" s="9" t="str">
        <f aca="false">IF($C496="","",$K496*$L496)</f>
        <v/>
      </c>
    </row>
    <row r="497" customFormat="false" ht="15" hidden="false" customHeight="true" outlineLevel="0" collapsed="false">
      <c r="A497" s="9" t="str">
        <f aca="false">IF(Equips_usuari!A497="","",Equips_usuari!A497)</f>
        <v/>
      </c>
      <c r="B497" s="9" t="str">
        <f aca="false">IF(Equips_usuari!B497="","",Equips_usuari!B497)</f>
        <v/>
      </c>
      <c r="C497" s="9" t="str">
        <f aca="false">IF(Equips_usuari!C497="","",Equips_usuari!C497)</f>
        <v/>
      </c>
      <c r="D497" s="9" t="str">
        <f aca="false">IF(Equips_usuari!D497="","",Equips_usuari!D497)</f>
        <v/>
      </c>
      <c r="E497" s="9" t="str">
        <f aca="false">IF(Equips_usuari!F497="","",Equips_usuari!F497)</f>
        <v/>
      </c>
      <c r="F497" s="9" t="str">
        <f aca="false">IF($C497="","",SUMIFS(Resultats_jugadores!$C:$C,Resultats_jugadores!$A:$A,$A497,Resultats_jugadores!$B:$B,$C497))</f>
        <v/>
      </c>
      <c r="G497" s="9" t="str">
        <f aca="false">IF($C497="","",SUMIFS(Resultats_jugadores!$D:$D,Resultats_jugadores!$A:$A,$A497,Resultats_jugadores!$B:$B,$C497))</f>
        <v/>
      </c>
      <c r="H497" s="9" t="str">
        <f aca="false">IF($C497="","",N($F497)-N($G497))</f>
        <v/>
      </c>
      <c r="I497" s="9" t="str">
        <f aca="false">IF($C497="","",IFERROR(INDEX(Partits!$C:$C,MATCH($A497&amp;"_"&amp;$D497,Partits!$D:$D,0)),""))</f>
        <v/>
      </c>
      <c r="J497" s="9" t="str">
        <f aca="false">IF($C497="","",IF(AND($I497="V",N($H497)&gt;0),1.2,1))</f>
        <v/>
      </c>
      <c r="K497" s="9" t="str">
        <f aca="false">IF($C497="","",N($H497)*$J497)</f>
        <v/>
      </c>
      <c r="L497" s="9" t="str">
        <f aca="false">IF($C497="","",IF($E497="SI",2,1))</f>
        <v/>
      </c>
      <c r="M497" s="9" t="str">
        <f aca="false">IF($C497="","",$K497*$L497)</f>
        <v/>
      </c>
    </row>
    <row r="498" customFormat="false" ht="15" hidden="false" customHeight="true" outlineLevel="0" collapsed="false">
      <c r="A498" s="9" t="str">
        <f aca="false">IF(Equips_usuari!A498="","",Equips_usuari!A498)</f>
        <v/>
      </c>
      <c r="B498" s="9" t="str">
        <f aca="false">IF(Equips_usuari!B498="","",Equips_usuari!B498)</f>
        <v/>
      </c>
      <c r="C498" s="9" t="str">
        <f aca="false">IF(Equips_usuari!C498="","",Equips_usuari!C498)</f>
        <v/>
      </c>
      <c r="D498" s="9" t="str">
        <f aca="false">IF(Equips_usuari!D498="","",Equips_usuari!D498)</f>
        <v/>
      </c>
      <c r="E498" s="9" t="str">
        <f aca="false">IF(Equips_usuari!F498="","",Equips_usuari!F498)</f>
        <v/>
      </c>
      <c r="F498" s="9" t="str">
        <f aca="false">IF($C498="","",SUMIFS(Resultats_jugadores!$C:$C,Resultats_jugadores!$A:$A,$A498,Resultats_jugadores!$B:$B,$C498))</f>
        <v/>
      </c>
      <c r="G498" s="9" t="str">
        <f aca="false">IF($C498="","",SUMIFS(Resultats_jugadores!$D:$D,Resultats_jugadores!$A:$A,$A498,Resultats_jugadores!$B:$B,$C498))</f>
        <v/>
      </c>
      <c r="H498" s="9" t="str">
        <f aca="false">IF($C498="","",N($F498)-N($G498))</f>
        <v/>
      </c>
      <c r="I498" s="9" t="str">
        <f aca="false">IF($C498="","",IFERROR(INDEX(Partits!$C:$C,MATCH($A498&amp;"_"&amp;$D498,Partits!$D:$D,0)),""))</f>
        <v/>
      </c>
      <c r="J498" s="9" t="str">
        <f aca="false">IF($C498="","",IF(AND($I498="V",N($H498)&gt;0),1.2,1))</f>
        <v/>
      </c>
      <c r="K498" s="9" t="str">
        <f aca="false">IF($C498="","",N($H498)*$J498)</f>
        <v/>
      </c>
      <c r="L498" s="9" t="str">
        <f aca="false">IF($C498="","",IF($E498="SI",2,1))</f>
        <v/>
      </c>
      <c r="M498" s="9" t="str">
        <f aca="false">IF($C498="","",$K498*$L498)</f>
        <v/>
      </c>
    </row>
    <row r="499" customFormat="false" ht="15" hidden="false" customHeight="true" outlineLevel="0" collapsed="false">
      <c r="A499" s="9" t="str">
        <f aca="false">IF(Equips_usuari!A499="","",Equips_usuari!A499)</f>
        <v/>
      </c>
      <c r="B499" s="9" t="str">
        <f aca="false">IF(Equips_usuari!B499="","",Equips_usuari!B499)</f>
        <v/>
      </c>
      <c r="C499" s="9" t="str">
        <f aca="false">IF(Equips_usuari!C499="","",Equips_usuari!C499)</f>
        <v/>
      </c>
      <c r="D499" s="9" t="str">
        <f aca="false">IF(Equips_usuari!D499="","",Equips_usuari!D499)</f>
        <v/>
      </c>
      <c r="E499" s="9" t="str">
        <f aca="false">IF(Equips_usuari!F499="","",Equips_usuari!F499)</f>
        <v/>
      </c>
      <c r="F499" s="9" t="str">
        <f aca="false">IF($C499="","",SUMIFS(Resultats_jugadores!$C:$C,Resultats_jugadores!$A:$A,$A499,Resultats_jugadores!$B:$B,$C499))</f>
        <v/>
      </c>
      <c r="G499" s="9" t="str">
        <f aca="false">IF($C499="","",SUMIFS(Resultats_jugadores!$D:$D,Resultats_jugadores!$A:$A,$A499,Resultats_jugadores!$B:$B,$C499))</f>
        <v/>
      </c>
      <c r="H499" s="9" t="str">
        <f aca="false">IF($C499="","",N($F499)-N($G499))</f>
        <v/>
      </c>
      <c r="I499" s="9" t="str">
        <f aca="false">IF($C499="","",IFERROR(INDEX(Partits!$C:$C,MATCH($A499&amp;"_"&amp;$D499,Partits!$D:$D,0)),""))</f>
        <v/>
      </c>
      <c r="J499" s="9" t="str">
        <f aca="false">IF($C499="","",IF(AND($I499="V",N($H499)&gt;0),1.2,1))</f>
        <v/>
      </c>
      <c r="K499" s="9" t="str">
        <f aca="false">IF($C499="","",N($H499)*$J499)</f>
        <v/>
      </c>
      <c r="L499" s="9" t="str">
        <f aca="false">IF($C499="","",IF($E499="SI",2,1))</f>
        <v/>
      </c>
      <c r="M499" s="9" t="str">
        <f aca="false">IF($C499="","",$K499*$L499)</f>
        <v/>
      </c>
    </row>
    <row r="500" customFormat="false" ht="15" hidden="false" customHeight="true" outlineLevel="0" collapsed="false">
      <c r="A500" s="9" t="str">
        <f aca="false">IF(Equips_usuari!A500="","",Equips_usuari!A500)</f>
        <v/>
      </c>
      <c r="B500" s="9" t="str">
        <f aca="false">IF(Equips_usuari!B500="","",Equips_usuari!B500)</f>
        <v/>
      </c>
      <c r="C500" s="9" t="str">
        <f aca="false">IF(Equips_usuari!C500="","",Equips_usuari!C500)</f>
        <v/>
      </c>
      <c r="D500" s="9" t="str">
        <f aca="false">IF(Equips_usuari!D500="","",Equips_usuari!D500)</f>
        <v/>
      </c>
      <c r="E500" s="9" t="str">
        <f aca="false">IF(Equips_usuari!F500="","",Equips_usuari!F500)</f>
        <v/>
      </c>
      <c r="F500" s="9" t="str">
        <f aca="false">IF($C500="","",SUMIFS(Resultats_jugadores!$C:$C,Resultats_jugadores!$A:$A,$A500,Resultats_jugadores!$B:$B,$C500))</f>
        <v/>
      </c>
      <c r="G500" s="9" t="str">
        <f aca="false">IF($C500="","",SUMIFS(Resultats_jugadores!$D:$D,Resultats_jugadores!$A:$A,$A500,Resultats_jugadores!$B:$B,$C500))</f>
        <v/>
      </c>
      <c r="H500" s="9" t="str">
        <f aca="false">IF($C500="","",N($F500)-N($G500))</f>
        <v/>
      </c>
      <c r="I500" s="9" t="str">
        <f aca="false">IF($C500="","",IFERROR(INDEX(Partits!$C:$C,MATCH($A500&amp;"_"&amp;$D500,Partits!$D:$D,0)),""))</f>
        <v/>
      </c>
      <c r="J500" s="9" t="str">
        <f aca="false">IF($C500="","",IF(AND($I500="V",N($H500)&gt;0),1.2,1))</f>
        <v/>
      </c>
      <c r="K500" s="9" t="str">
        <f aca="false">IF($C500="","",N($H500)*$J500)</f>
        <v/>
      </c>
      <c r="L500" s="9" t="str">
        <f aca="false">IF($C500="","",IF($E500="SI",2,1))</f>
        <v/>
      </c>
      <c r="M500" s="9" t="str">
        <f aca="false">IF($C500="","",$K500*$L500)</f>
        <v/>
      </c>
    </row>
    <row r="501" customFormat="false" ht="15" hidden="false" customHeight="true" outlineLevel="0" collapsed="false">
      <c r="A501" s="9" t="str">
        <f aca="false">IF(Equips_usuari!A501="","",Equips_usuari!A501)</f>
        <v/>
      </c>
      <c r="B501" s="9" t="str">
        <f aca="false">IF(Equips_usuari!B501="","",Equips_usuari!B501)</f>
        <v/>
      </c>
      <c r="C501" s="9" t="str">
        <f aca="false">IF(Equips_usuari!C501="","",Equips_usuari!C501)</f>
        <v/>
      </c>
      <c r="D501" s="9" t="str">
        <f aca="false">IF(Equips_usuari!D501="","",Equips_usuari!D501)</f>
        <v/>
      </c>
      <c r="E501" s="9" t="str">
        <f aca="false">IF(Equips_usuari!F501="","",Equips_usuari!F501)</f>
        <v/>
      </c>
      <c r="F501" s="9" t="str">
        <f aca="false">IF($C501="","",SUMIFS(Resultats_jugadores!$C:$C,Resultats_jugadores!$A:$A,$A501,Resultats_jugadores!$B:$B,$C501))</f>
        <v/>
      </c>
      <c r="G501" s="9" t="str">
        <f aca="false">IF($C501="","",SUMIFS(Resultats_jugadores!$D:$D,Resultats_jugadores!$A:$A,$A501,Resultats_jugadores!$B:$B,$C501))</f>
        <v/>
      </c>
      <c r="H501" s="9" t="str">
        <f aca="false">IF($C501="","",N($F501)-N($G501))</f>
        <v/>
      </c>
      <c r="I501" s="9" t="str">
        <f aca="false">IF($C501="","",IFERROR(INDEX(Partits!$C:$C,MATCH($A501&amp;"_"&amp;$D501,Partits!$D:$D,0)),""))</f>
        <v/>
      </c>
      <c r="J501" s="9" t="str">
        <f aca="false">IF($C501="","",IF(AND($I501="V",N($H501)&gt;0),1.2,1))</f>
        <v/>
      </c>
      <c r="K501" s="9" t="str">
        <f aca="false">IF($C501="","",N($H501)*$J501)</f>
        <v/>
      </c>
      <c r="L501" s="9" t="str">
        <f aca="false">IF($C501="","",IF($E501="SI",2,1))</f>
        <v/>
      </c>
      <c r="M501" s="9" t="str">
        <f aca="false">IF($C501="","",$K501*$L501)</f>
        <v/>
      </c>
    </row>
    <row r="502" customFormat="false" ht="15" hidden="false" customHeight="true" outlineLevel="0" collapsed="false">
      <c r="A502" s="9" t="str">
        <f aca="false">IF(Equips_usuari!A502="","",Equips_usuari!A502)</f>
        <v/>
      </c>
      <c r="B502" s="9" t="str">
        <f aca="false">IF(Equips_usuari!B502="","",Equips_usuari!B502)</f>
        <v/>
      </c>
      <c r="C502" s="9" t="str">
        <f aca="false">IF(Equips_usuari!C502="","",Equips_usuari!C502)</f>
        <v/>
      </c>
      <c r="D502" s="9" t="str">
        <f aca="false">IF(Equips_usuari!D502="","",Equips_usuari!D502)</f>
        <v/>
      </c>
      <c r="E502" s="9" t="str">
        <f aca="false">IF(Equips_usuari!F502="","",Equips_usuari!F502)</f>
        <v/>
      </c>
      <c r="F502" s="9" t="str">
        <f aca="false">IF($C502="","",SUMIFS(Resultats_jugadores!$C:$C,Resultats_jugadores!$A:$A,$A502,Resultats_jugadores!$B:$B,$C502))</f>
        <v/>
      </c>
      <c r="G502" s="9" t="str">
        <f aca="false">IF($C502="","",SUMIFS(Resultats_jugadores!$D:$D,Resultats_jugadores!$A:$A,$A502,Resultats_jugadores!$B:$B,$C502))</f>
        <v/>
      </c>
      <c r="H502" s="9" t="str">
        <f aca="false">IF($C502="","",N($F502)-N($G502))</f>
        <v/>
      </c>
      <c r="I502" s="9" t="str">
        <f aca="false">IF($C502="","",IFERROR(INDEX(Partits!$C:$C,MATCH($A502&amp;"_"&amp;$D502,Partits!$D:$D,0)),""))</f>
        <v/>
      </c>
      <c r="J502" s="9" t="str">
        <f aca="false">IF($C502="","",IF(AND($I502="V",N($H502)&gt;0),1.2,1))</f>
        <v/>
      </c>
      <c r="K502" s="9" t="str">
        <f aca="false">IF($C502="","",N($H502)*$J502)</f>
        <v/>
      </c>
      <c r="L502" s="9" t="str">
        <f aca="false">IF($C502="","",IF($E502="SI",2,1))</f>
        <v/>
      </c>
      <c r="M502" s="9" t="str">
        <f aca="false">IF($C502="","",$K502*$L502)</f>
        <v/>
      </c>
    </row>
    <row r="503" customFormat="false" ht="15" hidden="false" customHeight="true" outlineLevel="0" collapsed="false">
      <c r="A503" s="9" t="str">
        <f aca="false">IF(Equips_usuari!A503="","",Equips_usuari!A503)</f>
        <v/>
      </c>
      <c r="B503" s="9" t="str">
        <f aca="false">IF(Equips_usuari!B503="","",Equips_usuari!B503)</f>
        <v/>
      </c>
      <c r="C503" s="9" t="str">
        <f aca="false">IF(Equips_usuari!C503="","",Equips_usuari!C503)</f>
        <v/>
      </c>
      <c r="D503" s="9" t="str">
        <f aca="false">IF(Equips_usuari!D503="","",Equips_usuari!D503)</f>
        <v/>
      </c>
      <c r="E503" s="9" t="str">
        <f aca="false">IF(Equips_usuari!F503="","",Equips_usuari!F503)</f>
        <v/>
      </c>
      <c r="F503" s="9" t="str">
        <f aca="false">IF($C503="","",SUMIFS(Resultats_jugadores!$C:$C,Resultats_jugadores!$A:$A,$A503,Resultats_jugadores!$B:$B,$C503))</f>
        <v/>
      </c>
      <c r="G503" s="9" t="str">
        <f aca="false">IF($C503="","",SUMIFS(Resultats_jugadores!$D:$D,Resultats_jugadores!$A:$A,$A503,Resultats_jugadores!$B:$B,$C503))</f>
        <v/>
      </c>
      <c r="H503" s="9" t="str">
        <f aca="false">IF($C503="","",N($F503)-N($G503))</f>
        <v/>
      </c>
      <c r="I503" s="9" t="str">
        <f aca="false">IF($C503="","",IFERROR(INDEX(Partits!$C:$C,MATCH($A503&amp;"_"&amp;$D503,Partits!$D:$D,0)),""))</f>
        <v/>
      </c>
      <c r="J503" s="9" t="str">
        <f aca="false">IF($C503="","",IF(AND($I503="V",N($H503)&gt;0),1.2,1))</f>
        <v/>
      </c>
      <c r="K503" s="9" t="str">
        <f aca="false">IF($C503="","",N($H503)*$J503)</f>
        <v/>
      </c>
      <c r="L503" s="9" t="str">
        <f aca="false">IF($C503="","",IF($E503="SI",2,1))</f>
        <v/>
      </c>
      <c r="M503" s="9" t="str">
        <f aca="false">IF($C503="","",$K503*$L503)</f>
        <v/>
      </c>
    </row>
    <row r="504" customFormat="false" ht="15" hidden="false" customHeight="true" outlineLevel="0" collapsed="false">
      <c r="A504" s="9" t="str">
        <f aca="false">IF(Equips_usuari!A504="","",Equips_usuari!A504)</f>
        <v/>
      </c>
      <c r="B504" s="9" t="str">
        <f aca="false">IF(Equips_usuari!B504="","",Equips_usuari!B504)</f>
        <v/>
      </c>
      <c r="C504" s="9" t="str">
        <f aca="false">IF(Equips_usuari!C504="","",Equips_usuari!C504)</f>
        <v/>
      </c>
      <c r="D504" s="9" t="str">
        <f aca="false">IF(Equips_usuari!D504="","",Equips_usuari!D504)</f>
        <v/>
      </c>
      <c r="E504" s="9" t="str">
        <f aca="false">IF(Equips_usuari!F504="","",Equips_usuari!F504)</f>
        <v/>
      </c>
      <c r="F504" s="9" t="str">
        <f aca="false">IF($C504="","",SUMIFS(Resultats_jugadores!$C:$C,Resultats_jugadores!$A:$A,$A504,Resultats_jugadores!$B:$B,$C504))</f>
        <v/>
      </c>
      <c r="G504" s="9" t="str">
        <f aca="false">IF($C504="","",SUMIFS(Resultats_jugadores!$D:$D,Resultats_jugadores!$A:$A,$A504,Resultats_jugadores!$B:$B,$C504))</f>
        <v/>
      </c>
      <c r="H504" s="9" t="str">
        <f aca="false">IF($C504="","",N($F504)-N($G504))</f>
        <v/>
      </c>
      <c r="I504" s="9" t="str">
        <f aca="false">IF($C504="","",IFERROR(INDEX(Partits!$C:$C,MATCH($A504&amp;"_"&amp;$D504,Partits!$D:$D,0)),""))</f>
        <v/>
      </c>
      <c r="J504" s="9" t="str">
        <f aca="false">IF($C504="","",IF(AND($I504="V",N($H504)&gt;0),1.2,1))</f>
        <v/>
      </c>
      <c r="K504" s="9" t="str">
        <f aca="false">IF($C504="","",N($H504)*$J504)</f>
        <v/>
      </c>
      <c r="L504" s="9" t="str">
        <f aca="false">IF($C504="","",IF($E504="SI",2,1))</f>
        <v/>
      </c>
      <c r="M504" s="9" t="str">
        <f aca="false">IF($C504="","",$K504*$L504)</f>
        <v/>
      </c>
    </row>
    <row r="505" customFormat="false" ht="15" hidden="false" customHeight="true" outlineLevel="0" collapsed="false">
      <c r="A505" s="9" t="str">
        <f aca="false">IF(Equips_usuari!A505="","",Equips_usuari!A505)</f>
        <v/>
      </c>
      <c r="B505" s="9" t="str">
        <f aca="false">IF(Equips_usuari!B505="","",Equips_usuari!B505)</f>
        <v/>
      </c>
      <c r="C505" s="9" t="str">
        <f aca="false">IF(Equips_usuari!C505="","",Equips_usuari!C505)</f>
        <v/>
      </c>
      <c r="D505" s="9" t="str">
        <f aca="false">IF(Equips_usuari!D505="","",Equips_usuari!D505)</f>
        <v/>
      </c>
      <c r="E505" s="9" t="str">
        <f aca="false">IF(Equips_usuari!F505="","",Equips_usuari!F505)</f>
        <v/>
      </c>
      <c r="F505" s="9" t="str">
        <f aca="false">IF($C505="","",SUMIFS(Resultats_jugadores!$C:$C,Resultats_jugadores!$A:$A,$A505,Resultats_jugadores!$B:$B,$C505))</f>
        <v/>
      </c>
      <c r="G505" s="9" t="str">
        <f aca="false">IF($C505="","",SUMIFS(Resultats_jugadores!$D:$D,Resultats_jugadores!$A:$A,$A505,Resultats_jugadores!$B:$B,$C505))</f>
        <v/>
      </c>
      <c r="H505" s="9" t="str">
        <f aca="false">IF($C505="","",N($F505)-N($G505))</f>
        <v/>
      </c>
      <c r="I505" s="9" t="str">
        <f aca="false">IF($C505="","",IFERROR(INDEX(Partits!$C:$C,MATCH($A505&amp;"_"&amp;$D505,Partits!$D:$D,0)),""))</f>
        <v/>
      </c>
      <c r="J505" s="9" t="str">
        <f aca="false">IF($C505="","",IF(AND($I505="V",N($H505)&gt;0),1.2,1))</f>
        <v/>
      </c>
      <c r="K505" s="9" t="str">
        <f aca="false">IF($C505="","",N($H505)*$J505)</f>
        <v/>
      </c>
      <c r="L505" s="9" t="str">
        <f aca="false">IF($C505="","",IF($E505="SI",2,1))</f>
        <v/>
      </c>
      <c r="M505" s="9" t="str">
        <f aca="false">IF($C505="","",$K505*$L505)</f>
        <v/>
      </c>
    </row>
    <row r="506" customFormat="false" ht="15" hidden="false" customHeight="true" outlineLevel="0" collapsed="false">
      <c r="A506" s="9" t="str">
        <f aca="false">IF(Equips_usuari!A506="","",Equips_usuari!A506)</f>
        <v/>
      </c>
      <c r="B506" s="9" t="str">
        <f aca="false">IF(Equips_usuari!B506="","",Equips_usuari!B506)</f>
        <v/>
      </c>
      <c r="C506" s="9" t="str">
        <f aca="false">IF(Equips_usuari!C506="","",Equips_usuari!C506)</f>
        <v/>
      </c>
      <c r="D506" s="9" t="str">
        <f aca="false">IF(Equips_usuari!D506="","",Equips_usuari!D506)</f>
        <v/>
      </c>
      <c r="E506" s="9" t="str">
        <f aca="false">IF(Equips_usuari!F506="","",Equips_usuari!F506)</f>
        <v/>
      </c>
      <c r="F506" s="9" t="str">
        <f aca="false">IF($C506="","",SUMIFS(Resultats_jugadores!$C:$C,Resultats_jugadores!$A:$A,$A506,Resultats_jugadores!$B:$B,$C506))</f>
        <v/>
      </c>
      <c r="G506" s="9" t="str">
        <f aca="false">IF($C506="","",SUMIFS(Resultats_jugadores!$D:$D,Resultats_jugadores!$A:$A,$A506,Resultats_jugadores!$B:$B,$C506))</f>
        <v/>
      </c>
      <c r="H506" s="9" t="str">
        <f aca="false">IF($C506="","",N($F506)-N($G506))</f>
        <v/>
      </c>
      <c r="I506" s="9" t="str">
        <f aca="false">IF($C506="","",IFERROR(INDEX(Partits!$C:$C,MATCH($A506&amp;"_"&amp;$D506,Partits!$D:$D,0)),""))</f>
        <v/>
      </c>
      <c r="J506" s="9" t="str">
        <f aca="false">IF($C506="","",IF(AND($I506="V",N($H506)&gt;0),1.2,1))</f>
        <v/>
      </c>
      <c r="K506" s="9" t="str">
        <f aca="false">IF($C506="","",N($H506)*$J506)</f>
        <v/>
      </c>
      <c r="L506" s="9" t="str">
        <f aca="false">IF($C506="","",IF($E506="SI",2,1))</f>
        <v/>
      </c>
      <c r="M506" s="9" t="str">
        <f aca="false">IF($C506="","",$K506*$L506)</f>
        <v/>
      </c>
    </row>
    <row r="507" customFormat="false" ht="15" hidden="false" customHeight="true" outlineLevel="0" collapsed="false">
      <c r="A507" s="9" t="str">
        <f aca="false">IF(Equips_usuari!A507="","",Equips_usuari!A507)</f>
        <v/>
      </c>
      <c r="B507" s="9" t="str">
        <f aca="false">IF(Equips_usuari!B507="","",Equips_usuari!B507)</f>
        <v/>
      </c>
      <c r="C507" s="9" t="str">
        <f aca="false">IF(Equips_usuari!C507="","",Equips_usuari!C507)</f>
        <v/>
      </c>
      <c r="D507" s="9" t="str">
        <f aca="false">IF(Equips_usuari!D507="","",Equips_usuari!D507)</f>
        <v/>
      </c>
      <c r="E507" s="9" t="str">
        <f aca="false">IF(Equips_usuari!F507="","",Equips_usuari!F507)</f>
        <v/>
      </c>
      <c r="F507" s="9" t="str">
        <f aca="false">IF($C507="","",SUMIFS(Resultats_jugadores!$C:$C,Resultats_jugadores!$A:$A,$A507,Resultats_jugadores!$B:$B,$C507))</f>
        <v/>
      </c>
      <c r="G507" s="9" t="str">
        <f aca="false">IF($C507="","",SUMIFS(Resultats_jugadores!$D:$D,Resultats_jugadores!$A:$A,$A507,Resultats_jugadores!$B:$B,$C507))</f>
        <v/>
      </c>
      <c r="H507" s="9" t="str">
        <f aca="false">IF($C507="","",N($F507)-N($G507))</f>
        <v/>
      </c>
      <c r="I507" s="9" t="str">
        <f aca="false">IF($C507="","",IFERROR(INDEX(Partits!$C:$C,MATCH($A507&amp;"_"&amp;$D507,Partits!$D:$D,0)),""))</f>
        <v/>
      </c>
      <c r="J507" s="9" t="str">
        <f aca="false">IF($C507="","",IF(AND($I507="V",N($H507)&gt;0),1.2,1))</f>
        <v/>
      </c>
      <c r="K507" s="9" t="str">
        <f aca="false">IF($C507="","",N($H507)*$J507)</f>
        <v/>
      </c>
      <c r="L507" s="9" t="str">
        <f aca="false">IF($C507="","",IF($E507="SI",2,1))</f>
        <v/>
      </c>
      <c r="M507" s="9" t="str">
        <f aca="false">IF($C507="","",$K507*$L507)</f>
        <v/>
      </c>
    </row>
    <row r="508" customFormat="false" ht="15" hidden="false" customHeight="true" outlineLevel="0" collapsed="false">
      <c r="A508" s="9" t="str">
        <f aca="false">IF(Equips_usuari!A508="","",Equips_usuari!A508)</f>
        <v/>
      </c>
      <c r="B508" s="9" t="str">
        <f aca="false">IF(Equips_usuari!B508="","",Equips_usuari!B508)</f>
        <v/>
      </c>
      <c r="C508" s="9" t="str">
        <f aca="false">IF(Equips_usuari!C508="","",Equips_usuari!C508)</f>
        <v/>
      </c>
      <c r="D508" s="9" t="str">
        <f aca="false">IF(Equips_usuari!D508="","",Equips_usuari!D508)</f>
        <v/>
      </c>
      <c r="E508" s="9" t="str">
        <f aca="false">IF(Equips_usuari!F508="","",Equips_usuari!F508)</f>
        <v/>
      </c>
      <c r="F508" s="9" t="str">
        <f aca="false">IF($C508="","",SUMIFS(Resultats_jugadores!$C:$C,Resultats_jugadores!$A:$A,$A508,Resultats_jugadores!$B:$B,$C508))</f>
        <v/>
      </c>
      <c r="G508" s="9" t="str">
        <f aca="false">IF($C508="","",SUMIFS(Resultats_jugadores!$D:$D,Resultats_jugadores!$A:$A,$A508,Resultats_jugadores!$B:$B,$C508))</f>
        <v/>
      </c>
      <c r="H508" s="9" t="str">
        <f aca="false">IF($C508="","",N($F508)-N($G508))</f>
        <v/>
      </c>
      <c r="I508" s="9" t="str">
        <f aca="false">IF($C508="","",IFERROR(INDEX(Partits!$C:$C,MATCH($A508&amp;"_"&amp;$D508,Partits!$D:$D,0)),""))</f>
        <v/>
      </c>
      <c r="J508" s="9" t="str">
        <f aca="false">IF($C508="","",IF(AND($I508="V",N($H508)&gt;0),1.2,1))</f>
        <v/>
      </c>
      <c r="K508" s="9" t="str">
        <f aca="false">IF($C508="","",N($H508)*$J508)</f>
        <v/>
      </c>
      <c r="L508" s="9" t="str">
        <f aca="false">IF($C508="","",IF($E508="SI",2,1))</f>
        <v/>
      </c>
      <c r="M508" s="9" t="str">
        <f aca="false">IF($C508="","",$K508*$L508)</f>
        <v/>
      </c>
    </row>
    <row r="509" customFormat="false" ht="15" hidden="false" customHeight="true" outlineLevel="0" collapsed="false">
      <c r="A509" s="9" t="str">
        <f aca="false">IF(Equips_usuari!A509="","",Equips_usuari!A509)</f>
        <v/>
      </c>
      <c r="B509" s="9" t="str">
        <f aca="false">IF(Equips_usuari!B509="","",Equips_usuari!B509)</f>
        <v/>
      </c>
      <c r="C509" s="9" t="str">
        <f aca="false">IF(Equips_usuari!C509="","",Equips_usuari!C509)</f>
        <v/>
      </c>
      <c r="D509" s="9" t="str">
        <f aca="false">IF(Equips_usuari!D509="","",Equips_usuari!D509)</f>
        <v/>
      </c>
      <c r="E509" s="9" t="str">
        <f aca="false">IF(Equips_usuari!F509="","",Equips_usuari!F509)</f>
        <v/>
      </c>
      <c r="F509" s="9" t="str">
        <f aca="false">IF($C509="","",SUMIFS(Resultats_jugadores!$C:$C,Resultats_jugadores!$A:$A,$A509,Resultats_jugadores!$B:$B,$C509))</f>
        <v/>
      </c>
      <c r="G509" s="9" t="str">
        <f aca="false">IF($C509="","",SUMIFS(Resultats_jugadores!$D:$D,Resultats_jugadores!$A:$A,$A509,Resultats_jugadores!$B:$B,$C509))</f>
        <v/>
      </c>
      <c r="H509" s="9" t="str">
        <f aca="false">IF($C509="","",N($F509)-N($G509))</f>
        <v/>
      </c>
      <c r="I509" s="9" t="str">
        <f aca="false">IF($C509="","",IFERROR(INDEX(Partits!$C:$C,MATCH($A509&amp;"_"&amp;$D509,Partits!$D:$D,0)),""))</f>
        <v/>
      </c>
      <c r="J509" s="9" t="str">
        <f aca="false">IF($C509="","",IF(AND($I509="V",N($H509)&gt;0),1.2,1))</f>
        <v/>
      </c>
      <c r="K509" s="9" t="str">
        <f aca="false">IF($C509="","",N($H509)*$J509)</f>
        <v/>
      </c>
      <c r="L509" s="9" t="str">
        <f aca="false">IF($C509="","",IF($E509="SI",2,1))</f>
        <v/>
      </c>
      <c r="M509" s="9" t="str">
        <f aca="false">IF($C509="","",$K509*$L509)</f>
        <v/>
      </c>
    </row>
    <row r="510" customFormat="false" ht="15" hidden="false" customHeight="true" outlineLevel="0" collapsed="false">
      <c r="A510" s="9" t="str">
        <f aca="false">IF(Equips_usuari!A510="","",Equips_usuari!A510)</f>
        <v/>
      </c>
      <c r="B510" s="9" t="str">
        <f aca="false">IF(Equips_usuari!B510="","",Equips_usuari!B510)</f>
        <v/>
      </c>
      <c r="C510" s="9" t="str">
        <f aca="false">IF(Equips_usuari!C510="","",Equips_usuari!C510)</f>
        <v/>
      </c>
      <c r="D510" s="9" t="str">
        <f aca="false">IF(Equips_usuari!D510="","",Equips_usuari!D510)</f>
        <v/>
      </c>
      <c r="E510" s="9" t="str">
        <f aca="false">IF(Equips_usuari!F510="","",Equips_usuari!F510)</f>
        <v/>
      </c>
      <c r="F510" s="9" t="str">
        <f aca="false">IF($C510="","",SUMIFS(Resultats_jugadores!$C:$C,Resultats_jugadores!$A:$A,$A510,Resultats_jugadores!$B:$B,$C510))</f>
        <v/>
      </c>
      <c r="G510" s="9" t="str">
        <f aca="false">IF($C510="","",SUMIFS(Resultats_jugadores!$D:$D,Resultats_jugadores!$A:$A,$A510,Resultats_jugadores!$B:$B,$C510))</f>
        <v/>
      </c>
      <c r="H510" s="9" t="str">
        <f aca="false">IF($C510="","",N($F510)-N($G510))</f>
        <v/>
      </c>
      <c r="I510" s="9" t="str">
        <f aca="false">IF($C510="","",IFERROR(INDEX(Partits!$C:$C,MATCH($A510&amp;"_"&amp;$D510,Partits!$D:$D,0)),""))</f>
        <v/>
      </c>
      <c r="J510" s="9" t="str">
        <f aca="false">IF($C510="","",IF(AND($I510="V",N($H510)&gt;0),1.2,1))</f>
        <v/>
      </c>
      <c r="K510" s="9" t="str">
        <f aca="false">IF($C510="","",N($H510)*$J510)</f>
        <v/>
      </c>
      <c r="L510" s="9" t="str">
        <f aca="false">IF($C510="","",IF($E510="SI",2,1))</f>
        <v/>
      </c>
      <c r="M510" s="9" t="str">
        <f aca="false">IF($C510="","",$K510*$L510)</f>
        <v/>
      </c>
    </row>
    <row r="511" customFormat="false" ht="15" hidden="false" customHeight="true" outlineLevel="0" collapsed="false">
      <c r="A511" s="9" t="str">
        <f aca="false">IF(Equips_usuari!A511="","",Equips_usuari!A511)</f>
        <v/>
      </c>
      <c r="B511" s="9" t="str">
        <f aca="false">IF(Equips_usuari!B511="","",Equips_usuari!B511)</f>
        <v/>
      </c>
      <c r="C511" s="9" t="str">
        <f aca="false">IF(Equips_usuari!C511="","",Equips_usuari!C511)</f>
        <v/>
      </c>
      <c r="D511" s="9" t="str">
        <f aca="false">IF(Equips_usuari!D511="","",Equips_usuari!D511)</f>
        <v/>
      </c>
      <c r="E511" s="9" t="str">
        <f aca="false">IF(Equips_usuari!F511="","",Equips_usuari!F511)</f>
        <v/>
      </c>
      <c r="F511" s="9" t="str">
        <f aca="false">IF($C511="","",SUMIFS(Resultats_jugadores!$C:$C,Resultats_jugadores!$A:$A,$A511,Resultats_jugadores!$B:$B,$C511))</f>
        <v/>
      </c>
      <c r="G511" s="9" t="str">
        <f aca="false">IF($C511="","",SUMIFS(Resultats_jugadores!$D:$D,Resultats_jugadores!$A:$A,$A511,Resultats_jugadores!$B:$B,$C511))</f>
        <v/>
      </c>
      <c r="H511" s="9" t="str">
        <f aca="false">IF($C511="","",N($F511)-N($G511))</f>
        <v/>
      </c>
      <c r="I511" s="9" t="str">
        <f aca="false">IF($C511="","",IFERROR(INDEX(Partits!$C:$C,MATCH($A511&amp;"_"&amp;$D511,Partits!$D:$D,0)),""))</f>
        <v/>
      </c>
      <c r="J511" s="9" t="str">
        <f aca="false">IF($C511="","",IF(AND($I511="V",N($H511)&gt;0),1.2,1))</f>
        <v/>
      </c>
      <c r="K511" s="9" t="str">
        <f aca="false">IF($C511="","",N($H511)*$J511)</f>
        <v/>
      </c>
      <c r="L511" s="9" t="str">
        <f aca="false">IF($C511="","",IF($E511="SI",2,1))</f>
        <v/>
      </c>
      <c r="M511" s="9" t="str">
        <f aca="false">IF($C511="","",$K511*$L511)</f>
        <v/>
      </c>
    </row>
    <row r="512" customFormat="false" ht="15" hidden="false" customHeight="true" outlineLevel="0" collapsed="false">
      <c r="A512" s="9" t="str">
        <f aca="false">IF(Equips_usuari!A512="","",Equips_usuari!A512)</f>
        <v/>
      </c>
      <c r="B512" s="9" t="str">
        <f aca="false">IF(Equips_usuari!B512="","",Equips_usuari!B512)</f>
        <v/>
      </c>
      <c r="C512" s="9" t="str">
        <f aca="false">IF(Equips_usuari!C512="","",Equips_usuari!C512)</f>
        <v/>
      </c>
      <c r="D512" s="9" t="str">
        <f aca="false">IF(Equips_usuari!D512="","",Equips_usuari!D512)</f>
        <v/>
      </c>
      <c r="E512" s="9" t="str">
        <f aca="false">IF(Equips_usuari!F512="","",Equips_usuari!F512)</f>
        <v/>
      </c>
      <c r="F512" s="9" t="str">
        <f aca="false">IF($C512="","",SUMIFS(Resultats_jugadores!$C:$C,Resultats_jugadores!$A:$A,$A512,Resultats_jugadores!$B:$B,$C512))</f>
        <v/>
      </c>
      <c r="G512" s="9" t="str">
        <f aca="false">IF($C512="","",SUMIFS(Resultats_jugadores!$D:$D,Resultats_jugadores!$A:$A,$A512,Resultats_jugadores!$B:$B,$C512))</f>
        <v/>
      </c>
      <c r="H512" s="9" t="str">
        <f aca="false">IF($C512="","",N($F512)-N($G512))</f>
        <v/>
      </c>
      <c r="I512" s="9" t="str">
        <f aca="false">IF($C512="","",IFERROR(INDEX(Partits!$C:$C,MATCH($A512&amp;"_"&amp;$D512,Partits!$D:$D,0)),""))</f>
        <v/>
      </c>
      <c r="J512" s="9" t="str">
        <f aca="false">IF($C512="","",IF(AND($I512="V",N($H512)&gt;0),1.2,1))</f>
        <v/>
      </c>
      <c r="K512" s="9" t="str">
        <f aca="false">IF($C512="","",N($H512)*$J512)</f>
        <v/>
      </c>
      <c r="L512" s="9" t="str">
        <f aca="false">IF($C512="","",IF($E512="SI",2,1))</f>
        <v/>
      </c>
      <c r="M512" s="9" t="str">
        <f aca="false">IF($C512="","",$K512*$L512)</f>
        <v/>
      </c>
    </row>
    <row r="513" customFormat="false" ht="15" hidden="false" customHeight="true" outlineLevel="0" collapsed="false">
      <c r="A513" s="9" t="str">
        <f aca="false">IF(Equips_usuari!A513="","",Equips_usuari!A513)</f>
        <v/>
      </c>
      <c r="B513" s="9" t="str">
        <f aca="false">IF(Equips_usuari!B513="","",Equips_usuari!B513)</f>
        <v/>
      </c>
      <c r="C513" s="9" t="str">
        <f aca="false">IF(Equips_usuari!C513="","",Equips_usuari!C513)</f>
        <v/>
      </c>
      <c r="D513" s="9" t="str">
        <f aca="false">IF(Equips_usuari!D513="","",Equips_usuari!D513)</f>
        <v/>
      </c>
      <c r="E513" s="9" t="str">
        <f aca="false">IF(Equips_usuari!F513="","",Equips_usuari!F513)</f>
        <v/>
      </c>
      <c r="F513" s="9" t="str">
        <f aca="false">IF($C513="","",SUMIFS(Resultats_jugadores!$C:$C,Resultats_jugadores!$A:$A,$A513,Resultats_jugadores!$B:$B,$C513))</f>
        <v/>
      </c>
      <c r="G513" s="9" t="str">
        <f aca="false">IF($C513="","",SUMIFS(Resultats_jugadores!$D:$D,Resultats_jugadores!$A:$A,$A513,Resultats_jugadores!$B:$B,$C513))</f>
        <v/>
      </c>
      <c r="H513" s="9" t="str">
        <f aca="false">IF($C513="","",N($F513)-N($G513))</f>
        <v/>
      </c>
      <c r="I513" s="9" t="str">
        <f aca="false">IF($C513="","",IFERROR(INDEX(Partits!$C:$C,MATCH($A513&amp;"_"&amp;$D513,Partits!$D:$D,0)),""))</f>
        <v/>
      </c>
      <c r="J513" s="9" t="str">
        <f aca="false">IF($C513="","",IF(AND($I513="V",N($H513)&gt;0),1.2,1))</f>
        <v/>
      </c>
      <c r="K513" s="9" t="str">
        <f aca="false">IF($C513="","",N($H513)*$J513)</f>
        <v/>
      </c>
      <c r="L513" s="9" t="str">
        <f aca="false">IF($C513="","",IF($E513="SI",2,1))</f>
        <v/>
      </c>
      <c r="M513" s="9" t="str">
        <f aca="false">IF($C513="","",$K513*$L513)</f>
        <v/>
      </c>
    </row>
    <row r="514" customFormat="false" ht="15" hidden="false" customHeight="true" outlineLevel="0" collapsed="false">
      <c r="A514" s="9" t="str">
        <f aca="false">IF(Equips_usuari!A514="","",Equips_usuari!A514)</f>
        <v/>
      </c>
      <c r="B514" s="9" t="str">
        <f aca="false">IF(Equips_usuari!B514="","",Equips_usuari!B514)</f>
        <v/>
      </c>
      <c r="C514" s="9" t="str">
        <f aca="false">IF(Equips_usuari!C514="","",Equips_usuari!C514)</f>
        <v/>
      </c>
      <c r="D514" s="9" t="str">
        <f aca="false">IF(Equips_usuari!D514="","",Equips_usuari!D514)</f>
        <v/>
      </c>
      <c r="E514" s="9" t="str">
        <f aca="false">IF(Equips_usuari!F514="","",Equips_usuari!F514)</f>
        <v/>
      </c>
      <c r="F514" s="9" t="str">
        <f aca="false">IF($C514="","",SUMIFS(Resultats_jugadores!$C:$C,Resultats_jugadores!$A:$A,$A514,Resultats_jugadores!$B:$B,$C514))</f>
        <v/>
      </c>
      <c r="G514" s="9" t="str">
        <f aca="false">IF($C514="","",SUMIFS(Resultats_jugadores!$D:$D,Resultats_jugadores!$A:$A,$A514,Resultats_jugadores!$B:$B,$C514))</f>
        <v/>
      </c>
      <c r="H514" s="9" t="str">
        <f aca="false">IF($C514="","",N($F514)-N($G514))</f>
        <v/>
      </c>
      <c r="I514" s="9" t="str">
        <f aca="false">IF($C514="","",IFERROR(INDEX(Partits!$C:$C,MATCH($A514&amp;"_"&amp;$D514,Partits!$D:$D,0)),""))</f>
        <v/>
      </c>
      <c r="J514" s="9" t="str">
        <f aca="false">IF($C514="","",IF(AND($I514="V",N($H514)&gt;0),1.2,1))</f>
        <v/>
      </c>
      <c r="K514" s="9" t="str">
        <f aca="false">IF($C514="","",N($H514)*$J514)</f>
        <v/>
      </c>
      <c r="L514" s="9" t="str">
        <f aca="false">IF($C514="","",IF($E514="SI",2,1))</f>
        <v/>
      </c>
      <c r="M514" s="9" t="str">
        <f aca="false">IF($C514="","",$K514*$L514)</f>
        <v/>
      </c>
    </row>
    <row r="515" customFormat="false" ht="15" hidden="false" customHeight="true" outlineLevel="0" collapsed="false">
      <c r="A515" s="9" t="str">
        <f aca="false">IF(Equips_usuari!A515="","",Equips_usuari!A515)</f>
        <v/>
      </c>
      <c r="B515" s="9" t="str">
        <f aca="false">IF(Equips_usuari!B515="","",Equips_usuari!B515)</f>
        <v/>
      </c>
      <c r="C515" s="9" t="str">
        <f aca="false">IF(Equips_usuari!C515="","",Equips_usuari!C515)</f>
        <v/>
      </c>
      <c r="D515" s="9" t="str">
        <f aca="false">IF(Equips_usuari!D515="","",Equips_usuari!D515)</f>
        <v/>
      </c>
      <c r="E515" s="9" t="str">
        <f aca="false">IF(Equips_usuari!F515="","",Equips_usuari!F515)</f>
        <v/>
      </c>
      <c r="F515" s="9" t="str">
        <f aca="false">IF($C515="","",SUMIFS(Resultats_jugadores!$C:$C,Resultats_jugadores!$A:$A,$A515,Resultats_jugadores!$B:$B,$C515))</f>
        <v/>
      </c>
      <c r="G515" s="9" t="str">
        <f aca="false">IF($C515="","",SUMIFS(Resultats_jugadores!$D:$D,Resultats_jugadores!$A:$A,$A515,Resultats_jugadores!$B:$B,$C515))</f>
        <v/>
      </c>
      <c r="H515" s="9" t="str">
        <f aca="false">IF($C515="","",N($F515)-N($G515))</f>
        <v/>
      </c>
      <c r="I515" s="9" t="str">
        <f aca="false">IF($C515="","",IFERROR(INDEX(Partits!$C:$C,MATCH($A515&amp;"_"&amp;$D515,Partits!$D:$D,0)),""))</f>
        <v/>
      </c>
      <c r="J515" s="9" t="str">
        <f aca="false">IF($C515="","",IF(AND($I515="V",N($H515)&gt;0),1.2,1))</f>
        <v/>
      </c>
      <c r="K515" s="9" t="str">
        <f aca="false">IF($C515="","",N($H515)*$J515)</f>
        <v/>
      </c>
      <c r="L515" s="9" t="str">
        <f aca="false">IF($C515="","",IF($E515="SI",2,1))</f>
        <v/>
      </c>
      <c r="M515" s="9" t="str">
        <f aca="false">IF($C515="","",$K515*$L515)</f>
        <v/>
      </c>
    </row>
    <row r="516" customFormat="false" ht="15" hidden="false" customHeight="true" outlineLevel="0" collapsed="false">
      <c r="A516" s="9" t="str">
        <f aca="false">IF(Equips_usuari!A516="","",Equips_usuari!A516)</f>
        <v/>
      </c>
      <c r="B516" s="9" t="str">
        <f aca="false">IF(Equips_usuari!B516="","",Equips_usuari!B516)</f>
        <v/>
      </c>
      <c r="C516" s="9" t="str">
        <f aca="false">IF(Equips_usuari!C516="","",Equips_usuari!C516)</f>
        <v/>
      </c>
      <c r="D516" s="9" t="str">
        <f aca="false">IF(Equips_usuari!D516="","",Equips_usuari!D516)</f>
        <v/>
      </c>
      <c r="E516" s="9" t="str">
        <f aca="false">IF(Equips_usuari!F516="","",Equips_usuari!F516)</f>
        <v/>
      </c>
      <c r="F516" s="9" t="str">
        <f aca="false">IF($C516="","",SUMIFS(Resultats_jugadores!$C:$C,Resultats_jugadores!$A:$A,$A516,Resultats_jugadores!$B:$B,$C516))</f>
        <v/>
      </c>
      <c r="G516" s="9" t="str">
        <f aca="false">IF($C516="","",SUMIFS(Resultats_jugadores!$D:$D,Resultats_jugadores!$A:$A,$A516,Resultats_jugadores!$B:$B,$C516))</f>
        <v/>
      </c>
      <c r="H516" s="9" t="str">
        <f aca="false">IF($C516="","",N($F516)-N($G516))</f>
        <v/>
      </c>
      <c r="I516" s="9" t="str">
        <f aca="false">IF($C516="","",IFERROR(INDEX(Partits!$C:$C,MATCH($A516&amp;"_"&amp;$D516,Partits!$D:$D,0)),""))</f>
        <v/>
      </c>
      <c r="J516" s="9" t="str">
        <f aca="false">IF($C516="","",IF(AND($I516="V",N($H516)&gt;0),1.2,1))</f>
        <v/>
      </c>
      <c r="K516" s="9" t="str">
        <f aca="false">IF($C516="","",N($H516)*$J516)</f>
        <v/>
      </c>
      <c r="L516" s="9" t="str">
        <f aca="false">IF($C516="","",IF($E516="SI",2,1))</f>
        <v/>
      </c>
      <c r="M516" s="9" t="str">
        <f aca="false">IF($C516="","",$K516*$L516)</f>
        <v/>
      </c>
    </row>
    <row r="517" customFormat="false" ht="15" hidden="false" customHeight="true" outlineLevel="0" collapsed="false">
      <c r="A517" s="9" t="str">
        <f aca="false">IF(Equips_usuari!A517="","",Equips_usuari!A517)</f>
        <v/>
      </c>
      <c r="B517" s="9" t="str">
        <f aca="false">IF(Equips_usuari!B517="","",Equips_usuari!B517)</f>
        <v/>
      </c>
      <c r="C517" s="9" t="str">
        <f aca="false">IF(Equips_usuari!C517="","",Equips_usuari!C517)</f>
        <v/>
      </c>
      <c r="D517" s="9" t="str">
        <f aca="false">IF(Equips_usuari!D517="","",Equips_usuari!D517)</f>
        <v/>
      </c>
      <c r="E517" s="9" t="str">
        <f aca="false">IF(Equips_usuari!F517="","",Equips_usuari!F517)</f>
        <v/>
      </c>
      <c r="F517" s="9" t="str">
        <f aca="false">IF($C517="","",SUMIFS(Resultats_jugadores!$C:$C,Resultats_jugadores!$A:$A,$A517,Resultats_jugadores!$B:$B,$C517))</f>
        <v/>
      </c>
      <c r="G517" s="9" t="str">
        <f aca="false">IF($C517="","",SUMIFS(Resultats_jugadores!$D:$D,Resultats_jugadores!$A:$A,$A517,Resultats_jugadores!$B:$B,$C517))</f>
        <v/>
      </c>
      <c r="H517" s="9" t="str">
        <f aca="false">IF($C517="","",N($F517)-N($G517))</f>
        <v/>
      </c>
      <c r="I517" s="9" t="str">
        <f aca="false">IF($C517="","",IFERROR(INDEX(Partits!$C:$C,MATCH($A517&amp;"_"&amp;$D517,Partits!$D:$D,0)),""))</f>
        <v/>
      </c>
      <c r="J517" s="9" t="str">
        <f aca="false">IF($C517="","",IF(AND($I517="V",N($H517)&gt;0),1.2,1))</f>
        <v/>
      </c>
      <c r="K517" s="9" t="str">
        <f aca="false">IF($C517="","",N($H517)*$J517)</f>
        <v/>
      </c>
      <c r="L517" s="9" t="str">
        <f aca="false">IF($C517="","",IF($E517="SI",2,1))</f>
        <v/>
      </c>
      <c r="M517" s="9" t="str">
        <f aca="false">IF($C517="","",$K517*$L517)</f>
        <v/>
      </c>
    </row>
    <row r="518" customFormat="false" ht="15" hidden="false" customHeight="true" outlineLevel="0" collapsed="false">
      <c r="A518" s="9" t="str">
        <f aca="false">IF(Equips_usuari!A518="","",Equips_usuari!A518)</f>
        <v/>
      </c>
      <c r="B518" s="9" t="str">
        <f aca="false">IF(Equips_usuari!B518="","",Equips_usuari!B518)</f>
        <v/>
      </c>
      <c r="C518" s="9" t="str">
        <f aca="false">IF(Equips_usuari!C518="","",Equips_usuari!C518)</f>
        <v/>
      </c>
      <c r="D518" s="9" t="str">
        <f aca="false">IF(Equips_usuari!D518="","",Equips_usuari!D518)</f>
        <v/>
      </c>
      <c r="E518" s="9" t="str">
        <f aca="false">IF(Equips_usuari!F518="","",Equips_usuari!F518)</f>
        <v/>
      </c>
      <c r="F518" s="9" t="str">
        <f aca="false">IF($C518="","",SUMIFS(Resultats_jugadores!$C:$C,Resultats_jugadores!$A:$A,$A518,Resultats_jugadores!$B:$B,$C518))</f>
        <v/>
      </c>
      <c r="G518" s="9" t="str">
        <f aca="false">IF($C518="","",SUMIFS(Resultats_jugadores!$D:$D,Resultats_jugadores!$A:$A,$A518,Resultats_jugadores!$B:$B,$C518))</f>
        <v/>
      </c>
      <c r="H518" s="9" t="str">
        <f aca="false">IF($C518="","",N($F518)-N($G518))</f>
        <v/>
      </c>
      <c r="I518" s="9" t="str">
        <f aca="false">IF($C518="","",IFERROR(INDEX(Partits!$C:$C,MATCH($A518&amp;"_"&amp;$D518,Partits!$D:$D,0)),""))</f>
        <v/>
      </c>
      <c r="J518" s="9" t="str">
        <f aca="false">IF($C518="","",IF(AND($I518="V",N($H518)&gt;0),1.2,1))</f>
        <v/>
      </c>
      <c r="K518" s="9" t="str">
        <f aca="false">IF($C518="","",N($H518)*$J518)</f>
        <v/>
      </c>
      <c r="L518" s="9" t="str">
        <f aca="false">IF($C518="","",IF($E518="SI",2,1))</f>
        <v/>
      </c>
      <c r="M518" s="9" t="str">
        <f aca="false">IF($C518="","",$K518*$L518)</f>
        <v/>
      </c>
    </row>
    <row r="519" customFormat="false" ht="15" hidden="false" customHeight="true" outlineLevel="0" collapsed="false">
      <c r="A519" s="9" t="str">
        <f aca="false">IF(Equips_usuari!A519="","",Equips_usuari!A519)</f>
        <v/>
      </c>
      <c r="B519" s="9" t="str">
        <f aca="false">IF(Equips_usuari!B519="","",Equips_usuari!B519)</f>
        <v/>
      </c>
      <c r="C519" s="9" t="str">
        <f aca="false">IF(Equips_usuari!C519="","",Equips_usuari!C519)</f>
        <v/>
      </c>
      <c r="D519" s="9" t="str">
        <f aca="false">IF(Equips_usuari!D519="","",Equips_usuari!D519)</f>
        <v/>
      </c>
      <c r="E519" s="9" t="str">
        <f aca="false">IF(Equips_usuari!F519="","",Equips_usuari!F519)</f>
        <v/>
      </c>
      <c r="F519" s="9" t="str">
        <f aca="false">IF($C519="","",SUMIFS(Resultats_jugadores!$C:$C,Resultats_jugadores!$A:$A,$A519,Resultats_jugadores!$B:$B,$C519))</f>
        <v/>
      </c>
      <c r="G519" s="9" t="str">
        <f aca="false">IF($C519="","",SUMIFS(Resultats_jugadores!$D:$D,Resultats_jugadores!$A:$A,$A519,Resultats_jugadores!$B:$B,$C519))</f>
        <v/>
      </c>
      <c r="H519" s="9" t="str">
        <f aca="false">IF($C519="","",N($F519)-N($G519))</f>
        <v/>
      </c>
      <c r="I519" s="9" t="str">
        <f aca="false">IF($C519="","",IFERROR(INDEX(Partits!$C:$C,MATCH($A519&amp;"_"&amp;$D519,Partits!$D:$D,0)),""))</f>
        <v/>
      </c>
      <c r="J519" s="9" t="str">
        <f aca="false">IF($C519="","",IF(AND($I519="V",N($H519)&gt;0),1.2,1))</f>
        <v/>
      </c>
      <c r="K519" s="9" t="str">
        <f aca="false">IF($C519="","",N($H519)*$J519)</f>
        <v/>
      </c>
      <c r="L519" s="9" t="str">
        <f aca="false">IF($C519="","",IF($E519="SI",2,1))</f>
        <v/>
      </c>
      <c r="M519" s="9" t="str">
        <f aca="false">IF($C519="","",$K519*$L519)</f>
        <v/>
      </c>
    </row>
    <row r="520" customFormat="false" ht="15" hidden="false" customHeight="true" outlineLevel="0" collapsed="false">
      <c r="A520" s="9" t="str">
        <f aca="false">IF(Equips_usuari!A520="","",Equips_usuari!A520)</f>
        <v/>
      </c>
      <c r="B520" s="9" t="str">
        <f aca="false">IF(Equips_usuari!B520="","",Equips_usuari!B520)</f>
        <v/>
      </c>
      <c r="C520" s="9" t="str">
        <f aca="false">IF(Equips_usuari!C520="","",Equips_usuari!C520)</f>
        <v/>
      </c>
      <c r="D520" s="9" t="str">
        <f aca="false">IF(Equips_usuari!D520="","",Equips_usuari!D520)</f>
        <v/>
      </c>
      <c r="E520" s="9" t="str">
        <f aca="false">IF(Equips_usuari!F520="","",Equips_usuari!F520)</f>
        <v/>
      </c>
      <c r="F520" s="9" t="str">
        <f aca="false">IF($C520="","",SUMIFS(Resultats_jugadores!$C:$C,Resultats_jugadores!$A:$A,$A520,Resultats_jugadores!$B:$B,$C520))</f>
        <v/>
      </c>
      <c r="G520" s="9" t="str">
        <f aca="false">IF($C520="","",SUMIFS(Resultats_jugadores!$D:$D,Resultats_jugadores!$A:$A,$A520,Resultats_jugadores!$B:$B,$C520))</f>
        <v/>
      </c>
      <c r="H520" s="9" t="str">
        <f aca="false">IF($C520="","",N($F520)-N($G520))</f>
        <v/>
      </c>
      <c r="I520" s="9" t="str">
        <f aca="false">IF($C520="","",IFERROR(INDEX(Partits!$C:$C,MATCH($A520&amp;"_"&amp;$D520,Partits!$D:$D,0)),""))</f>
        <v/>
      </c>
      <c r="J520" s="9" t="str">
        <f aca="false">IF($C520="","",IF(AND($I520="V",N($H520)&gt;0),1.2,1))</f>
        <v/>
      </c>
      <c r="K520" s="9" t="str">
        <f aca="false">IF($C520="","",N($H520)*$J520)</f>
        <v/>
      </c>
      <c r="L520" s="9" t="str">
        <f aca="false">IF($C520="","",IF($E520="SI",2,1))</f>
        <v/>
      </c>
      <c r="M520" s="9" t="str">
        <f aca="false">IF($C520="","",$K520*$L520)</f>
        <v/>
      </c>
    </row>
    <row r="521" customFormat="false" ht="15" hidden="false" customHeight="true" outlineLevel="0" collapsed="false">
      <c r="A521" s="9" t="str">
        <f aca="false">IF(Equips_usuari!A521="","",Equips_usuari!A521)</f>
        <v/>
      </c>
      <c r="B521" s="9" t="str">
        <f aca="false">IF(Equips_usuari!B521="","",Equips_usuari!B521)</f>
        <v/>
      </c>
      <c r="C521" s="9" t="str">
        <f aca="false">IF(Equips_usuari!C521="","",Equips_usuari!C521)</f>
        <v/>
      </c>
      <c r="D521" s="9" t="str">
        <f aca="false">IF(Equips_usuari!D521="","",Equips_usuari!D521)</f>
        <v/>
      </c>
      <c r="E521" s="9" t="str">
        <f aca="false">IF(Equips_usuari!F521="","",Equips_usuari!F521)</f>
        <v/>
      </c>
      <c r="F521" s="9" t="str">
        <f aca="false">IF($C521="","",SUMIFS(Resultats_jugadores!$C:$C,Resultats_jugadores!$A:$A,$A521,Resultats_jugadores!$B:$B,$C521))</f>
        <v/>
      </c>
      <c r="G521" s="9" t="str">
        <f aca="false">IF($C521="","",SUMIFS(Resultats_jugadores!$D:$D,Resultats_jugadores!$A:$A,$A521,Resultats_jugadores!$B:$B,$C521))</f>
        <v/>
      </c>
      <c r="H521" s="9" t="str">
        <f aca="false">IF($C521="","",N($F521)-N($G521))</f>
        <v/>
      </c>
      <c r="I521" s="9" t="str">
        <f aca="false">IF($C521="","",IFERROR(INDEX(Partits!$C:$C,MATCH($A521&amp;"_"&amp;$D521,Partits!$D:$D,0)),""))</f>
        <v/>
      </c>
      <c r="J521" s="9" t="str">
        <f aca="false">IF($C521="","",IF(AND($I521="V",N($H521)&gt;0),1.2,1))</f>
        <v/>
      </c>
      <c r="K521" s="9" t="str">
        <f aca="false">IF($C521="","",N($H521)*$J521)</f>
        <v/>
      </c>
      <c r="L521" s="9" t="str">
        <f aca="false">IF($C521="","",IF($E521="SI",2,1))</f>
        <v/>
      </c>
      <c r="M521" s="9" t="str">
        <f aca="false">IF($C521="","",$K521*$L521)</f>
        <v/>
      </c>
    </row>
    <row r="522" customFormat="false" ht="15" hidden="false" customHeight="true" outlineLevel="0" collapsed="false">
      <c r="A522" s="9" t="str">
        <f aca="false">IF(Equips_usuari!A522="","",Equips_usuari!A522)</f>
        <v/>
      </c>
      <c r="B522" s="9" t="str">
        <f aca="false">IF(Equips_usuari!B522="","",Equips_usuari!B522)</f>
        <v/>
      </c>
      <c r="C522" s="9" t="str">
        <f aca="false">IF(Equips_usuari!C522="","",Equips_usuari!C522)</f>
        <v/>
      </c>
      <c r="D522" s="9" t="str">
        <f aca="false">IF(Equips_usuari!D522="","",Equips_usuari!D522)</f>
        <v/>
      </c>
      <c r="E522" s="9" t="str">
        <f aca="false">IF(Equips_usuari!F522="","",Equips_usuari!F522)</f>
        <v/>
      </c>
      <c r="F522" s="9" t="str">
        <f aca="false">IF($C522="","",SUMIFS(Resultats_jugadores!$C:$C,Resultats_jugadores!$A:$A,$A522,Resultats_jugadores!$B:$B,$C522))</f>
        <v/>
      </c>
      <c r="G522" s="9" t="str">
        <f aca="false">IF($C522="","",SUMIFS(Resultats_jugadores!$D:$D,Resultats_jugadores!$A:$A,$A522,Resultats_jugadores!$B:$B,$C522))</f>
        <v/>
      </c>
      <c r="H522" s="9" t="str">
        <f aca="false">IF($C522="","",N($F522)-N($G522))</f>
        <v/>
      </c>
      <c r="I522" s="9" t="str">
        <f aca="false">IF($C522="","",IFERROR(INDEX(Partits!$C:$C,MATCH($A522&amp;"_"&amp;$D522,Partits!$D:$D,0)),""))</f>
        <v/>
      </c>
      <c r="J522" s="9" t="str">
        <f aca="false">IF($C522="","",IF(AND($I522="V",N($H522)&gt;0),1.2,1))</f>
        <v/>
      </c>
      <c r="K522" s="9" t="str">
        <f aca="false">IF($C522="","",N($H522)*$J522)</f>
        <v/>
      </c>
      <c r="L522" s="9" t="str">
        <f aca="false">IF($C522="","",IF($E522="SI",2,1))</f>
        <v/>
      </c>
      <c r="M522" s="9" t="str">
        <f aca="false">IF($C522="","",$K522*$L522)</f>
        <v/>
      </c>
    </row>
    <row r="523" customFormat="false" ht="15" hidden="false" customHeight="true" outlineLevel="0" collapsed="false">
      <c r="A523" s="9" t="str">
        <f aca="false">IF(Equips_usuari!A523="","",Equips_usuari!A523)</f>
        <v/>
      </c>
      <c r="B523" s="9" t="str">
        <f aca="false">IF(Equips_usuari!B523="","",Equips_usuari!B523)</f>
        <v/>
      </c>
      <c r="C523" s="9" t="str">
        <f aca="false">IF(Equips_usuari!C523="","",Equips_usuari!C523)</f>
        <v/>
      </c>
      <c r="D523" s="9" t="str">
        <f aca="false">IF(Equips_usuari!D523="","",Equips_usuari!D523)</f>
        <v/>
      </c>
      <c r="E523" s="9" t="str">
        <f aca="false">IF(Equips_usuari!F523="","",Equips_usuari!F523)</f>
        <v/>
      </c>
      <c r="F523" s="9" t="str">
        <f aca="false">IF($C523="","",SUMIFS(Resultats_jugadores!$C:$C,Resultats_jugadores!$A:$A,$A523,Resultats_jugadores!$B:$B,$C523))</f>
        <v/>
      </c>
      <c r="G523" s="9" t="str">
        <f aca="false">IF($C523="","",SUMIFS(Resultats_jugadores!$D:$D,Resultats_jugadores!$A:$A,$A523,Resultats_jugadores!$B:$B,$C523))</f>
        <v/>
      </c>
      <c r="H523" s="9" t="str">
        <f aca="false">IF($C523="","",N($F523)-N($G523))</f>
        <v/>
      </c>
      <c r="I523" s="9" t="str">
        <f aca="false">IF($C523="","",IFERROR(INDEX(Partits!$C:$C,MATCH($A523&amp;"_"&amp;$D523,Partits!$D:$D,0)),""))</f>
        <v/>
      </c>
      <c r="J523" s="9" t="str">
        <f aca="false">IF($C523="","",IF(AND($I523="V",N($H523)&gt;0),1.2,1))</f>
        <v/>
      </c>
      <c r="K523" s="9" t="str">
        <f aca="false">IF($C523="","",N($H523)*$J523)</f>
        <v/>
      </c>
      <c r="L523" s="9" t="str">
        <f aca="false">IF($C523="","",IF($E523="SI",2,1))</f>
        <v/>
      </c>
      <c r="M523" s="9" t="str">
        <f aca="false">IF($C523="","",$K523*$L523)</f>
        <v/>
      </c>
    </row>
    <row r="524" customFormat="false" ht="15" hidden="false" customHeight="true" outlineLevel="0" collapsed="false">
      <c r="A524" s="9" t="str">
        <f aca="false">IF(Equips_usuari!A524="","",Equips_usuari!A524)</f>
        <v/>
      </c>
      <c r="B524" s="9" t="str">
        <f aca="false">IF(Equips_usuari!B524="","",Equips_usuari!B524)</f>
        <v/>
      </c>
      <c r="C524" s="9" t="str">
        <f aca="false">IF(Equips_usuari!C524="","",Equips_usuari!C524)</f>
        <v/>
      </c>
      <c r="D524" s="9" t="str">
        <f aca="false">IF(Equips_usuari!D524="","",Equips_usuari!D524)</f>
        <v/>
      </c>
      <c r="E524" s="9" t="str">
        <f aca="false">IF(Equips_usuari!F524="","",Equips_usuari!F524)</f>
        <v/>
      </c>
      <c r="F524" s="9" t="str">
        <f aca="false">IF($C524="","",SUMIFS(Resultats_jugadores!$C:$C,Resultats_jugadores!$A:$A,$A524,Resultats_jugadores!$B:$B,$C524))</f>
        <v/>
      </c>
      <c r="G524" s="9" t="str">
        <f aca="false">IF($C524="","",SUMIFS(Resultats_jugadores!$D:$D,Resultats_jugadores!$A:$A,$A524,Resultats_jugadores!$B:$B,$C524))</f>
        <v/>
      </c>
      <c r="H524" s="9" t="str">
        <f aca="false">IF($C524="","",N($F524)-N($G524))</f>
        <v/>
      </c>
      <c r="I524" s="9" t="str">
        <f aca="false">IF($C524="","",IFERROR(INDEX(Partits!$C:$C,MATCH($A524&amp;"_"&amp;$D524,Partits!$D:$D,0)),""))</f>
        <v/>
      </c>
      <c r="J524" s="9" t="str">
        <f aca="false">IF($C524="","",IF(AND($I524="V",N($H524)&gt;0),1.2,1))</f>
        <v/>
      </c>
      <c r="K524" s="9" t="str">
        <f aca="false">IF($C524="","",N($H524)*$J524)</f>
        <v/>
      </c>
      <c r="L524" s="9" t="str">
        <f aca="false">IF($C524="","",IF($E524="SI",2,1))</f>
        <v/>
      </c>
      <c r="M524" s="9" t="str">
        <f aca="false">IF($C524="","",$K524*$L524)</f>
        <v/>
      </c>
    </row>
    <row r="525" customFormat="false" ht="15" hidden="false" customHeight="true" outlineLevel="0" collapsed="false">
      <c r="A525" s="9" t="str">
        <f aca="false">IF(Equips_usuari!A525="","",Equips_usuari!A525)</f>
        <v/>
      </c>
      <c r="B525" s="9" t="str">
        <f aca="false">IF(Equips_usuari!B525="","",Equips_usuari!B525)</f>
        <v/>
      </c>
      <c r="C525" s="9" t="str">
        <f aca="false">IF(Equips_usuari!C525="","",Equips_usuari!C525)</f>
        <v/>
      </c>
      <c r="D525" s="9" t="str">
        <f aca="false">IF(Equips_usuari!D525="","",Equips_usuari!D525)</f>
        <v/>
      </c>
      <c r="E525" s="9" t="str">
        <f aca="false">IF(Equips_usuari!F525="","",Equips_usuari!F525)</f>
        <v/>
      </c>
      <c r="F525" s="9" t="str">
        <f aca="false">IF($C525="","",SUMIFS(Resultats_jugadores!$C:$C,Resultats_jugadores!$A:$A,$A525,Resultats_jugadores!$B:$B,$C525))</f>
        <v/>
      </c>
      <c r="G525" s="9" t="str">
        <f aca="false">IF($C525="","",SUMIFS(Resultats_jugadores!$D:$D,Resultats_jugadores!$A:$A,$A525,Resultats_jugadores!$B:$B,$C525))</f>
        <v/>
      </c>
      <c r="H525" s="9" t="str">
        <f aca="false">IF($C525="","",N($F525)-N($G525))</f>
        <v/>
      </c>
      <c r="I525" s="9" t="str">
        <f aca="false">IF($C525="","",IFERROR(INDEX(Partits!$C:$C,MATCH($A525&amp;"_"&amp;$D525,Partits!$D:$D,0)),""))</f>
        <v/>
      </c>
      <c r="J525" s="9" t="str">
        <f aca="false">IF($C525="","",IF(AND($I525="V",N($H525)&gt;0),1.2,1))</f>
        <v/>
      </c>
      <c r="K525" s="9" t="str">
        <f aca="false">IF($C525="","",N($H525)*$J525)</f>
        <v/>
      </c>
      <c r="L525" s="9" t="str">
        <f aca="false">IF($C525="","",IF($E525="SI",2,1))</f>
        <v/>
      </c>
      <c r="M525" s="9" t="str">
        <f aca="false">IF($C525="","",$K525*$L525)</f>
        <v/>
      </c>
    </row>
    <row r="526" customFormat="false" ht="15" hidden="false" customHeight="true" outlineLevel="0" collapsed="false">
      <c r="A526" s="9" t="str">
        <f aca="false">IF(Equips_usuari!A526="","",Equips_usuari!A526)</f>
        <v/>
      </c>
      <c r="B526" s="9" t="str">
        <f aca="false">IF(Equips_usuari!B526="","",Equips_usuari!B526)</f>
        <v/>
      </c>
      <c r="C526" s="9" t="str">
        <f aca="false">IF(Equips_usuari!C526="","",Equips_usuari!C526)</f>
        <v/>
      </c>
      <c r="D526" s="9" t="str">
        <f aca="false">IF(Equips_usuari!D526="","",Equips_usuari!D526)</f>
        <v/>
      </c>
      <c r="E526" s="9" t="str">
        <f aca="false">IF(Equips_usuari!F526="","",Equips_usuari!F526)</f>
        <v/>
      </c>
      <c r="F526" s="9" t="str">
        <f aca="false">IF($C526="","",SUMIFS(Resultats_jugadores!$C:$C,Resultats_jugadores!$A:$A,$A526,Resultats_jugadores!$B:$B,$C526))</f>
        <v/>
      </c>
      <c r="G526" s="9" t="str">
        <f aca="false">IF($C526="","",SUMIFS(Resultats_jugadores!$D:$D,Resultats_jugadores!$A:$A,$A526,Resultats_jugadores!$B:$B,$C526))</f>
        <v/>
      </c>
      <c r="H526" s="9" t="str">
        <f aca="false">IF($C526="","",N($F526)-N($G526))</f>
        <v/>
      </c>
      <c r="I526" s="9" t="str">
        <f aca="false">IF($C526="","",IFERROR(INDEX(Partits!$C:$C,MATCH($A526&amp;"_"&amp;$D526,Partits!$D:$D,0)),""))</f>
        <v/>
      </c>
      <c r="J526" s="9" t="str">
        <f aca="false">IF($C526="","",IF(AND($I526="V",N($H526)&gt;0),1.2,1))</f>
        <v/>
      </c>
      <c r="K526" s="9" t="str">
        <f aca="false">IF($C526="","",N($H526)*$J526)</f>
        <v/>
      </c>
      <c r="L526" s="9" t="str">
        <f aca="false">IF($C526="","",IF($E526="SI",2,1))</f>
        <v/>
      </c>
      <c r="M526" s="9" t="str">
        <f aca="false">IF($C526="","",$K526*$L526)</f>
        <v/>
      </c>
    </row>
    <row r="527" customFormat="false" ht="15" hidden="false" customHeight="true" outlineLevel="0" collapsed="false">
      <c r="A527" s="9" t="str">
        <f aca="false">IF(Equips_usuari!A527="","",Equips_usuari!A527)</f>
        <v/>
      </c>
      <c r="B527" s="9" t="str">
        <f aca="false">IF(Equips_usuari!B527="","",Equips_usuari!B527)</f>
        <v/>
      </c>
      <c r="C527" s="9" t="str">
        <f aca="false">IF(Equips_usuari!C527="","",Equips_usuari!C527)</f>
        <v/>
      </c>
      <c r="D527" s="9" t="str">
        <f aca="false">IF(Equips_usuari!D527="","",Equips_usuari!D527)</f>
        <v/>
      </c>
      <c r="E527" s="9" t="str">
        <f aca="false">IF(Equips_usuari!F527="","",Equips_usuari!F527)</f>
        <v/>
      </c>
      <c r="F527" s="9" t="str">
        <f aca="false">IF($C527="","",SUMIFS(Resultats_jugadores!$C:$C,Resultats_jugadores!$A:$A,$A527,Resultats_jugadores!$B:$B,$C527))</f>
        <v/>
      </c>
      <c r="G527" s="9" t="str">
        <f aca="false">IF($C527="","",SUMIFS(Resultats_jugadores!$D:$D,Resultats_jugadores!$A:$A,$A527,Resultats_jugadores!$B:$B,$C527))</f>
        <v/>
      </c>
      <c r="H527" s="9" t="str">
        <f aca="false">IF($C527="","",N($F527)-N($G527))</f>
        <v/>
      </c>
      <c r="I527" s="9" t="str">
        <f aca="false">IF($C527="","",IFERROR(INDEX(Partits!$C:$C,MATCH($A527&amp;"_"&amp;$D527,Partits!$D:$D,0)),""))</f>
        <v/>
      </c>
      <c r="J527" s="9" t="str">
        <f aca="false">IF($C527="","",IF(AND($I527="V",N($H527)&gt;0),1.2,1))</f>
        <v/>
      </c>
      <c r="K527" s="9" t="str">
        <f aca="false">IF($C527="","",N($H527)*$J527)</f>
        <v/>
      </c>
      <c r="L527" s="9" t="str">
        <f aca="false">IF($C527="","",IF($E527="SI",2,1))</f>
        <v/>
      </c>
      <c r="M527" s="9" t="str">
        <f aca="false">IF($C527="","",$K527*$L527)</f>
        <v/>
      </c>
    </row>
    <row r="528" customFormat="false" ht="15" hidden="false" customHeight="true" outlineLevel="0" collapsed="false">
      <c r="A528" s="9" t="str">
        <f aca="false">IF(Equips_usuari!A528="","",Equips_usuari!A528)</f>
        <v/>
      </c>
      <c r="B528" s="9" t="str">
        <f aca="false">IF(Equips_usuari!B528="","",Equips_usuari!B528)</f>
        <v/>
      </c>
      <c r="C528" s="9" t="str">
        <f aca="false">IF(Equips_usuari!C528="","",Equips_usuari!C528)</f>
        <v/>
      </c>
      <c r="D528" s="9" t="str">
        <f aca="false">IF(Equips_usuari!D528="","",Equips_usuari!D528)</f>
        <v/>
      </c>
      <c r="E528" s="9" t="str">
        <f aca="false">IF(Equips_usuari!F528="","",Equips_usuari!F528)</f>
        <v/>
      </c>
      <c r="F528" s="9" t="str">
        <f aca="false">IF($C528="","",SUMIFS(Resultats_jugadores!$C:$C,Resultats_jugadores!$A:$A,$A528,Resultats_jugadores!$B:$B,$C528))</f>
        <v/>
      </c>
      <c r="G528" s="9" t="str">
        <f aca="false">IF($C528="","",SUMIFS(Resultats_jugadores!$D:$D,Resultats_jugadores!$A:$A,$A528,Resultats_jugadores!$B:$B,$C528))</f>
        <v/>
      </c>
      <c r="H528" s="9" t="str">
        <f aca="false">IF($C528="","",N($F528)-N($G528))</f>
        <v/>
      </c>
      <c r="I528" s="9" t="str">
        <f aca="false">IF($C528="","",IFERROR(INDEX(Partits!$C:$C,MATCH($A528&amp;"_"&amp;$D528,Partits!$D:$D,0)),""))</f>
        <v/>
      </c>
      <c r="J528" s="9" t="str">
        <f aca="false">IF($C528="","",IF(AND($I528="V",N($H528)&gt;0),1.2,1))</f>
        <v/>
      </c>
      <c r="K528" s="9" t="str">
        <f aca="false">IF($C528="","",N($H528)*$J528)</f>
        <v/>
      </c>
      <c r="L528" s="9" t="str">
        <f aca="false">IF($C528="","",IF($E528="SI",2,1))</f>
        <v/>
      </c>
      <c r="M528" s="9" t="str">
        <f aca="false">IF($C528="","",$K528*$L528)</f>
        <v/>
      </c>
    </row>
    <row r="529" customFormat="false" ht="15" hidden="false" customHeight="true" outlineLevel="0" collapsed="false">
      <c r="A529" s="9" t="str">
        <f aca="false">IF(Equips_usuari!A529="","",Equips_usuari!A529)</f>
        <v/>
      </c>
      <c r="B529" s="9" t="str">
        <f aca="false">IF(Equips_usuari!B529="","",Equips_usuari!B529)</f>
        <v/>
      </c>
      <c r="C529" s="9" t="str">
        <f aca="false">IF(Equips_usuari!C529="","",Equips_usuari!C529)</f>
        <v/>
      </c>
      <c r="D529" s="9" t="str">
        <f aca="false">IF(Equips_usuari!D529="","",Equips_usuari!D529)</f>
        <v/>
      </c>
      <c r="E529" s="9" t="str">
        <f aca="false">IF(Equips_usuari!F529="","",Equips_usuari!F529)</f>
        <v/>
      </c>
      <c r="F529" s="9" t="str">
        <f aca="false">IF($C529="","",SUMIFS(Resultats_jugadores!$C:$C,Resultats_jugadores!$A:$A,$A529,Resultats_jugadores!$B:$B,$C529))</f>
        <v/>
      </c>
      <c r="G529" s="9" t="str">
        <f aca="false">IF($C529="","",SUMIFS(Resultats_jugadores!$D:$D,Resultats_jugadores!$A:$A,$A529,Resultats_jugadores!$B:$B,$C529))</f>
        <v/>
      </c>
      <c r="H529" s="9" t="str">
        <f aca="false">IF($C529="","",N($F529)-N($G529))</f>
        <v/>
      </c>
      <c r="I529" s="9" t="str">
        <f aca="false">IF($C529="","",IFERROR(INDEX(Partits!$C:$C,MATCH($A529&amp;"_"&amp;$D529,Partits!$D:$D,0)),""))</f>
        <v/>
      </c>
      <c r="J529" s="9" t="str">
        <f aca="false">IF($C529="","",IF(AND($I529="V",N($H529)&gt;0),1.2,1))</f>
        <v/>
      </c>
      <c r="K529" s="9" t="str">
        <f aca="false">IF($C529="","",N($H529)*$J529)</f>
        <v/>
      </c>
      <c r="L529" s="9" t="str">
        <f aca="false">IF($C529="","",IF($E529="SI",2,1))</f>
        <v/>
      </c>
      <c r="M529" s="9" t="str">
        <f aca="false">IF($C529="","",$K529*$L529)</f>
        <v/>
      </c>
    </row>
    <row r="530" customFormat="false" ht="15" hidden="false" customHeight="true" outlineLevel="0" collapsed="false">
      <c r="A530" s="9" t="str">
        <f aca="false">IF(Equips_usuari!A530="","",Equips_usuari!A530)</f>
        <v/>
      </c>
      <c r="B530" s="9" t="str">
        <f aca="false">IF(Equips_usuari!B530="","",Equips_usuari!B530)</f>
        <v/>
      </c>
      <c r="C530" s="9" t="str">
        <f aca="false">IF(Equips_usuari!C530="","",Equips_usuari!C530)</f>
        <v/>
      </c>
      <c r="D530" s="9" t="str">
        <f aca="false">IF(Equips_usuari!D530="","",Equips_usuari!D530)</f>
        <v/>
      </c>
      <c r="E530" s="9" t="str">
        <f aca="false">IF(Equips_usuari!F530="","",Equips_usuari!F530)</f>
        <v/>
      </c>
      <c r="F530" s="9" t="str">
        <f aca="false">IF($C530="","",SUMIFS(Resultats_jugadores!$C:$C,Resultats_jugadores!$A:$A,$A530,Resultats_jugadores!$B:$B,$C530))</f>
        <v/>
      </c>
      <c r="G530" s="9" t="str">
        <f aca="false">IF($C530="","",SUMIFS(Resultats_jugadores!$D:$D,Resultats_jugadores!$A:$A,$A530,Resultats_jugadores!$B:$B,$C530))</f>
        <v/>
      </c>
      <c r="H530" s="9" t="str">
        <f aca="false">IF($C530="","",N($F530)-N($G530))</f>
        <v/>
      </c>
      <c r="I530" s="9" t="str">
        <f aca="false">IF($C530="","",IFERROR(INDEX(Partits!$C:$C,MATCH($A530&amp;"_"&amp;$D530,Partits!$D:$D,0)),""))</f>
        <v/>
      </c>
      <c r="J530" s="9" t="str">
        <f aca="false">IF($C530="","",IF(AND($I530="V",N($H530)&gt;0),1.2,1))</f>
        <v/>
      </c>
      <c r="K530" s="9" t="str">
        <f aca="false">IF($C530="","",N($H530)*$J530)</f>
        <v/>
      </c>
      <c r="L530" s="9" t="str">
        <f aca="false">IF($C530="","",IF($E530="SI",2,1))</f>
        <v/>
      </c>
      <c r="M530" s="9" t="str">
        <f aca="false">IF($C530="","",$K530*$L530)</f>
        <v/>
      </c>
    </row>
    <row r="531" customFormat="false" ht="15" hidden="false" customHeight="true" outlineLevel="0" collapsed="false">
      <c r="A531" s="9" t="str">
        <f aca="false">IF(Equips_usuari!A531="","",Equips_usuari!A531)</f>
        <v/>
      </c>
      <c r="B531" s="9" t="str">
        <f aca="false">IF(Equips_usuari!B531="","",Equips_usuari!B531)</f>
        <v/>
      </c>
      <c r="C531" s="9" t="str">
        <f aca="false">IF(Equips_usuari!C531="","",Equips_usuari!C531)</f>
        <v/>
      </c>
      <c r="D531" s="9" t="str">
        <f aca="false">IF(Equips_usuari!D531="","",Equips_usuari!D531)</f>
        <v/>
      </c>
      <c r="E531" s="9" t="str">
        <f aca="false">IF(Equips_usuari!F531="","",Equips_usuari!F531)</f>
        <v/>
      </c>
      <c r="F531" s="9" t="str">
        <f aca="false">IF($C531="","",SUMIFS(Resultats_jugadores!$C:$C,Resultats_jugadores!$A:$A,$A531,Resultats_jugadores!$B:$B,$C531))</f>
        <v/>
      </c>
      <c r="G531" s="9" t="str">
        <f aca="false">IF($C531="","",SUMIFS(Resultats_jugadores!$D:$D,Resultats_jugadores!$A:$A,$A531,Resultats_jugadores!$B:$B,$C531))</f>
        <v/>
      </c>
      <c r="H531" s="9" t="str">
        <f aca="false">IF($C531="","",N($F531)-N($G531))</f>
        <v/>
      </c>
      <c r="I531" s="9" t="str">
        <f aca="false">IF($C531="","",IFERROR(INDEX(Partits!$C:$C,MATCH($A531&amp;"_"&amp;$D531,Partits!$D:$D,0)),""))</f>
        <v/>
      </c>
      <c r="J531" s="9" t="str">
        <f aca="false">IF($C531="","",IF(AND($I531="V",N($H531)&gt;0),1.2,1))</f>
        <v/>
      </c>
      <c r="K531" s="9" t="str">
        <f aca="false">IF($C531="","",N($H531)*$J531)</f>
        <v/>
      </c>
      <c r="L531" s="9" t="str">
        <f aca="false">IF($C531="","",IF($E531="SI",2,1))</f>
        <v/>
      </c>
      <c r="M531" s="9" t="str">
        <f aca="false">IF($C531="","",$K531*$L531)</f>
        <v/>
      </c>
    </row>
    <row r="532" customFormat="false" ht="15" hidden="false" customHeight="true" outlineLevel="0" collapsed="false">
      <c r="A532" s="9" t="str">
        <f aca="false">IF(Equips_usuari!A532="","",Equips_usuari!A532)</f>
        <v/>
      </c>
      <c r="B532" s="9" t="str">
        <f aca="false">IF(Equips_usuari!B532="","",Equips_usuari!B532)</f>
        <v/>
      </c>
      <c r="C532" s="9" t="str">
        <f aca="false">IF(Equips_usuari!C532="","",Equips_usuari!C532)</f>
        <v/>
      </c>
      <c r="D532" s="9" t="str">
        <f aca="false">IF(Equips_usuari!D532="","",Equips_usuari!D532)</f>
        <v/>
      </c>
      <c r="E532" s="9" t="str">
        <f aca="false">IF(Equips_usuari!F532="","",Equips_usuari!F532)</f>
        <v/>
      </c>
      <c r="F532" s="9" t="str">
        <f aca="false">IF($C532="","",SUMIFS(Resultats_jugadores!$C:$C,Resultats_jugadores!$A:$A,$A532,Resultats_jugadores!$B:$B,$C532))</f>
        <v/>
      </c>
      <c r="G532" s="9" t="str">
        <f aca="false">IF($C532="","",SUMIFS(Resultats_jugadores!$D:$D,Resultats_jugadores!$A:$A,$A532,Resultats_jugadores!$B:$B,$C532))</f>
        <v/>
      </c>
      <c r="H532" s="9" t="str">
        <f aca="false">IF($C532="","",N($F532)-N($G532))</f>
        <v/>
      </c>
      <c r="I532" s="9" t="str">
        <f aca="false">IF($C532="","",IFERROR(INDEX(Partits!$C:$C,MATCH($A532&amp;"_"&amp;$D532,Partits!$D:$D,0)),""))</f>
        <v/>
      </c>
      <c r="J532" s="9" t="str">
        <f aca="false">IF($C532="","",IF(AND($I532="V",N($H532)&gt;0),1.2,1))</f>
        <v/>
      </c>
      <c r="K532" s="9" t="str">
        <f aca="false">IF($C532="","",N($H532)*$J532)</f>
        <v/>
      </c>
      <c r="L532" s="9" t="str">
        <f aca="false">IF($C532="","",IF($E532="SI",2,1))</f>
        <v/>
      </c>
      <c r="M532" s="9" t="str">
        <f aca="false">IF($C532="","",$K532*$L532)</f>
        <v/>
      </c>
    </row>
    <row r="533" customFormat="false" ht="15" hidden="false" customHeight="true" outlineLevel="0" collapsed="false">
      <c r="A533" s="9" t="str">
        <f aca="false">IF(Equips_usuari!A533="","",Equips_usuari!A533)</f>
        <v/>
      </c>
      <c r="B533" s="9" t="str">
        <f aca="false">IF(Equips_usuari!B533="","",Equips_usuari!B533)</f>
        <v/>
      </c>
      <c r="C533" s="9" t="str">
        <f aca="false">IF(Equips_usuari!C533="","",Equips_usuari!C533)</f>
        <v/>
      </c>
      <c r="D533" s="9" t="str">
        <f aca="false">IF(Equips_usuari!D533="","",Equips_usuari!D533)</f>
        <v/>
      </c>
      <c r="E533" s="9" t="str">
        <f aca="false">IF(Equips_usuari!F533="","",Equips_usuari!F533)</f>
        <v/>
      </c>
      <c r="F533" s="9" t="str">
        <f aca="false">IF($C533="","",SUMIFS(Resultats_jugadores!$C:$C,Resultats_jugadores!$A:$A,$A533,Resultats_jugadores!$B:$B,$C533))</f>
        <v/>
      </c>
      <c r="G533" s="9" t="str">
        <f aca="false">IF($C533="","",SUMIFS(Resultats_jugadores!$D:$D,Resultats_jugadores!$A:$A,$A533,Resultats_jugadores!$B:$B,$C533))</f>
        <v/>
      </c>
      <c r="H533" s="9" t="str">
        <f aca="false">IF($C533="","",N($F533)-N($G533))</f>
        <v/>
      </c>
      <c r="I533" s="9" t="str">
        <f aca="false">IF($C533="","",IFERROR(INDEX(Partits!$C:$C,MATCH($A533&amp;"_"&amp;$D533,Partits!$D:$D,0)),""))</f>
        <v/>
      </c>
      <c r="J533" s="9" t="str">
        <f aca="false">IF($C533="","",IF(AND($I533="V",N($H533)&gt;0),1.2,1))</f>
        <v/>
      </c>
      <c r="K533" s="9" t="str">
        <f aca="false">IF($C533="","",N($H533)*$J533)</f>
        <v/>
      </c>
      <c r="L533" s="9" t="str">
        <f aca="false">IF($C533="","",IF($E533="SI",2,1))</f>
        <v/>
      </c>
      <c r="M533" s="9" t="str">
        <f aca="false">IF($C533="","",$K533*$L533)</f>
        <v/>
      </c>
    </row>
    <row r="534" customFormat="false" ht="15" hidden="false" customHeight="true" outlineLevel="0" collapsed="false">
      <c r="A534" s="9" t="str">
        <f aca="false">IF(Equips_usuari!A534="","",Equips_usuari!A534)</f>
        <v/>
      </c>
      <c r="B534" s="9" t="str">
        <f aca="false">IF(Equips_usuari!B534="","",Equips_usuari!B534)</f>
        <v/>
      </c>
      <c r="C534" s="9" t="str">
        <f aca="false">IF(Equips_usuari!C534="","",Equips_usuari!C534)</f>
        <v/>
      </c>
      <c r="D534" s="9" t="str">
        <f aca="false">IF(Equips_usuari!D534="","",Equips_usuari!D534)</f>
        <v/>
      </c>
      <c r="E534" s="9" t="str">
        <f aca="false">IF(Equips_usuari!F534="","",Equips_usuari!F534)</f>
        <v/>
      </c>
      <c r="F534" s="9" t="str">
        <f aca="false">IF($C534="","",SUMIFS(Resultats_jugadores!$C:$C,Resultats_jugadores!$A:$A,$A534,Resultats_jugadores!$B:$B,$C534))</f>
        <v/>
      </c>
      <c r="G534" s="9" t="str">
        <f aca="false">IF($C534="","",SUMIFS(Resultats_jugadores!$D:$D,Resultats_jugadores!$A:$A,$A534,Resultats_jugadores!$B:$B,$C534))</f>
        <v/>
      </c>
      <c r="H534" s="9" t="str">
        <f aca="false">IF($C534="","",N($F534)-N($G534))</f>
        <v/>
      </c>
      <c r="I534" s="9" t="str">
        <f aca="false">IF($C534="","",IFERROR(INDEX(Partits!$C:$C,MATCH($A534&amp;"_"&amp;$D534,Partits!$D:$D,0)),""))</f>
        <v/>
      </c>
      <c r="J534" s="9" t="str">
        <f aca="false">IF($C534="","",IF(AND($I534="V",N($H534)&gt;0),1.2,1))</f>
        <v/>
      </c>
      <c r="K534" s="9" t="str">
        <f aca="false">IF($C534="","",N($H534)*$J534)</f>
        <v/>
      </c>
      <c r="L534" s="9" t="str">
        <f aca="false">IF($C534="","",IF($E534="SI",2,1))</f>
        <v/>
      </c>
      <c r="M534" s="9" t="str">
        <f aca="false">IF($C534="","",$K534*$L534)</f>
        <v/>
      </c>
    </row>
    <row r="535" customFormat="false" ht="15" hidden="false" customHeight="true" outlineLevel="0" collapsed="false">
      <c r="A535" s="9" t="str">
        <f aca="false">IF(Equips_usuari!A535="","",Equips_usuari!A535)</f>
        <v/>
      </c>
      <c r="B535" s="9" t="str">
        <f aca="false">IF(Equips_usuari!B535="","",Equips_usuari!B535)</f>
        <v/>
      </c>
      <c r="C535" s="9" t="str">
        <f aca="false">IF(Equips_usuari!C535="","",Equips_usuari!C535)</f>
        <v/>
      </c>
      <c r="D535" s="9" t="str">
        <f aca="false">IF(Equips_usuari!D535="","",Equips_usuari!D535)</f>
        <v/>
      </c>
      <c r="E535" s="9" t="str">
        <f aca="false">IF(Equips_usuari!F535="","",Equips_usuari!F535)</f>
        <v/>
      </c>
      <c r="F535" s="9" t="str">
        <f aca="false">IF($C535="","",SUMIFS(Resultats_jugadores!$C:$C,Resultats_jugadores!$A:$A,$A535,Resultats_jugadores!$B:$B,$C535))</f>
        <v/>
      </c>
      <c r="G535" s="9" t="str">
        <f aca="false">IF($C535="","",SUMIFS(Resultats_jugadores!$D:$D,Resultats_jugadores!$A:$A,$A535,Resultats_jugadores!$B:$B,$C535))</f>
        <v/>
      </c>
      <c r="H535" s="9" t="str">
        <f aca="false">IF($C535="","",N($F535)-N($G535))</f>
        <v/>
      </c>
      <c r="I535" s="9" t="str">
        <f aca="false">IF($C535="","",IFERROR(INDEX(Partits!$C:$C,MATCH($A535&amp;"_"&amp;$D535,Partits!$D:$D,0)),""))</f>
        <v/>
      </c>
      <c r="J535" s="9" t="str">
        <f aca="false">IF($C535="","",IF(AND($I535="V",N($H535)&gt;0),1.2,1))</f>
        <v/>
      </c>
      <c r="K535" s="9" t="str">
        <f aca="false">IF($C535="","",N($H535)*$J535)</f>
        <v/>
      </c>
      <c r="L535" s="9" t="str">
        <f aca="false">IF($C535="","",IF($E535="SI",2,1))</f>
        <v/>
      </c>
      <c r="M535" s="9" t="str">
        <f aca="false">IF($C535="","",$K535*$L535)</f>
        <v/>
      </c>
    </row>
    <row r="536" customFormat="false" ht="15" hidden="false" customHeight="true" outlineLevel="0" collapsed="false">
      <c r="A536" s="9" t="str">
        <f aca="false">IF(Equips_usuari!A536="","",Equips_usuari!A536)</f>
        <v/>
      </c>
      <c r="B536" s="9" t="str">
        <f aca="false">IF(Equips_usuari!B536="","",Equips_usuari!B536)</f>
        <v/>
      </c>
      <c r="C536" s="9" t="str">
        <f aca="false">IF(Equips_usuari!C536="","",Equips_usuari!C536)</f>
        <v/>
      </c>
      <c r="D536" s="9" t="str">
        <f aca="false">IF(Equips_usuari!D536="","",Equips_usuari!D536)</f>
        <v/>
      </c>
      <c r="E536" s="9" t="str">
        <f aca="false">IF(Equips_usuari!F536="","",Equips_usuari!F536)</f>
        <v/>
      </c>
      <c r="F536" s="9" t="str">
        <f aca="false">IF($C536="","",SUMIFS(Resultats_jugadores!$C:$C,Resultats_jugadores!$A:$A,$A536,Resultats_jugadores!$B:$B,$C536))</f>
        <v/>
      </c>
      <c r="G536" s="9" t="str">
        <f aca="false">IF($C536="","",SUMIFS(Resultats_jugadores!$D:$D,Resultats_jugadores!$A:$A,$A536,Resultats_jugadores!$B:$B,$C536))</f>
        <v/>
      </c>
      <c r="H536" s="9" t="str">
        <f aca="false">IF($C536="","",N($F536)-N($G536))</f>
        <v/>
      </c>
      <c r="I536" s="9" t="str">
        <f aca="false">IF($C536="","",IFERROR(INDEX(Partits!$C:$C,MATCH($A536&amp;"_"&amp;$D536,Partits!$D:$D,0)),""))</f>
        <v/>
      </c>
      <c r="J536" s="9" t="str">
        <f aca="false">IF($C536="","",IF(AND($I536="V",N($H536)&gt;0),1.2,1))</f>
        <v/>
      </c>
      <c r="K536" s="9" t="str">
        <f aca="false">IF($C536="","",N($H536)*$J536)</f>
        <v/>
      </c>
      <c r="L536" s="9" t="str">
        <f aca="false">IF($C536="","",IF($E536="SI",2,1))</f>
        <v/>
      </c>
      <c r="M536" s="9" t="str">
        <f aca="false">IF($C536="","",$K536*$L536)</f>
        <v/>
      </c>
    </row>
    <row r="537" customFormat="false" ht="15" hidden="false" customHeight="true" outlineLevel="0" collapsed="false">
      <c r="A537" s="9" t="str">
        <f aca="false">IF(Equips_usuari!A537="","",Equips_usuari!A537)</f>
        <v/>
      </c>
      <c r="B537" s="9" t="str">
        <f aca="false">IF(Equips_usuari!B537="","",Equips_usuari!B537)</f>
        <v/>
      </c>
      <c r="C537" s="9" t="str">
        <f aca="false">IF(Equips_usuari!C537="","",Equips_usuari!C537)</f>
        <v/>
      </c>
      <c r="D537" s="9" t="str">
        <f aca="false">IF(Equips_usuari!D537="","",Equips_usuari!D537)</f>
        <v/>
      </c>
      <c r="E537" s="9" t="str">
        <f aca="false">IF(Equips_usuari!F537="","",Equips_usuari!F537)</f>
        <v/>
      </c>
      <c r="F537" s="9" t="str">
        <f aca="false">IF($C537="","",SUMIFS(Resultats_jugadores!$C:$C,Resultats_jugadores!$A:$A,$A537,Resultats_jugadores!$B:$B,$C537))</f>
        <v/>
      </c>
      <c r="G537" s="9" t="str">
        <f aca="false">IF($C537="","",SUMIFS(Resultats_jugadores!$D:$D,Resultats_jugadores!$A:$A,$A537,Resultats_jugadores!$B:$B,$C537))</f>
        <v/>
      </c>
      <c r="H537" s="9" t="str">
        <f aca="false">IF($C537="","",N($F537)-N($G537))</f>
        <v/>
      </c>
      <c r="I537" s="9" t="str">
        <f aca="false">IF($C537="","",IFERROR(INDEX(Partits!$C:$C,MATCH($A537&amp;"_"&amp;$D537,Partits!$D:$D,0)),""))</f>
        <v/>
      </c>
      <c r="J537" s="9" t="str">
        <f aca="false">IF($C537="","",IF(AND($I537="V",N($H537)&gt;0),1.2,1))</f>
        <v/>
      </c>
      <c r="K537" s="9" t="str">
        <f aca="false">IF($C537="","",N($H537)*$J537)</f>
        <v/>
      </c>
      <c r="L537" s="9" t="str">
        <f aca="false">IF($C537="","",IF($E537="SI",2,1))</f>
        <v/>
      </c>
      <c r="M537" s="9" t="str">
        <f aca="false">IF($C537="","",$K537*$L537)</f>
        <v/>
      </c>
    </row>
    <row r="538" customFormat="false" ht="15" hidden="false" customHeight="true" outlineLevel="0" collapsed="false">
      <c r="A538" s="9" t="str">
        <f aca="false">IF(Equips_usuari!A538="","",Equips_usuari!A538)</f>
        <v/>
      </c>
      <c r="B538" s="9" t="str">
        <f aca="false">IF(Equips_usuari!B538="","",Equips_usuari!B538)</f>
        <v/>
      </c>
      <c r="C538" s="9" t="str">
        <f aca="false">IF(Equips_usuari!C538="","",Equips_usuari!C538)</f>
        <v/>
      </c>
      <c r="D538" s="9" t="str">
        <f aca="false">IF(Equips_usuari!D538="","",Equips_usuari!D538)</f>
        <v/>
      </c>
      <c r="E538" s="9" t="str">
        <f aca="false">IF(Equips_usuari!F538="","",Equips_usuari!F538)</f>
        <v/>
      </c>
      <c r="F538" s="9" t="str">
        <f aca="false">IF($C538="","",SUMIFS(Resultats_jugadores!$C:$C,Resultats_jugadores!$A:$A,$A538,Resultats_jugadores!$B:$B,$C538))</f>
        <v/>
      </c>
      <c r="G538" s="9" t="str">
        <f aca="false">IF($C538="","",SUMIFS(Resultats_jugadores!$D:$D,Resultats_jugadores!$A:$A,$A538,Resultats_jugadores!$B:$B,$C538))</f>
        <v/>
      </c>
      <c r="H538" s="9" t="str">
        <f aca="false">IF($C538="","",N($F538)-N($G538))</f>
        <v/>
      </c>
      <c r="I538" s="9" t="str">
        <f aca="false">IF($C538="","",IFERROR(INDEX(Partits!$C:$C,MATCH($A538&amp;"_"&amp;$D538,Partits!$D:$D,0)),""))</f>
        <v/>
      </c>
      <c r="J538" s="9" t="str">
        <f aca="false">IF($C538="","",IF(AND($I538="V",N($H538)&gt;0),1.2,1))</f>
        <v/>
      </c>
      <c r="K538" s="9" t="str">
        <f aca="false">IF($C538="","",N($H538)*$J538)</f>
        <v/>
      </c>
      <c r="L538" s="9" t="str">
        <f aca="false">IF($C538="","",IF($E538="SI",2,1))</f>
        <v/>
      </c>
      <c r="M538" s="9" t="str">
        <f aca="false">IF($C538="","",$K538*$L538)</f>
        <v/>
      </c>
    </row>
    <row r="539" customFormat="false" ht="15" hidden="false" customHeight="true" outlineLevel="0" collapsed="false">
      <c r="A539" s="9" t="str">
        <f aca="false">IF(Equips_usuari!A539="","",Equips_usuari!A539)</f>
        <v/>
      </c>
      <c r="B539" s="9" t="str">
        <f aca="false">IF(Equips_usuari!B539="","",Equips_usuari!B539)</f>
        <v/>
      </c>
      <c r="C539" s="9" t="str">
        <f aca="false">IF(Equips_usuari!C539="","",Equips_usuari!C539)</f>
        <v/>
      </c>
      <c r="D539" s="9" t="str">
        <f aca="false">IF(Equips_usuari!D539="","",Equips_usuari!D539)</f>
        <v/>
      </c>
      <c r="E539" s="9" t="str">
        <f aca="false">IF(Equips_usuari!F539="","",Equips_usuari!F539)</f>
        <v/>
      </c>
      <c r="F539" s="9" t="str">
        <f aca="false">IF($C539="","",SUMIFS(Resultats_jugadores!$C:$C,Resultats_jugadores!$A:$A,$A539,Resultats_jugadores!$B:$B,$C539))</f>
        <v/>
      </c>
      <c r="G539" s="9" t="str">
        <f aca="false">IF($C539="","",SUMIFS(Resultats_jugadores!$D:$D,Resultats_jugadores!$A:$A,$A539,Resultats_jugadores!$B:$B,$C539))</f>
        <v/>
      </c>
      <c r="H539" s="9" t="str">
        <f aca="false">IF($C539="","",N($F539)-N($G539))</f>
        <v/>
      </c>
      <c r="I539" s="9" t="str">
        <f aca="false">IF($C539="","",IFERROR(INDEX(Partits!$C:$C,MATCH($A539&amp;"_"&amp;$D539,Partits!$D:$D,0)),""))</f>
        <v/>
      </c>
      <c r="J539" s="9" t="str">
        <f aca="false">IF($C539="","",IF(AND($I539="V",N($H539)&gt;0),1.2,1))</f>
        <v/>
      </c>
      <c r="K539" s="9" t="str">
        <f aca="false">IF($C539="","",N($H539)*$J539)</f>
        <v/>
      </c>
      <c r="L539" s="9" t="str">
        <f aca="false">IF($C539="","",IF($E539="SI",2,1))</f>
        <v/>
      </c>
      <c r="M539" s="9" t="str">
        <f aca="false">IF($C539="","",$K539*$L539)</f>
        <v/>
      </c>
    </row>
    <row r="540" customFormat="false" ht="15" hidden="false" customHeight="true" outlineLevel="0" collapsed="false">
      <c r="A540" s="9" t="str">
        <f aca="false">IF(Equips_usuari!A540="","",Equips_usuari!A540)</f>
        <v/>
      </c>
      <c r="B540" s="9" t="str">
        <f aca="false">IF(Equips_usuari!B540="","",Equips_usuari!B540)</f>
        <v/>
      </c>
      <c r="C540" s="9" t="str">
        <f aca="false">IF(Equips_usuari!C540="","",Equips_usuari!C540)</f>
        <v/>
      </c>
      <c r="D540" s="9" t="str">
        <f aca="false">IF(Equips_usuari!D540="","",Equips_usuari!D540)</f>
        <v/>
      </c>
      <c r="E540" s="9" t="str">
        <f aca="false">IF(Equips_usuari!F540="","",Equips_usuari!F540)</f>
        <v/>
      </c>
      <c r="F540" s="9" t="str">
        <f aca="false">IF($C540="","",SUMIFS(Resultats_jugadores!$C:$C,Resultats_jugadores!$A:$A,$A540,Resultats_jugadores!$B:$B,$C540))</f>
        <v/>
      </c>
      <c r="G540" s="9" t="str">
        <f aca="false">IF($C540="","",SUMIFS(Resultats_jugadores!$D:$D,Resultats_jugadores!$A:$A,$A540,Resultats_jugadores!$B:$B,$C540))</f>
        <v/>
      </c>
      <c r="H540" s="9" t="str">
        <f aca="false">IF($C540="","",N($F540)-N($G540))</f>
        <v/>
      </c>
      <c r="I540" s="9" t="str">
        <f aca="false">IF($C540="","",IFERROR(INDEX(Partits!$C:$C,MATCH($A540&amp;"_"&amp;$D540,Partits!$D:$D,0)),""))</f>
        <v/>
      </c>
      <c r="J540" s="9" t="str">
        <f aca="false">IF($C540="","",IF(AND($I540="V",N($H540)&gt;0),1.2,1))</f>
        <v/>
      </c>
      <c r="K540" s="9" t="str">
        <f aca="false">IF($C540="","",N($H540)*$J540)</f>
        <v/>
      </c>
      <c r="L540" s="9" t="str">
        <f aca="false">IF($C540="","",IF($E540="SI",2,1))</f>
        <v/>
      </c>
      <c r="M540" s="9" t="str">
        <f aca="false">IF($C540="","",$K540*$L540)</f>
        <v/>
      </c>
    </row>
    <row r="541" customFormat="false" ht="15" hidden="false" customHeight="true" outlineLevel="0" collapsed="false">
      <c r="A541" s="9" t="str">
        <f aca="false">IF(Equips_usuari!A541="","",Equips_usuari!A541)</f>
        <v/>
      </c>
      <c r="B541" s="9" t="str">
        <f aca="false">IF(Equips_usuari!B541="","",Equips_usuari!B541)</f>
        <v/>
      </c>
      <c r="C541" s="9" t="str">
        <f aca="false">IF(Equips_usuari!C541="","",Equips_usuari!C541)</f>
        <v/>
      </c>
      <c r="D541" s="9" t="str">
        <f aca="false">IF(Equips_usuari!D541="","",Equips_usuari!D541)</f>
        <v/>
      </c>
      <c r="E541" s="9" t="str">
        <f aca="false">IF(Equips_usuari!F541="","",Equips_usuari!F541)</f>
        <v/>
      </c>
      <c r="F541" s="9" t="str">
        <f aca="false">IF($C541="","",SUMIFS(Resultats_jugadores!$C:$C,Resultats_jugadores!$A:$A,$A541,Resultats_jugadores!$B:$B,$C541))</f>
        <v/>
      </c>
      <c r="G541" s="9" t="str">
        <f aca="false">IF($C541="","",SUMIFS(Resultats_jugadores!$D:$D,Resultats_jugadores!$A:$A,$A541,Resultats_jugadores!$B:$B,$C541))</f>
        <v/>
      </c>
      <c r="H541" s="9" t="str">
        <f aca="false">IF($C541="","",N($F541)-N($G541))</f>
        <v/>
      </c>
      <c r="I541" s="9" t="str">
        <f aca="false">IF($C541="","",IFERROR(INDEX(Partits!$C:$C,MATCH($A541&amp;"_"&amp;$D541,Partits!$D:$D,0)),""))</f>
        <v/>
      </c>
      <c r="J541" s="9" t="str">
        <f aca="false">IF($C541="","",IF(AND($I541="V",N($H541)&gt;0),1.2,1))</f>
        <v/>
      </c>
      <c r="K541" s="9" t="str">
        <f aca="false">IF($C541="","",N($H541)*$J541)</f>
        <v/>
      </c>
      <c r="L541" s="9" t="str">
        <f aca="false">IF($C541="","",IF($E541="SI",2,1))</f>
        <v/>
      </c>
      <c r="M541" s="9" t="str">
        <f aca="false">IF($C541="","",$K541*$L541)</f>
        <v/>
      </c>
    </row>
    <row r="542" customFormat="false" ht="15" hidden="false" customHeight="true" outlineLevel="0" collapsed="false">
      <c r="A542" s="9" t="str">
        <f aca="false">IF(Equips_usuari!A542="","",Equips_usuari!A542)</f>
        <v/>
      </c>
      <c r="B542" s="9" t="str">
        <f aca="false">IF(Equips_usuari!B542="","",Equips_usuari!B542)</f>
        <v/>
      </c>
      <c r="C542" s="9" t="str">
        <f aca="false">IF(Equips_usuari!C542="","",Equips_usuari!C542)</f>
        <v/>
      </c>
      <c r="D542" s="9" t="str">
        <f aca="false">IF(Equips_usuari!D542="","",Equips_usuari!D542)</f>
        <v/>
      </c>
      <c r="E542" s="9" t="str">
        <f aca="false">IF(Equips_usuari!F542="","",Equips_usuari!F542)</f>
        <v/>
      </c>
      <c r="F542" s="9" t="str">
        <f aca="false">IF($C542="","",SUMIFS(Resultats_jugadores!$C:$C,Resultats_jugadores!$A:$A,$A542,Resultats_jugadores!$B:$B,$C542))</f>
        <v/>
      </c>
      <c r="G542" s="9" t="str">
        <f aca="false">IF($C542="","",SUMIFS(Resultats_jugadores!$D:$D,Resultats_jugadores!$A:$A,$A542,Resultats_jugadores!$B:$B,$C542))</f>
        <v/>
      </c>
      <c r="H542" s="9" t="str">
        <f aca="false">IF($C542="","",N($F542)-N($G542))</f>
        <v/>
      </c>
      <c r="I542" s="9" t="str">
        <f aca="false">IF($C542="","",IFERROR(INDEX(Partits!$C:$C,MATCH($A542&amp;"_"&amp;$D542,Partits!$D:$D,0)),""))</f>
        <v/>
      </c>
      <c r="J542" s="9" t="str">
        <f aca="false">IF($C542="","",IF(AND($I542="V",N($H542)&gt;0),1.2,1))</f>
        <v/>
      </c>
      <c r="K542" s="9" t="str">
        <f aca="false">IF($C542="","",N($H542)*$J542)</f>
        <v/>
      </c>
      <c r="L542" s="9" t="str">
        <f aca="false">IF($C542="","",IF($E542="SI",2,1))</f>
        <v/>
      </c>
      <c r="M542" s="9" t="str">
        <f aca="false">IF($C542="","",$K542*$L542)</f>
        <v/>
      </c>
    </row>
    <row r="543" customFormat="false" ht="15" hidden="false" customHeight="true" outlineLevel="0" collapsed="false">
      <c r="A543" s="9" t="str">
        <f aca="false">IF(Equips_usuari!A543="","",Equips_usuari!A543)</f>
        <v/>
      </c>
      <c r="B543" s="9" t="str">
        <f aca="false">IF(Equips_usuari!B543="","",Equips_usuari!B543)</f>
        <v/>
      </c>
      <c r="C543" s="9" t="str">
        <f aca="false">IF(Equips_usuari!C543="","",Equips_usuari!C543)</f>
        <v/>
      </c>
      <c r="D543" s="9" t="str">
        <f aca="false">IF(Equips_usuari!D543="","",Equips_usuari!D543)</f>
        <v/>
      </c>
      <c r="E543" s="9" t="str">
        <f aca="false">IF(Equips_usuari!F543="","",Equips_usuari!F543)</f>
        <v/>
      </c>
      <c r="F543" s="9" t="str">
        <f aca="false">IF($C543="","",SUMIFS(Resultats_jugadores!$C:$C,Resultats_jugadores!$A:$A,$A543,Resultats_jugadores!$B:$B,$C543))</f>
        <v/>
      </c>
      <c r="G543" s="9" t="str">
        <f aca="false">IF($C543="","",SUMIFS(Resultats_jugadores!$D:$D,Resultats_jugadores!$A:$A,$A543,Resultats_jugadores!$B:$B,$C543))</f>
        <v/>
      </c>
      <c r="H543" s="9" t="str">
        <f aca="false">IF($C543="","",N($F543)-N($G543))</f>
        <v/>
      </c>
      <c r="I543" s="9" t="str">
        <f aca="false">IF($C543="","",IFERROR(INDEX(Partits!$C:$C,MATCH($A543&amp;"_"&amp;$D543,Partits!$D:$D,0)),""))</f>
        <v/>
      </c>
      <c r="J543" s="9" t="str">
        <f aca="false">IF($C543="","",IF(AND($I543="V",N($H543)&gt;0),1.2,1))</f>
        <v/>
      </c>
      <c r="K543" s="9" t="str">
        <f aca="false">IF($C543="","",N($H543)*$J543)</f>
        <v/>
      </c>
      <c r="L543" s="9" t="str">
        <f aca="false">IF($C543="","",IF($E543="SI",2,1))</f>
        <v/>
      </c>
      <c r="M543" s="9" t="str">
        <f aca="false">IF($C543="","",$K543*$L543)</f>
        <v/>
      </c>
    </row>
    <row r="544" customFormat="false" ht="15" hidden="false" customHeight="true" outlineLevel="0" collapsed="false">
      <c r="A544" s="9" t="str">
        <f aca="false">IF(Equips_usuari!A544="","",Equips_usuari!A544)</f>
        <v/>
      </c>
      <c r="B544" s="9" t="str">
        <f aca="false">IF(Equips_usuari!B544="","",Equips_usuari!B544)</f>
        <v/>
      </c>
      <c r="C544" s="9" t="str">
        <f aca="false">IF(Equips_usuari!C544="","",Equips_usuari!C544)</f>
        <v/>
      </c>
      <c r="D544" s="9" t="str">
        <f aca="false">IF(Equips_usuari!D544="","",Equips_usuari!D544)</f>
        <v/>
      </c>
      <c r="E544" s="9" t="str">
        <f aca="false">IF(Equips_usuari!F544="","",Equips_usuari!F544)</f>
        <v/>
      </c>
      <c r="F544" s="9" t="str">
        <f aca="false">IF($C544="","",SUMIFS(Resultats_jugadores!$C:$C,Resultats_jugadores!$A:$A,$A544,Resultats_jugadores!$B:$B,$C544))</f>
        <v/>
      </c>
      <c r="G544" s="9" t="str">
        <f aca="false">IF($C544="","",SUMIFS(Resultats_jugadores!$D:$D,Resultats_jugadores!$A:$A,$A544,Resultats_jugadores!$B:$B,$C544))</f>
        <v/>
      </c>
      <c r="H544" s="9" t="str">
        <f aca="false">IF($C544="","",N($F544)-N($G544))</f>
        <v/>
      </c>
      <c r="I544" s="9" t="str">
        <f aca="false">IF($C544="","",IFERROR(INDEX(Partits!$C:$C,MATCH($A544&amp;"_"&amp;$D544,Partits!$D:$D,0)),""))</f>
        <v/>
      </c>
      <c r="J544" s="9" t="str">
        <f aca="false">IF($C544="","",IF(AND($I544="V",N($H544)&gt;0),1.2,1))</f>
        <v/>
      </c>
      <c r="K544" s="9" t="str">
        <f aca="false">IF($C544="","",N($H544)*$J544)</f>
        <v/>
      </c>
      <c r="L544" s="9" t="str">
        <f aca="false">IF($C544="","",IF($E544="SI",2,1))</f>
        <v/>
      </c>
      <c r="M544" s="9" t="str">
        <f aca="false">IF($C544="","",$K544*$L544)</f>
        <v/>
      </c>
    </row>
    <row r="545" customFormat="false" ht="15" hidden="false" customHeight="true" outlineLevel="0" collapsed="false">
      <c r="A545" s="9" t="str">
        <f aca="false">IF(Equips_usuari!A545="","",Equips_usuari!A545)</f>
        <v/>
      </c>
      <c r="B545" s="9" t="str">
        <f aca="false">IF(Equips_usuari!B545="","",Equips_usuari!B545)</f>
        <v/>
      </c>
      <c r="C545" s="9" t="str">
        <f aca="false">IF(Equips_usuari!C545="","",Equips_usuari!C545)</f>
        <v/>
      </c>
      <c r="D545" s="9" t="str">
        <f aca="false">IF(Equips_usuari!D545="","",Equips_usuari!D545)</f>
        <v/>
      </c>
      <c r="E545" s="9" t="str">
        <f aca="false">IF(Equips_usuari!F545="","",Equips_usuari!F545)</f>
        <v/>
      </c>
      <c r="F545" s="9" t="str">
        <f aca="false">IF($C545="","",SUMIFS(Resultats_jugadores!$C:$C,Resultats_jugadores!$A:$A,$A545,Resultats_jugadores!$B:$B,$C545))</f>
        <v/>
      </c>
      <c r="G545" s="9" t="str">
        <f aca="false">IF($C545="","",SUMIFS(Resultats_jugadores!$D:$D,Resultats_jugadores!$A:$A,$A545,Resultats_jugadores!$B:$B,$C545))</f>
        <v/>
      </c>
      <c r="H545" s="9" t="str">
        <f aca="false">IF($C545="","",N($F545)-N($G545))</f>
        <v/>
      </c>
      <c r="I545" s="9" t="str">
        <f aca="false">IF($C545="","",IFERROR(INDEX(Partits!$C:$C,MATCH($A545&amp;"_"&amp;$D545,Partits!$D:$D,0)),""))</f>
        <v/>
      </c>
      <c r="J545" s="9" t="str">
        <f aca="false">IF($C545="","",IF(AND($I545="V",N($H545)&gt;0),1.2,1))</f>
        <v/>
      </c>
      <c r="K545" s="9" t="str">
        <f aca="false">IF($C545="","",N($H545)*$J545)</f>
        <v/>
      </c>
      <c r="L545" s="9" t="str">
        <f aca="false">IF($C545="","",IF($E545="SI",2,1))</f>
        <v/>
      </c>
      <c r="M545" s="9" t="str">
        <f aca="false">IF($C545="","",$K545*$L545)</f>
        <v/>
      </c>
    </row>
    <row r="546" customFormat="false" ht="15" hidden="false" customHeight="true" outlineLevel="0" collapsed="false">
      <c r="A546" s="9" t="str">
        <f aca="false">IF(Equips_usuari!A546="","",Equips_usuari!A546)</f>
        <v/>
      </c>
      <c r="B546" s="9" t="str">
        <f aca="false">IF(Equips_usuari!B546="","",Equips_usuari!B546)</f>
        <v/>
      </c>
      <c r="C546" s="9" t="str">
        <f aca="false">IF(Equips_usuari!C546="","",Equips_usuari!C546)</f>
        <v/>
      </c>
      <c r="D546" s="9" t="str">
        <f aca="false">IF(Equips_usuari!D546="","",Equips_usuari!D546)</f>
        <v/>
      </c>
      <c r="E546" s="9" t="str">
        <f aca="false">IF(Equips_usuari!F546="","",Equips_usuari!F546)</f>
        <v/>
      </c>
      <c r="F546" s="9" t="str">
        <f aca="false">IF($C546="","",SUMIFS(Resultats_jugadores!$C:$C,Resultats_jugadores!$A:$A,$A546,Resultats_jugadores!$B:$B,$C546))</f>
        <v/>
      </c>
      <c r="G546" s="9" t="str">
        <f aca="false">IF($C546="","",SUMIFS(Resultats_jugadores!$D:$D,Resultats_jugadores!$A:$A,$A546,Resultats_jugadores!$B:$B,$C546))</f>
        <v/>
      </c>
      <c r="H546" s="9" t="str">
        <f aca="false">IF($C546="","",N($F546)-N($G546))</f>
        <v/>
      </c>
      <c r="I546" s="9" t="str">
        <f aca="false">IF($C546="","",IFERROR(INDEX(Partits!$C:$C,MATCH($A546&amp;"_"&amp;$D546,Partits!$D:$D,0)),""))</f>
        <v/>
      </c>
      <c r="J546" s="9" t="str">
        <f aca="false">IF($C546="","",IF(AND($I546="V",N($H546)&gt;0),1.2,1))</f>
        <v/>
      </c>
      <c r="K546" s="9" t="str">
        <f aca="false">IF($C546="","",N($H546)*$J546)</f>
        <v/>
      </c>
      <c r="L546" s="9" t="str">
        <f aca="false">IF($C546="","",IF($E546="SI",2,1))</f>
        <v/>
      </c>
      <c r="M546" s="9" t="str">
        <f aca="false">IF($C546="","",$K546*$L546)</f>
        <v/>
      </c>
    </row>
    <row r="547" customFormat="false" ht="15" hidden="false" customHeight="true" outlineLevel="0" collapsed="false">
      <c r="A547" s="9" t="str">
        <f aca="false">IF(Equips_usuari!A547="","",Equips_usuari!A547)</f>
        <v/>
      </c>
      <c r="B547" s="9" t="str">
        <f aca="false">IF(Equips_usuari!B547="","",Equips_usuari!B547)</f>
        <v/>
      </c>
      <c r="C547" s="9" t="str">
        <f aca="false">IF(Equips_usuari!C547="","",Equips_usuari!C547)</f>
        <v/>
      </c>
      <c r="D547" s="9" t="str">
        <f aca="false">IF(Equips_usuari!D547="","",Equips_usuari!D547)</f>
        <v/>
      </c>
      <c r="E547" s="9" t="str">
        <f aca="false">IF(Equips_usuari!F547="","",Equips_usuari!F547)</f>
        <v/>
      </c>
      <c r="F547" s="9" t="str">
        <f aca="false">IF($C547="","",SUMIFS(Resultats_jugadores!$C:$C,Resultats_jugadores!$A:$A,$A547,Resultats_jugadores!$B:$B,$C547))</f>
        <v/>
      </c>
      <c r="G547" s="9" t="str">
        <f aca="false">IF($C547="","",SUMIFS(Resultats_jugadores!$D:$D,Resultats_jugadores!$A:$A,$A547,Resultats_jugadores!$B:$B,$C547))</f>
        <v/>
      </c>
      <c r="H547" s="9" t="str">
        <f aca="false">IF($C547="","",N($F547)-N($G547))</f>
        <v/>
      </c>
      <c r="I547" s="9" t="str">
        <f aca="false">IF($C547="","",IFERROR(INDEX(Partits!$C:$C,MATCH($A547&amp;"_"&amp;$D547,Partits!$D:$D,0)),""))</f>
        <v/>
      </c>
      <c r="J547" s="9" t="str">
        <f aca="false">IF($C547="","",IF(AND($I547="V",N($H547)&gt;0),1.2,1))</f>
        <v/>
      </c>
      <c r="K547" s="9" t="str">
        <f aca="false">IF($C547="","",N($H547)*$J547)</f>
        <v/>
      </c>
      <c r="L547" s="9" t="str">
        <f aca="false">IF($C547="","",IF($E547="SI",2,1))</f>
        <v/>
      </c>
      <c r="M547" s="9" t="str">
        <f aca="false">IF($C547="","",$K547*$L547)</f>
        <v/>
      </c>
    </row>
    <row r="548" customFormat="false" ht="15" hidden="false" customHeight="true" outlineLevel="0" collapsed="false">
      <c r="A548" s="9" t="str">
        <f aca="false">IF(Equips_usuari!A548="","",Equips_usuari!A548)</f>
        <v/>
      </c>
      <c r="B548" s="9" t="str">
        <f aca="false">IF(Equips_usuari!B548="","",Equips_usuari!B548)</f>
        <v/>
      </c>
      <c r="C548" s="9" t="str">
        <f aca="false">IF(Equips_usuari!C548="","",Equips_usuari!C548)</f>
        <v/>
      </c>
      <c r="D548" s="9" t="str">
        <f aca="false">IF(Equips_usuari!D548="","",Equips_usuari!D548)</f>
        <v/>
      </c>
      <c r="E548" s="9" t="str">
        <f aca="false">IF(Equips_usuari!F548="","",Equips_usuari!F548)</f>
        <v/>
      </c>
      <c r="F548" s="9" t="str">
        <f aca="false">IF($C548="","",SUMIFS(Resultats_jugadores!$C:$C,Resultats_jugadores!$A:$A,$A548,Resultats_jugadores!$B:$B,$C548))</f>
        <v/>
      </c>
      <c r="G548" s="9" t="str">
        <f aca="false">IF($C548="","",SUMIFS(Resultats_jugadores!$D:$D,Resultats_jugadores!$A:$A,$A548,Resultats_jugadores!$B:$B,$C548))</f>
        <v/>
      </c>
      <c r="H548" s="9" t="str">
        <f aca="false">IF($C548="","",N($F548)-N($G548))</f>
        <v/>
      </c>
      <c r="I548" s="9" t="str">
        <f aca="false">IF($C548="","",IFERROR(INDEX(Partits!$C:$C,MATCH($A548&amp;"_"&amp;$D548,Partits!$D:$D,0)),""))</f>
        <v/>
      </c>
      <c r="J548" s="9" t="str">
        <f aca="false">IF($C548="","",IF(AND($I548="V",N($H548)&gt;0),1.2,1))</f>
        <v/>
      </c>
      <c r="K548" s="9" t="str">
        <f aca="false">IF($C548="","",N($H548)*$J548)</f>
        <v/>
      </c>
      <c r="L548" s="9" t="str">
        <f aca="false">IF($C548="","",IF($E548="SI",2,1))</f>
        <v/>
      </c>
      <c r="M548" s="9" t="str">
        <f aca="false">IF($C548="","",$K548*$L548)</f>
        <v/>
      </c>
    </row>
    <row r="549" customFormat="false" ht="15" hidden="false" customHeight="true" outlineLevel="0" collapsed="false">
      <c r="A549" s="9" t="str">
        <f aca="false">IF(Equips_usuari!A549="","",Equips_usuari!A549)</f>
        <v/>
      </c>
      <c r="B549" s="9" t="str">
        <f aca="false">IF(Equips_usuari!B549="","",Equips_usuari!B549)</f>
        <v/>
      </c>
      <c r="C549" s="9" t="str">
        <f aca="false">IF(Equips_usuari!C549="","",Equips_usuari!C549)</f>
        <v/>
      </c>
      <c r="D549" s="9" t="str">
        <f aca="false">IF(Equips_usuari!D549="","",Equips_usuari!D549)</f>
        <v/>
      </c>
      <c r="E549" s="9" t="str">
        <f aca="false">IF(Equips_usuari!F549="","",Equips_usuari!F549)</f>
        <v/>
      </c>
      <c r="F549" s="9" t="str">
        <f aca="false">IF($C549="","",SUMIFS(Resultats_jugadores!$C:$C,Resultats_jugadores!$A:$A,$A549,Resultats_jugadores!$B:$B,$C549))</f>
        <v/>
      </c>
      <c r="G549" s="9" t="str">
        <f aca="false">IF($C549="","",SUMIFS(Resultats_jugadores!$D:$D,Resultats_jugadores!$A:$A,$A549,Resultats_jugadores!$B:$B,$C549))</f>
        <v/>
      </c>
      <c r="H549" s="9" t="str">
        <f aca="false">IF($C549="","",N($F549)-N($G549))</f>
        <v/>
      </c>
      <c r="I549" s="9" t="str">
        <f aca="false">IF($C549="","",IFERROR(INDEX(Partits!$C:$C,MATCH($A549&amp;"_"&amp;$D549,Partits!$D:$D,0)),""))</f>
        <v/>
      </c>
      <c r="J549" s="9" t="str">
        <f aca="false">IF($C549="","",IF(AND($I549="V",N($H549)&gt;0),1.2,1))</f>
        <v/>
      </c>
      <c r="K549" s="9" t="str">
        <f aca="false">IF($C549="","",N($H549)*$J549)</f>
        <v/>
      </c>
      <c r="L549" s="9" t="str">
        <f aca="false">IF($C549="","",IF($E549="SI",2,1))</f>
        <v/>
      </c>
      <c r="M549" s="9" t="str">
        <f aca="false">IF($C549="","",$K549*$L549)</f>
        <v/>
      </c>
    </row>
    <row r="550" customFormat="false" ht="15" hidden="false" customHeight="true" outlineLevel="0" collapsed="false">
      <c r="A550" s="9" t="str">
        <f aca="false">IF(Equips_usuari!A550="","",Equips_usuari!A550)</f>
        <v/>
      </c>
      <c r="B550" s="9" t="str">
        <f aca="false">IF(Equips_usuari!B550="","",Equips_usuari!B550)</f>
        <v/>
      </c>
      <c r="C550" s="9" t="str">
        <f aca="false">IF(Equips_usuari!C550="","",Equips_usuari!C550)</f>
        <v/>
      </c>
      <c r="D550" s="9" t="str">
        <f aca="false">IF(Equips_usuari!D550="","",Equips_usuari!D550)</f>
        <v/>
      </c>
      <c r="E550" s="9" t="str">
        <f aca="false">IF(Equips_usuari!F550="","",Equips_usuari!F550)</f>
        <v/>
      </c>
      <c r="F550" s="9" t="str">
        <f aca="false">IF($C550="","",SUMIFS(Resultats_jugadores!$C:$C,Resultats_jugadores!$A:$A,$A550,Resultats_jugadores!$B:$B,$C550))</f>
        <v/>
      </c>
      <c r="G550" s="9" t="str">
        <f aca="false">IF($C550="","",SUMIFS(Resultats_jugadores!$D:$D,Resultats_jugadores!$A:$A,$A550,Resultats_jugadores!$B:$B,$C550))</f>
        <v/>
      </c>
      <c r="H550" s="9" t="str">
        <f aca="false">IF($C550="","",N($F550)-N($G550))</f>
        <v/>
      </c>
      <c r="I550" s="9" t="str">
        <f aca="false">IF($C550="","",IFERROR(INDEX(Partits!$C:$C,MATCH($A550&amp;"_"&amp;$D550,Partits!$D:$D,0)),""))</f>
        <v/>
      </c>
      <c r="J550" s="9" t="str">
        <f aca="false">IF($C550="","",IF(AND($I550="V",N($H550)&gt;0),1.2,1))</f>
        <v/>
      </c>
      <c r="K550" s="9" t="str">
        <f aca="false">IF($C550="","",N($H550)*$J550)</f>
        <v/>
      </c>
      <c r="L550" s="9" t="str">
        <f aca="false">IF($C550="","",IF($E550="SI",2,1))</f>
        <v/>
      </c>
      <c r="M550" s="9" t="str">
        <f aca="false">IF($C550="","",$K550*$L550)</f>
        <v/>
      </c>
    </row>
    <row r="551" customFormat="false" ht="15" hidden="false" customHeight="true" outlineLevel="0" collapsed="false">
      <c r="A551" s="9" t="str">
        <f aca="false">IF(Equips_usuari!A551="","",Equips_usuari!A551)</f>
        <v/>
      </c>
      <c r="B551" s="9" t="str">
        <f aca="false">IF(Equips_usuari!B551="","",Equips_usuari!B551)</f>
        <v/>
      </c>
      <c r="C551" s="9" t="str">
        <f aca="false">IF(Equips_usuari!C551="","",Equips_usuari!C551)</f>
        <v/>
      </c>
      <c r="D551" s="9" t="str">
        <f aca="false">IF(Equips_usuari!D551="","",Equips_usuari!D551)</f>
        <v/>
      </c>
      <c r="E551" s="9" t="str">
        <f aca="false">IF(Equips_usuari!F551="","",Equips_usuari!F551)</f>
        <v/>
      </c>
      <c r="F551" s="9" t="str">
        <f aca="false">IF($C551="","",SUMIFS(Resultats_jugadores!$C:$C,Resultats_jugadores!$A:$A,$A551,Resultats_jugadores!$B:$B,$C551))</f>
        <v/>
      </c>
      <c r="G551" s="9" t="str">
        <f aca="false">IF($C551="","",SUMIFS(Resultats_jugadores!$D:$D,Resultats_jugadores!$A:$A,$A551,Resultats_jugadores!$B:$B,$C551))</f>
        <v/>
      </c>
      <c r="H551" s="9" t="str">
        <f aca="false">IF($C551="","",N($F551)-N($G551))</f>
        <v/>
      </c>
      <c r="I551" s="9" t="str">
        <f aca="false">IF($C551="","",IFERROR(INDEX(Partits!$C:$C,MATCH($A551&amp;"_"&amp;$D551,Partits!$D:$D,0)),""))</f>
        <v/>
      </c>
      <c r="J551" s="9" t="str">
        <f aca="false">IF($C551="","",IF(AND($I551="V",N($H551)&gt;0),1.2,1))</f>
        <v/>
      </c>
      <c r="K551" s="9" t="str">
        <f aca="false">IF($C551="","",N($H551)*$J551)</f>
        <v/>
      </c>
      <c r="L551" s="9" t="str">
        <f aca="false">IF($C551="","",IF($E551="SI",2,1))</f>
        <v/>
      </c>
      <c r="M551" s="9" t="str">
        <f aca="false">IF($C551="","",$K551*$L551)</f>
        <v/>
      </c>
    </row>
    <row r="552" customFormat="false" ht="15" hidden="false" customHeight="true" outlineLevel="0" collapsed="false">
      <c r="A552" s="9" t="str">
        <f aca="false">IF(Equips_usuari!A552="","",Equips_usuari!A552)</f>
        <v/>
      </c>
      <c r="B552" s="9" t="str">
        <f aca="false">IF(Equips_usuari!B552="","",Equips_usuari!B552)</f>
        <v/>
      </c>
      <c r="C552" s="9" t="str">
        <f aca="false">IF(Equips_usuari!C552="","",Equips_usuari!C552)</f>
        <v/>
      </c>
      <c r="D552" s="9" t="str">
        <f aca="false">IF(Equips_usuari!D552="","",Equips_usuari!D552)</f>
        <v/>
      </c>
      <c r="E552" s="9" t="str">
        <f aca="false">IF(Equips_usuari!F552="","",Equips_usuari!F552)</f>
        <v/>
      </c>
      <c r="F552" s="9" t="str">
        <f aca="false">IF($C552="","",SUMIFS(Resultats_jugadores!$C:$C,Resultats_jugadores!$A:$A,$A552,Resultats_jugadores!$B:$B,$C552))</f>
        <v/>
      </c>
      <c r="G552" s="9" t="str">
        <f aca="false">IF($C552="","",SUMIFS(Resultats_jugadores!$D:$D,Resultats_jugadores!$A:$A,$A552,Resultats_jugadores!$B:$B,$C552))</f>
        <v/>
      </c>
      <c r="H552" s="9" t="str">
        <f aca="false">IF($C552="","",N($F552)-N($G552))</f>
        <v/>
      </c>
      <c r="I552" s="9" t="str">
        <f aca="false">IF($C552="","",IFERROR(INDEX(Partits!$C:$C,MATCH($A552&amp;"_"&amp;$D552,Partits!$D:$D,0)),""))</f>
        <v/>
      </c>
      <c r="J552" s="9" t="str">
        <f aca="false">IF($C552="","",IF(AND($I552="V",N($H552)&gt;0),1.2,1))</f>
        <v/>
      </c>
      <c r="K552" s="9" t="str">
        <f aca="false">IF($C552="","",N($H552)*$J552)</f>
        <v/>
      </c>
      <c r="L552" s="9" t="str">
        <f aca="false">IF($C552="","",IF($E552="SI",2,1))</f>
        <v/>
      </c>
      <c r="M552" s="9" t="str">
        <f aca="false">IF($C552="","",$K552*$L552)</f>
        <v/>
      </c>
    </row>
    <row r="553" customFormat="false" ht="15" hidden="false" customHeight="true" outlineLevel="0" collapsed="false">
      <c r="A553" s="9" t="str">
        <f aca="false">IF(Equips_usuari!A553="","",Equips_usuari!A553)</f>
        <v/>
      </c>
      <c r="B553" s="9" t="str">
        <f aca="false">IF(Equips_usuari!B553="","",Equips_usuari!B553)</f>
        <v/>
      </c>
      <c r="C553" s="9" t="str">
        <f aca="false">IF(Equips_usuari!C553="","",Equips_usuari!C553)</f>
        <v/>
      </c>
      <c r="D553" s="9" t="str">
        <f aca="false">IF(Equips_usuari!D553="","",Equips_usuari!D553)</f>
        <v/>
      </c>
      <c r="E553" s="9" t="str">
        <f aca="false">IF(Equips_usuari!F553="","",Equips_usuari!F553)</f>
        <v/>
      </c>
      <c r="F553" s="9" t="str">
        <f aca="false">IF($C553="","",SUMIFS(Resultats_jugadores!$C:$C,Resultats_jugadores!$A:$A,$A553,Resultats_jugadores!$B:$B,$C553))</f>
        <v/>
      </c>
      <c r="G553" s="9" t="str">
        <f aca="false">IF($C553="","",SUMIFS(Resultats_jugadores!$D:$D,Resultats_jugadores!$A:$A,$A553,Resultats_jugadores!$B:$B,$C553))</f>
        <v/>
      </c>
      <c r="H553" s="9" t="str">
        <f aca="false">IF($C553="","",N($F553)-N($G553))</f>
        <v/>
      </c>
      <c r="I553" s="9" t="str">
        <f aca="false">IF($C553="","",IFERROR(INDEX(Partits!$C:$C,MATCH($A553&amp;"_"&amp;$D553,Partits!$D:$D,0)),""))</f>
        <v/>
      </c>
      <c r="J553" s="9" t="str">
        <f aca="false">IF($C553="","",IF(AND($I553="V",N($H553)&gt;0),1.2,1))</f>
        <v/>
      </c>
      <c r="K553" s="9" t="str">
        <f aca="false">IF($C553="","",N($H553)*$J553)</f>
        <v/>
      </c>
      <c r="L553" s="9" t="str">
        <f aca="false">IF($C553="","",IF($E553="SI",2,1))</f>
        <v/>
      </c>
      <c r="M553" s="9" t="str">
        <f aca="false">IF($C553="","",$K553*$L553)</f>
        <v/>
      </c>
    </row>
    <row r="554" customFormat="false" ht="15" hidden="false" customHeight="true" outlineLevel="0" collapsed="false">
      <c r="A554" s="9" t="str">
        <f aca="false">IF(Equips_usuari!A554="","",Equips_usuari!A554)</f>
        <v/>
      </c>
      <c r="B554" s="9" t="str">
        <f aca="false">IF(Equips_usuari!B554="","",Equips_usuari!B554)</f>
        <v/>
      </c>
      <c r="C554" s="9" t="str">
        <f aca="false">IF(Equips_usuari!C554="","",Equips_usuari!C554)</f>
        <v/>
      </c>
      <c r="D554" s="9" t="str">
        <f aca="false">IF(Equips_usuari!D554="","",Equips_usuari!D554)</f>
        <v/>
      </c>
      <c r="E554" s="9" t="str">
        <f aca="false">IF(Equips_usuari!F554="","",Equips_usuari!F554)</f>
        <v/>
      </c>
      <c r="F554" s="9" t="str">
        <f aca="false">IF($C554="","",SUMIFS(Resultats_jugadores!$C:$C,Resultats_jugadores!$A:$A,$A554,Resultats_jugadores!$B:$B,$C554))</f>
        <v/>
      </c>
      <c r="G554" s="9" t="str">
        <f aca="false">IF($C554="","",SUMIFS(Resultats_jugadores!$D:$D,Resultats_jugadores!$A:$A,$A554,Resultats_jugadores!$B:$B,$C554))</f>
        <v/>
      </c>
      <c r="H554" s="9" t="str">
        <f aca="false">IF($C554="","",N($F554)-N($G554))</f>
        <v/>
      </c>
      <c r="I554" s="9" t="str">
        <f aca="false">IF($C554="","",IFERROR(INDEX(Partits!$C:$C,MATCH($A554&amp;"_"&amp;$D554,Partits!$D:$D,0)),""))</f>
        <v/>
      </c>
      <c r="J554" s="9" t="str">
        <f aca="false">IF($C554="","",IF(AND($I554="V",N($H554)&gt;0),1.2,1))</f>
        <v/>
      </c>
      <c r="K554" s="9" t="str">
        <f aca="false">IF($C554="","",N($H554)*$J554)</f>
        <v/>
      </c>
      <c r="L554" s="9" t="str">
        <f aca="false">IF($C554="","",IF($E554="SI",2,1))</f>
        <v/>
      </c>
      <c r="M554" s="9" t="str">
        <f aca="false">IF($C554="","",$K554*$L554)</f>
        <v/>
      </c>
    </row>
    <row r="555" customFormat="false" ht="15" hidden="false" customHeight="true" outlineLevel="0" collapsed="false">
      <c r="A555" s="9" t="str">
        <f aca="false">IF(Equips_usuari!A555="","",Equips_usuari!A555)</f>
        <v/>
      </c>
      <c r="B555" s="9" t="str">
        <f aca="false">IF(Equips_usuari!B555="","",Equips_usuari!B555)</f>
        <v/>
      </c>
      <c r="C555" s="9" t="str">
        <f aca="false">IF(Equips_usuari!C555="","",Equips_usuari!C555)</f>
        <v/>
      </c>
      <c r="D555" s="9" t="str">
        <f aca="false">IF(Equips_usuari!D555="","",Equips_usuari!D555)</f>
        <v/>
      </c>
      <c r="E555" s="9" t="str">
        <f aca="false">IF(Equips_usuari!F555="","",Equips_usuari!F555)</f>
        <v/>
      </c>
      <c r="F555" s="9" t="str">
        <f aca="false">IF($C555="","",SUMIFS(Resultats_jugadores!$C:$C,Resultats_jugadores!$A:$A,$A555,Resultats_jugadores!$B:$B,$C555))</f>
        <v/>
      </c>
      <c r="G555" s="9" t="str">
        <f aca="false">IF($C555="","",SUMIFS(Resultats_jugadores!$D:$D,Resultats_jugadores!$A:$A,$A555,Resultats_jugadores!$B:$B,$C555))</f>
        <v/>
      </c>
      <c r="H555" s="9" t="str">
        <f aca="false">IF($C555="","",N($F555)-N($G555))</f>
        <v/>
      </c>
      <c r="I555" s="9" t="str">
        <f aca="false">IF($C555="","",IFERROR(INDEX(Partits!$C:$C,MATCH($A555&amp;"_"&amp;$D555,Partits!$D:$D,0)),""))</f>
        <v/>
      </c>
      <c r="J555" s="9" t="str">
        <f aca="false">IF($C555="","",IF(AND($I555="V",N($H555)&gt;0),1.2,1))</f>
        <v/>
      </c>
      <c r="K555" s="9" t="str">
        <f aca="false">IF($C555="","",N($H555)*$J555)</f>
        <v/>
      </c>
      <c r="L555" s="9" t="str">
        <f aca="false">IF($C555="","",IF($E555="SI",2,1))</f>
        <v/>
      </c>
      <c r="M555" s="9" t="str">
        <f aca="false">IF($C555="","",$K555*$L555)</f>
        <v/>
      </c>
    </row>
    <row r="556" customFormat="false" ht="15" hidden="false" customHeight="true" outlineLevel="0" collapsed="false">
      <c r="A556" s="9" t="str">
        <f aca="false">IF(Equips_usuari!A556="","",Equips_usuari!A556)</f>
        <v/>
      </c>
      <c r="B556" s="9" t="str">
        <f aca="false">IF(Equips_usuari!B556="","",Equips_usuari!B556)</f>
        <v/>
      </c>
      <c r="C556" s="9" t="str">
        <f aca="false">IF(Equips_usuari!C556="","",Equips_usuari!C556)</f>
        <v/>
      </c>
      <c r="D556" s="9" t="str">
        <f aca="false">IF(Equips_usuari!D556="","",Equips_usuari!D556)</f>
        <v/>
      </c>
      <c r="E556" s="9" t="str">
        <f aca="false">IF(Equips_usuari!F556="","",Equips_usuari!F556)</f>
        <v/>
      </c>
      <c r="F556" s="9" t="str">
        <f aca="false">IF($C556="","",SUMIFS(Resultats_jugadores!$C:$C,Resultats_jugadores!$A:$A,$A556,Resultats_jugadores!$B:$B,$C556))</f>
        <v/>
      </c>
      <c r="G556" s="9" t="str">
        <f aca="false">IF($C556="","",SUMIFS(Resultats_jugadores!$D:$D,Resultats_jugadores!$A:$A,$A556,Resultats_jugadores!$B:$B,$C556))</f>
        <v/>
      </c>
      <c r="H556" s="9" t="str">
        <f aca="false">IF($C556="","",N($F556)-N($G556))</f>
        <v/>
      </c>
      <c r="I556" s="9" t="str">
        <f aca="false">IF($C556="","",IFERROR(INDEX(Partits!$C:$C,MATCH($A556&amp;"_"&amp;$D556,Partits!$D:$D,0)),""))</f>
        <v/>
      </c>
      <c r="J556" s="9" t="str">
        <f aca="false">IF($C556="","",IF(AND($I556="V",N($H556)&gt;0),1.2,1))</f>
        <v/>
      </c>
      <c r="K556" s="9" t="str">
        <f aca="false">IF($C556="","",N($H556)*$J556)</f>
        <v/>
      </c>
      <c r="L556" s="9" t="str">
        <f aca="false">IF($C556="","",IF($E556="SI",2,1))</f>
        <v/>
      </c>
      <c r="M556" s="9" t="str">
        <f aca="false">IF($C556="","",$K556*$L556)</f>
        <v/>
      </c>
    </row>
    <row r="557" customFormat="false" ht="15" hidden="false" customHeight="true" outlineLevel="0" collapsed="false">
      <c r="A557" s="9" t="str">
        <f aca="false">IF(Equips_usuari!A557="","",Equips_usuari!A557)</f>
        <v/>
      </c>
      <c r="B557" s="9" t="str">
        <f aca="false">IF(Equips_usuari!B557="","",Equips_usuari!B557)</f>
        <v/>
      </c>
      <c r="C557" s="9" t="str">
        <f aca="false">IF(Equips_usuari!C557="","",Equips_usuari!C557)</f>
        <v/>
      </c>
      <c r="D557" s="9" t="str">
        <f aca="false">IF(Equips_usuari!D557="","",Equips_usuari!D557)</f>
        <v/>
      </c>
      <c r="E557" s="9" t="str">
        <f aca="false">IF(Equips_usuari!F557="","",Equips_usuari!F557)</f>
        <v/>
      </c>
      <c r="F557" s="9" t="str">
        <f aca="false">IF($C557="","",SUMIFS(Resultats_jugadores!$C:$C,Resultats_jugadores!$A:$A,$A557,Resultats_jugadores!$B:$B,$C557))</f>
        <v/>
      </c>
      <c r="G557" s="9" t="str">
        <f aca="false">IF($C557="","",SUMIFS(Resultats_jugadores!$D:$D,Resultats_jugadores!$A:$A,$A557,Resultats_jugadores!$B:$B,$C557))</f>
        <v/>
      </c>
      <c r="H557" s="9" t="str">
        <f aca="false">IF($C557="","",N($F557)-N($G557))</f>
        <v/>
      </c>
      <c r="I557" s="9" t="str">
        <f aca="false">IF($C557="","",IFERROR(INDEX(Partits!$C:$C,MATCH($A557&amp;"_"&amp;$D557,Partits!$D:$D,0)),""))</f>
        <v/>
      </c>
      <c r="J557" s="9" t="str">
        <f aca="false">IF($C557="","",IF(AND($I557="V",N($H557)&gt;0),1.2,1))</f>
        <v/>
      </c>
      <c r="K557" s="9" t="str">
        <f aca="false">IF($C557="","",N($H557)*$J557)</f>
        <v/>
      </c>
      <c r="L557" s="9" t="str">
        <f aca="false">IF($C557="","",IF($E557="SI",2,1))</f>
        <v/>
      </c>
      <c r="M557" s="9" t="str">
        <f aca="false">IF($C557="","",$K557*$L557)</f>
        <v/>
      </c>
    </row>
    <row r="558" customFormat="false" ht="15" hidden="false" customHeight="true" outlineLevel="0" collapsed="false">
      <c r="A558" s="9" t="str">
        <f aca="false">IF(Equips_usuari!A558="","",Equips_usuari!A558)</f>
        <v/>
      </c>
      <c r="B558" s="9" t="str">
        <f aca="false">IF(Equips_usuari!B558="","",Equips_usuari!B558)</f>
        <v/>
      </c>
      <c r="C558" s="9" t="str">
        <f aca="false">IF(Equips_usuari!C558="","",Equips_usuari!C558)</f>
        <v/>
      </c>
      <c r="D558" s="9" t="str">
        <f aca="false">IF(Equips_usuari!D558="","",Equips_usuari!D558)</f>
        <v/>
      </c>
      <c r="E558" s="9" t="str">
        <f aca="false">IF(Equips_usuari!F558="","",Equips_usuari!F558)</f>
        <v/>
      </c>
      <c r="F558" s="9" t="str">
        <f aca="false">IF($C558="","",SUMIFS(Resultats_jugadores!$C:$C,Resultats_jugadores!$A:$A,$A558,Resultats_jugadores!$B:$B,$C558))</f>
        <v/>
      </c>
      <c r="G558" s="9" t="str">
        <f aca="false">IF($C558="","",SUMIFS(Resultats_jugadores!$D:$D,Resultats_jugadores!$A:$A,$A558,Resultats_jugadores!$B:$B,$C558))</f>
        <v/>
      </c>
      <c r="H558" s="9" t="str">
        <f aca="false">IF($C558="","",N($F558)-N($G558))</f>
        <v/>
      </c>
      <c r="I558" s="9" t="str">
        <f aca="false">IF($C558="","",IFERROR(INDEX(Partits!$C:$C,MATCH($A558&amp;"_"&amp;$D558,Partits!$D:$D,0)),""))</f>
        <v/>
      </c>
      <c r="J558" s="9" t="str">
        <f aca="false">IF($C558="","",IF(AND($I558="V",N($H558)&gt;0),1.2,1))</f>
        <v/>
      </c>
      <c r="K558" s="9" t="str">
        <f aca="false">IF($C558="","",N($H558)*$J558)</f>
        <v/>
      </c>
      <c r="L558" s="9" t="str">
        <f aca="false">IF($C558="","",IF($E558="SI",2,1))</f>
        <v/>
      </c>
      <c r="M558" s="9" t="str">
        <f aca="false">IF($C558="","",$K558*$L558)</f>
        <v/>
      </c>
    </row>
    <row r="559" customFormat="false" ht="15" hidden="false" customHeight="true" outlineLevel="0" collapsed="false">
      <c r="A559" s="9" t="str">
        <f aca="false">IF(Equips_usuari!A559="","",Equips_usuari!A559)</f>
        <v/>
      </c>
      <c r="B559" s="9" t="str">
        <f aca="false">IF(Equips_usuari!B559="","",Equips_usuari!B559)</f>
        <v/>
      </c>
      <c r="C559" s="9" t="str">
        <f aca="false">IF(Equips_usuari!C559="","",Equips_usuari!C559)</f>
        <v/>
      </c>
      <c r="D559" s="9" t="str">
        <f aca="false">IF(Equips_usuari!D559="","",Equips_usuari!D559)</f>
        <v/>
      </c>
      <c r="E559" s="9" t="str">
        <f aca="false">IF(Equips_usuari!F559="","",Equips_usuari!F559)</f>
        <v/>
      </c>
      <c r="F559" s="9" t="str">
        <f aca="false">IF($C559="","",SUMIFS(Resultats_jugadores!$C:$C,Resultats_jugadores!$A:$A,$A559,Resultats_jugadores!$B:$B,$C559))</f>
        <v/>
      </c>
      <c r="G559" s="9" t="str">
        <f aca="false">IF($C559="","",SUMIFS(Resultats_jugadores!$D:$D,Resultats_jugadores!$A:$A,$A559,Resultats_jugadores!$B:$B,$C559))</f>
        <v/>
      </c>
      <c r="H559" s="9" t="str">
        <f aca="false">IF($C559="","",N($F559)-N($G559))</f>
        <v/>
      </c>
      <c r="I559" s="9" t="str">
        <f aca="false">IF($C559="","",IFERROR(INDEX(Partits!$C:$C,MATCH($A559&amp;"_"&amp;$D559,Partits!$D:$D,0)),""))</f>
        <v/>
      </c>
      <c r="J559" s="9" t="str">
        <f aca="false">IF($C559="","",IF(AND($I559="V",N($H559)&gt;0),1.2,1))</f>
        <v/>
      </c>
      <c r="K559" s="9" t="str">
        <f aca="false">IF($C559="","",N($H559)*$J559)</f>
        <v/>
      </c>
      <c r="L559" s="9" t="str">
        <f aca="false">IF($C559="","",IF($E559="SI",2,1))</f>
        <v/>
      </c>
      <c r="M559" s="9" t="str">
        <f aca="false">IF($C559="","",$K559*$L559)</f>
        <v/>
      </c>
    </row>
    <row r="560" customFormat="false" ht="15" hidden="false" customHeight="true" outlineLevel="0" collapsed="false">
      <c r="A560" s="9" t="str">
        <f aca="false">IF(Equips_usuari!A560="","",Equips_usuari!A560)</f>
        <v/>
      </c>
      <c r="B560" s="9" t="str">
        <f aca="false">IF(Equips_usuari!B560="","",Equips_usuari!B560)</f>
        <v/>
      </c>
      <c r="C560" s="9" t="str">
        <f aca="false">IF(Equips_usuari!C560="","",Equips_usuari!C560)</f>
        <v/>
      </c>
      <c r="D560" s="9" t="str">
        <f aca="false">IF(Equips_usuari!D560="","",Equips_usuari!D560)</f>
        <v/>
      </c>
      <c r="E560" s="9" t="str">
        <f aca="false">IF(Equips_usuari!F560="","",Equips_usuari!F560)</f>
        <v/>
      </c>
      <c r="F560" s="9" t="str">
        <f aca="false">IF($C560="","",SUMIFS(Resultats_jugadores!$C:$C,Resultats_jugadores!$A:$A,$A560,Resultats_jugadores!$B:$B,$C560))</f>
        <v/>
      </c>
      <c r="G560" s="9" t="str">
        <f aca="false">IF($C560="","",SUMIFS(Resultats_jugadores!$D:$D,Resultats_jugadores!$A:$A,$A560,Resultats_jugadores!$B:$B,$C560))</f>
        <v/>
      </c>
      <c r="H560" s="9" t="str">
        <f aca="false">IF($C560="","",N($F560)-N($G560))</f>
        <v/>
      </c>
      <c r="I560" s="9" t="str">
        <f aca="false">IF($C560="","",IFERROR(INDEX(Partits!$C:$C,MATCH($A560&amp;"_"&amp;$D560,Partits!$D:$D,0)),""))</f>
        <v/>
      </c>
      <c r="J560" s="9" t="str">
        <f aca="false">IF($C560="","",IF(AND($I560="V",N($H560)&gt;0),1.2,1))</f>
        <v/>
      </c>
      <c r="K560" s="9" t="str">
        <f aca="false">IF($C560="","",N($H560)*$J560)</f>
        <v/>
      </c>
      <c r="L560" s="9" t="str">
        <f aca="false">IF($C560="","",IF($E560="SI",2,1))</f>
        <v/>
      </c>
      <c r="M560" s="9" t="str">
        <f aca="false">IF($C560="","",$K560*$L560)</f>
        <v/>
      </c>
    </row>
    <row r="561" customFormat="false" ht="15" hidden="false" customHeight="true" outlineLevel="0" collapsed="false">
      <c r="A561" s="9" t="str">
        <f aca="false">IF(Equips_usuari!A561="","",Equips_usuari!A561)</f>
        <v/>
      </c>
      <c r="B561" s="9" t="str">
        <f aca="false">IF(Equips_usuari!B561="","",Equips_usuari!B561)</f>
        <v/>
      </c>
      <c r="C561" s="9" t="str">
        <f aca="false">IF(Equips_usuari!C561="","",Equips_usuari!C561)</f>
        <v/>
      </c>
      <c r="D561" s="9" t="str">
        <f aca="false">IF(Equips_usuari!D561="","",Equips_usuari!D561)</f>
        <v/>
      </c>
      <c r="E561" s="9" t="str">
        <f aca="false">IF(Equips_usuari!F561="","",Equips_usuari!F561)</f>
        <v/>
      </c>
      <c r="F561" s="9" t="str">
        <f aca="false">IF($C561="","",SUMIFS(Resultats_jugadores!$C:$C,Resultats_jugadores!$A:$A,$A561,Resultats_jugadores!$B:$B,$C561))</f>
        <v/>
      </c>
      <c r="G561" s="9" t="str">
        <f aca="false">IF($C561="","",SUMIFS(Resultats_jugadores!$D:$D,Resultats_jugadores!$A:$A,$A561,Resultats_jugadores!$B:$B,$C561))</f>
        <v/>
      </c>
      <c r="H561" s="9" t="str">
        <f aca="false">IF($C561="","",N($F561)-N($G561))</f>
        <v/>
      </c>
      <c r="I561" s="9" t="str">
        <f aca="false">IF($C561="","",IFERROR(INDEX(Partits!$C:$C,MATCH($A561&amp;"_"&amp;$D561,Partits!$D:$D,0)),""))</f>
        <v/>
      </c>
      <c r="J561" s="9" t="str">
        <f aca="false">IF($C561="","",IF(AND($I561="V",N($H561)&gt;0),1.2,1))</f>
        <v/>
      </c>
      <c r="K561" s="9" t="str">
        <f aca="false">IF($C561="","",N($H561)*$J561)</f>
        <v/>
      </c>
      <c r="L561" s="9" t="str">
        <f aca="false">IF($C561="","",IF($E561="SI",2,1))</f>
        <v/>
      </c>
      <c r="M561" s="9" t="str">
        <f aca="false">IF($C561="","",$K561*$L561)</f>
        <v/>
      </c>
    </row>
    <row r="562" customFormat="false" ht="15" hidden="false" customHeight="true" outlineLevel="0" collapsed="false">
      <c r="A562" s="9" t="str">
        <f aca="false">IF(Equips_usuari!A562="","",Equips_usuari!A562)</f>
        <v/>
      </c>
      <c r="B562" s="9" t="str">
        <f aca="false">IF(Equips_usuari!B562="","",Equips_usuari!B562)</f>
        <v/>
      </c>
      <c r="C562" s="9" t="str">
        <f aca="false">IF(Equips_usuari!C562="","",Equips_usuari!C562)</f>
        <v/>
      </c>
      <c r="D562" s="9" t="str">
        <f aca="false">IF(Equips_usuari!D562="","",Equips_usuari!D562)</f>
        <v/>
      </c>
      <c r="E562" s="9" t="str">
        <f aca="false">IF(Equips_usuari!F562="","",Equips_usuari!F562)</f>
        <v/>
      </c>
      <c r="F562" s="9" t="str">
        <f aca="false">IF($C562="","",SUMIFS(Resultats_jugadores!$C:$C,Resultats_jugadores!$A:$A,$A562,Resultats_jugadores!$B:$B,$C562))</f>
        <v/>
      </c>
      <c r="G562" s="9" t="str">
        <f aca="false">IF($C562="","",SUMIFS(Resultats_jugadores!$D:$D,Resultats_jugadores!$A:$A,$A562,Resultats_jugadores!$B:$B,$C562))</f>
        <v/>
      </c>
      <c r="H562" s="9" t="str">
        <f aca="false">IF($C562="","",N($F562)-N($G562))</f>
        <v/>
      </c>
      <c r="I562" s="9" t="str">
        <f aca="false">IF($C562="","",IFERROR(INDEX(Partits!$C:$C,MATCH($A562&amp;"_"&amp;$D562,Partits!$D:$D,0)),""))</f>
        <v/>
      </c>
      <c r="J562" s="9" t="str">
        <f aca="false">IF($C562="","",IF(AND($I562="V",N($H562)&gt;0),1.2,1))</f>
        <v/>
      </c>
      <c r="K562" s="9" t="str">
        <f aca="false">IF($C562="","",N($H562)*$J562)</f>
        <v/>
      </c>
      <c r="L562" s="9" t="str">
        <f aca="false">IF($C562="","",IF($E562="SI",2,1))</f>
        <v/>
      </c>
      <c r="M562" s="9" t="str">
        <f aca="false">IF($C562="","",$K562*$L562)</f>
        <v/>
      </c>
    </row>
    <row r="563" customFormat="false" ht="15" hidden="false" customHeight="true" outlineLevel="0" collapsed="false">
      <c r="A563" s="9" t="str">
        <f aca="false">IF(Equips_usuari!A563="","",Equips_usuari!A563)</f>
        <v/>
      </c>
      <c r="B563" s="9" t="str">
        <f aca="false">IF(Equips_usuari!B563="","",Equips_usuari!B563)</f>
        <v/>
      </c>
      <c r="C563" s="9" t="str">
        <f aca="false">IF(Equips_usuari!C563="","",Equips_usuari!C563)</f>
        <v/>
      </c>
      <c r="D563" s="9" t="str">
        <f aca="false">IF(Equips_usuari!D563="","",Equips_usuari!D563)</f>
        <v/>
      </c>
      <c r="E563" s="9" t="str">
        <f aca="false">IF(Equips_usuari!F563="","",Equips_usuari!F563)</f>
        <v/>
      </c>
      <c r="F563" s="9" t="str">
        <f aca="false">IF($C563="","",SUMIFS(Resultats_jugadores!$C:$C,Resultats_jugadores!$A:$A,$A563,Resultats_jugadores!$B:$B,$C563))</f>
        <v/>
      </c>
      <c r="G563" s="9" t="str">
        <f aca="false">IF($C563="","",SUMIFS(Resultats_jugadores!$D:$D,Resultats_jugadores!$A:$A,$A563,Resultats_jugadores!$B:$B,$C563))</f>
        <v/>
      </c>
      <c r="H563" s="9" t="str">
        <f aca="false">IF($C563="","",N($F563)-N($G563))</f>
        <v/>
      </c>
      <c r="I563" s="9" t="str">
        <f aca="false">IF($C563="","",IFERROR(INDEX(Partits!$C:$C,MATCH($A563&amp;"_"&amp;$D563,Partits!$D:$D,0)),""))</f>
        <v/>
      </c>
      <c r="J563" s="9" t="str">
        <f aca="false">IF($C563="","",IF(AND($I563="V",N($H563)&gt;0),1.2,1))</f>
        <v/>
      </c>
      <c r="K563" s="9" t="str">
        <f aca="false">IF($C563="","",N($H563)*$J563)</f>
        <v/>
      </c>
      <c r="L563" s="9" t="str">
        <f aca="false">IF($C563="","",IF($E563="SI",2,1))</f>
        <v/>
      </c>
      <c r="M563" s="9" t="str">
        <f aca="false">IF($C563="","",$K563*$L563)</f>
        <v/>
      </c>
    </row>
    <row r="564" customFormat="false" ht="15" hidden="false" customHeight="true" outlineLevel="0" collapsed="false">
      <c r="A564" s="9" t="str">
        <f aca="false">IF(Equips_usuari!A564="","",Equips_usuari!A564)</f>
        <v/>
      </c>
      <c r="B564" s="9" t="str">
        <f aca="false">IF(Equips_usuari!B564="","",Equips_usuari!B564)</f>
        <v/>
      </c>
      <c r="C564" s="9" t="str">
        <f aca="false">IF(Equips_usuari!C564="","",Equips_usuari!C564)</f>
        <v/>
      </c>
      <c r="D564" s="9" t="str">
        <f aca="false">IF(Equips_usuari!D564="","",Equips_usuari!D564)</f>
        <v/>
      </c>
      <c r="E564" s="9" t="str">
        <f aca="false">IF(Equips_usuari!F564="","",Equips_usuari!F564)</f>
        <v/>
      </c>
      <c r="F564" s="9" t="str">
        <f aca="false">IF($C564="","",SUMIFS(Resultats_jugadores!$C:$C,Resultats_jugadores!$A:$A,$A564,Resultats_jugadores!$B:$B,$C564))</f>
        <v/>
      </c>
      <c r="G564" s="9" t="str">
        <f aca="false">IF($C564="","",SUMIFS(Resultats_jugadores!$D:$D,Resultats_jugadores!$A:$A,$A564,Resultats_jugadores!$B:$B,$C564))</f>
        <v/>
      </c>
      <c r="H564" s="9" t="str">
        <f aca="false">IF($C564="","",N($F564)-N($G564))</f>
        <v/>
      </c>
      <c r="I564" s="9" t="str">
        <f aca="false">IF($C564="","",IFERROR(INDEX(Partits!$C:$C,MATCH($A564&amp;"_"&amp;$D564,Partits!$D:$D,0)),""))</f>
        <v/>
      </c>
      <c r="J564" s="9" t="str">
        <f aca="false">IF($C564="","",IF(AND($I564="V",N($H564)&gt;0),1.2,1))</f>
        <v/>
      </c>
      <c r="K564" s="9" t="str">
        <f aca="false">IF($C564="","",N($H564)*$J564)</f>
        <v/>
      </c>
      <c r="L564" s="9" t="str">
        <f aca="false">IF($C564="","",IF($E564="SI",2,1))</f>
        <v/>
      </c>
      <c r="M564" s="9" t="str">
        <f aca="false">IF($C564="","",$K564*$L564)</f>
        <v/>
      </c>
    </row>
    <row r="565" customFormat="false" ht="15" hidden="false" customHeight="true" outlineLevel="0" collapsed="false">
      <c r="A565" s="9" t="str">
        <f aca="false">IF(Equips_usuari!A565="","",Equips_usuari!A565)</f>
        <v/>
      </c>
      <c r="B565" s="9" t="str">
        <f aca="false">IF(Equips_usuari!B565="","",Equips_usuari!B565)</f>
        <v/>
      </c>
      <c r="C565" s="9" t="str">
        <f aca="false">IF(Equips_usuari!C565="","",Equips_usuari!C565)</f>
        <v/>
      </c>
      <c r="D565" s="9" t="str">
        <f aca="false">IF(Equips_usuari!D565="","",Equips_usuari!D565)</f>
        <v/>
      </c>
      <c r="E565" s="9" t="str">
        <f aca="false">IF(Equips_usuari!F565="","",Equips_usuari!F565)</f>
        <v/>
      </c>
      <c r="F565" s="9" t="str">
        <f aca="false">IF($C565="","",SUMIFS(Resultats_jugadores!$C:$C,Resultats_jugadores!$A:$A,$A565,Resultats_jugadores!$B:$B,$C565))</f>
        <v/>
      </c>
      <c r="G565" s="9" t="str">
        <f aca="false">IF($C565="","",SUMIFS(Resultats_jugadores!$D:$D,Resultats_jugadores!$A:$A,$A565,Resultats_jugadores!$B:$B,$C565))</f>
        <v/>
      </c>
      <c r="H565" s="9" t="str">
        <f aca="false">IF($C565="","",N($F565)-N($G565))</f>
        <v/>
      </c>
      <c r="I565" s="9" t="str">
        <f aca="false">IF($C565="","",IFERROR(INDEX(Partits!$C:$C,MATCH($A565&amp;"_"&amp;$D565,Partits!$D:$D,0)),""))</f>
        <v/>
      </c>
      <c r="J565" s="9" t="str">
        <f aca="false">IF($C565="","",IF(AND($I565="V",N($H565)&gt;0),1.2,1))</f>
        <v/>
      </c>
      <c r="K565" s="9" t="str">
        <f aca="false">IF($C565="","",N($H565)*$J565)</f>
        <v/>
      </c>
      <c r="L565" s="9" t="str">
        <f aca="false">IF($C565="","",IF($E565="SI",2,1))</f>
        <v/>
      </c>
      <c r="M565" s="9" t="str">
        <f aca="false">IF($C565="","",$K565*$L565)</f>
        <v/>
      </c>
    </row>
    <row r="566" customFormat="false" ht="15" hidden="false" customHeight="true" outlineLevel="0" collapsed="false">
      <c r="A566" s="9" t="str">
        <f aca="false">IF(Equips_usuari!A566="","",Equips_usuari!A566)</f>
        <v/>
      </c>
      <c r="B566" s="9" t="str">
        <f aca="false">IF(Equips_usuari!B566="","",Equips_usuari!B566)</f>
        <v/>
      </c>
      <c r="C566" s="9" t="str">
        <f aca="false">IF(Equips_usuari!C566="","",Equips_usuari!C566)</f>
        <v/>
      </c>
      <c r="D566" s="9" t="str">
        <f aca="false">IF(Equips_usuari!D566="","",Equips_usuari!D566)</f>
        <v/>
      </c>
      <c r="E566" s="9" t="str">
        <f aca="false">IF(Equips_usuari!F566="","",Equips_usuari!F566)</f>
        <v/>
      </c>
      <c r="F566" s="9" t="str">
        <f aca="false">IF($C566="","",SUMIFS(Resultats_jugadores!$C:$C,Resultats_jugadores!$A:$A,$A566,Resultats_jugadores!$B:$B,$C566))</f>
        <v/>
      </c>
      <c r="G566" s="9" t="str">
        <f aca="false">IF($C566="","",SUMIFS(Resultats_jugadores!$D:$D,Resultats_jugadores!$A:$A,$A566,Resultats_jugadores!$B:$B,$C566))</f>
        <v/>
      </c>
      <c r="H566" s="9" t="str">
        <f aca="false">IF($C566="","",N($F566)-N($G566))</f>
        <v/>
      </c>
      <c r="I566" s="9" t="str">
        <f aca="false">IF($C566="","",IFERROR(INDEX(Partits!$C:$C,MATCH($A566&amp;"_"&amp;$D566,Partits!$D:$D,0)),""))</f>
        <v/>
      </c>
      <c r="J566" s="9" t="str">
        <f aca="false">IF($C566="","",IF(AND($I566="V",N($H566)&gt;0),1.2,1))</f>
        <v/>
      </c>
      <c r="K566" s="9" t="str">
        <f aca="false">IF($C566="","",N($H566)*$J566)</f>
        <v/>
      </c>
      <c r="L566" s="9" t="str">
        <f aca="false">IF($C566="","",IF($E566="SI",2,1))</f>
        <v/>
      </c>
      <c r="M566" s="9" t="str">
        <f aca="false">IF($C566="","",$K566*$L566)</f>
        <v/>
      </c>
    </row>
    <row r="567" customFormat="false" ht="15" hidden="false" customHeight="true" outlineLevel="0" collapsed="false">
      <c r="A567" s="9" t="str">
        <f aca="false">IF(Equips_usuari!A567="","",Equips_usuari!A567)</f>
        <v/>
      </c>
      <c r="B567" s="9" t="str">
        <f aca="false">IF(Equips_usuari!B567="","",Equips_usuari!B567)</f>
        <v/>
      </c>
      <c r="C567" s="9" t="str">
        <f aca="false">IF(Equips_usuari!C567="","",Equips_usuari!C567)</f>
        <v/>
      </c>
      <c r="D567" s="9" t="str">
        <f aca="false">IF(Equips_usuari!D567="","",Equips_usuari!D567)</f>
        <v/>
      </c>
      <c r="E567" s="9" t="str">
        <f aca="false">IF(Equips_usuari!F567="","",Equips_usuari!F567)</f>
        <v/>
      </c>
      <c r="F567" s="9" t="str">
        <f aca="false">IF($C567="","",SUMIFS(Resultats_jugadores!$C:$C,Resultats_jugadores!$A:$A,$A567,Resultats_jugadores!$B:$B,$C567))</f>
        <v/>
      </c>
      <c r="G567" s="9" t="str">
        <f aca="false">IF($C567="","",SUMIFS(Resultats_jugadores!$D:$D,Resultats_jugadores!$A:$A,$A567,Resultats_jugadores!$B:$B,$C567))</f>
        <v/>
      </c>
      <c r="H567" s="9" t="str">
        <f aca="false">IF($C567="","",N($F567)-N($G567))</f>
        <v/>
      </c>
      <c r="I567" s="9" t="str">
        <f aca="false">IF($C567="","",IFERROR(INDEX(Partits!$C:$C,MATCH($A567&amp;"_"&amp;$D567,Partits!$D:$D,0)),""))</f>
        <v/>
      </c>
      <c r="J567" s="9" t="str">
        <f aca="false">IF($C567="","",IF(AND($I567="V",N($H567)&gt;0),1.2,1))</f>
        <v/>
      </c>
      <c r="K567" s="9" t="str">
        <f aca="false">IF($C567="","",N($H567)*$J567)</f>
        <v/>
      </c>
      <c r="L567" s="9" t="str">
        <f aca="false">IF($C567="","",IF($E567="SI",2,1))</f>
        <v/>
      </c>
      <c r="M567" s="9" t="str">
        <f aca="false">IF($C567="","",$K567*$L567)</f>
        <v/>
      </c>
    </row>
    <row r="568" customFormat="false" ht="15" hidden="false" customHeight="true" outlineLevel="0" collapsed="false">
      <c r="A568" s="9" t="str">
        <f aca="false">IF(Equips_usuari!A568="","",Equips_usuari!A568)</f>
        <v/>
      </c>
      <c r="B568" s="9" t="str">
        <f aca="false">IF(Equips_usuari!B568="","",Equips_usuari!B568)</f>
        <v/>
      </c>
      <c r="C568" s="9" t="str">
        <f aca="false">IF(Equips_usuari!C568="","",Equips_usuari!C568)</f>
        <v/>
      </c>
      <c r="D568" s="9" t="str">
        <f aca="false">IF(Equips_usuari!D568="","",Equips_usuari!D568)</f>
        <v/>
      </c>
      <c r="E568" s="9" t="str">
        <f aca="false">IF(Equips_usuari!F568="","",Equips_usuari!F568)</f>
        <v/>
      </c>
      <c r="F568" s="9" t="str">
        <f aca="false">IF($C568="","",SUMIFS(Resultats_jugadores!$C:$C,Resultats_jugadores!$A:$A,$A568,Resultats_jugadores!$B:$B,$C568))</f>
        <v/>
      </c>
      <c r="G568" s="9" t="str">
        <f aca="false">IF($C568="","",SUMIFS(Resultats_jugadores!$D:$D,Resultats_jugadores!$A:$A,$A568,Resultats_jugadores!$B:$B,$C568))</f>
        <v/>
      </c>
      <c r="H568" s="9" t="str">
        <f aca="false">IF($C568="","",N($F568)-N($G568))</f>
        <v/>
      </c>
      <c r="I568" s="9" t="str">
        <f aca="false">IF($C568="","",IFERROR(INDEX(Partits!$C:$C,MATCH($A568&amp;"_"&amp;$D568,Partits!$D:$D,0)),""))</f>
        <v/>
      </c>
      <c r="J568" s="9" t="str">
        <f aca="false">IF($C568="","",IF(AND($I568="V",N($H568)&gt;0),1.2,1))</f>
        <v/>
      </c>
      <c r="K568" s="9" t="str">
        <f aca="false">IF($C568="","",N($H568)*$J568)</f>
        <v/>
      </c>
      <c r="L568" s="9" t="str">
        <f aca="false">IF($C568="","",IF($E568="SI",2,1))</f>
        <v/>
      </c>
      <c r="M568" s="9" t="str">
        <f aca="false">IF($C568="","",$K568*$L568)</f>
        <v/>
      </c>
    </row>
    <row r="569" customFormat="false" ht="15" hidden="false" customHeight="true" outlineLevel="0" collapsed="false">
      <c r="A569" s="9" t="str">
        <f aca="false">IF(Equips_usuari!A569="","",Equips_usuari!A569)</f>
        <v/>
      </c>
      <c r="B569" s="9" t="str">
        <f aca="false">IF(Equips_usuari!B569="","",Equips_usuari!B569)</f>
        <v/>
      </c>
      <c r="C569" s="9" t="str">
        <f aca="false">IF(Equips_usuari!C569="","",Equips_usuari!C569)</f>
        <v/>
      </c>
      <c r="D569" s="9" t="str">
        <f aca="false">IF(Equips_usuari!D569="","",Equips_usuari!D569)</f>
        <v/>
      </c>
      <c r="E569" s="9" t="str">
        <f aca="false">IF(Equips_usuari!F569="","",Equips_usuari!F569)</f>
        <v/>
      </c>
      <c r="F569" s="9" t="str">
        <f aca="false">IF($C569="","",SUMIFS(Resultats_jugadores!$C:$C,Resultats_jugadores!$A:$A,$A569,Resultats_jugadores!$B:$B,$C569))</f>
        <v/>
      </c>
      <c r="G569" s="9" t="str">
        <f aca="false">IF($C569="","",SUMIFS(Resultats_jugadores!$D:$D,Resultats_jugadores!$A:$A,$A569,Resultats_jugadores!$B:$B,$C569))</f>
        <v/>
      </c>
      <c r="H569" s="9" t="str">
        <f aca="false">IF($C569="","",N($F569)-N($G569))</f>
        <v/>
      </c>
      <c r="I569" s="9" t="str">
        <f aca="false">IF($C569="","",IFERROR(INDEX(Partits!$C:$C,MATCH($A569&amp;"_"&amp;$D569,Partits!$D:$D,0)),""))</f>
        <v/>
      </c>
      <c r="J569" s="9" t="str">
        <f aca="false">IF($C569="","",IF(AND($I569="V",N($H569)&gt;0),1.2,1))</f>
        <v/>
      </c>
      <c r="K569" s="9" t="str">
        <f aca="false">IF($C569="","",N($H569)*$J569)</f>
        <v/>
      </c>
      <c r="L569" s="9" t="str">
        <f aca="false">IF($C569="","",IF($E569="SI",2,1))</f>
        <v/>
      </c>
      <c r="M569" s="9" t="str">
        <f aca="false">IF($C569="","",$K569*$L569)</f>
        <v/>
      </c>
    </row>
    <row r="570" customFormat="false" ht="15" hidden="false" customHeight="true" outlineLevel="0" collapsed="false">
      <c r="A570" s="9" t="str">
        <f aca="false">IF(Equips_usuari!A570="","",Equips_usuari!A570)</f>
        <v/>
      </c>
      <c r="B570" s="9" t="str">
        <f aca="false">IF(Equips_usuari!B570="","",Equips_usuari!B570)</f>
        <v/>
      </c>
      <c r="C570" s="9" t="str">
        <f aca="false">IF(Equips_usuari!C570="","",Equips_usuari!C570)</f>
        <v/>
      </c>
      <c r="D570" s="9" t="str">
        <f aca="false">IF(Equips_usuari!D570="","",Equips_usuari!D570)</f>
        <v/>
      </c>
      <c r="E570" s="9" t="str">
        <f aca="false">IF(Equips_usuari!F570="","",Equips_usuari!F570)</f>
        <v/>
      </c>
      <c r="F570" s="9" t="str">
        <f aca="false">IF($C570="","",SUMIFS(Resultats_jugadores!$C:$C,Resultats_jugadores!$A:$A,$A570,Resultats_jugadores!$B:$B,$C570))</f>
        <v/>
      </c>
      <c r="G570" s="9" t="str">
        <f aca="false">IF($C570="","",SUMIFS(Resultats_jugadores!$D:$D,Resultats_jugadores!$A:$A,$A570,Resultats_jugadores!$B:$B,$C570))</f>
        <v/>
      </c>
      <c r="H570" s="9" t="str">
        <f aca="false">IF($C570="","",N($F570)-N($G570))</f>
        <v/>
      </c>
      <c r="I570" s="9" t="str">
        <f aca="false">IF($C570="","",IFERROR(INDEX(Partits!$C:$C,MATCH($A570&amp;"_"&amp;$D570,Partits!$D:$D,0)),""))</f>
        <v/>
      </c>
      <c r="J570" s="9" t="str">
        <f aca="false">IF($C570="","",IF(AND($I570="V",N($H570)&gt;0),1.2,1))</f>
        <v/>
      </c>
      <c r="K570" s="9" t="str">
        <f aca="false">IF($C570="","",N($H570)*$J570)</f>
        <v/>
      </c>
      <c r="L570" s="9" t="str">
        <f aca="false">IF($C570="","",IF($E570="SI",2,1))</f>
        <v/>
      </c>
      <c r="M570" s="9" t="str">
        <f aca="false">IF($C570="","",$K570*$L570)</f>
        <v/>
      </c>
    </row>
    <row r="571" customFormat="false" ht="15" hidden="false" customHeight="true" outlineLevel="0" collapsed="false">
      <c r="A571" s="9" t="str">
        <f aca="false">IF(Equips_usuari!A571="","",Equips_usuari!A571)</f>
        <v/>
      </c>
      <c r="B571" s="9" t="str">
        <f aca="false">IF(Equips_usuari!B571="","",Equips_usuari!B571)</f>
        <v/>
      </c>
      <c r="C571" s="9" t="str">
        <f aca="false">IF(Equips_usuari!C571="","",Equips_usuari!C571)</f>
        <v/>
      </c>
      <c r="D571" s="9" t="str">
        <f aca="false">IF(Equips_usuari!D571="","",Equips_usuari!D571)</f>
        <v/>
      </c>
      <c r="E571" s="9" t="str">
        <f aca="false">IF(Equips_usuari!F571="","",Equips_usuari!F571)</f>
        <v/>
      </c>
      <c r="F571" s="9" t="str">
        <f aca="false">IF($C571="","",SUMIFS(Resultats_jugadores!$C:$C,Resultats_jugadores!$A:$A,$A571,Resultats_jugadores!$B:$B,$C571))</f>
        <v/>
      </c>
      <c r="G571" s="9" t="str">
        <f aca="false">IF($C571="","",SUMIFS(Resultats_jugadores!$D:$D,Resultats_jugadores!$A:$A,$A571,Resultats_jugadores!$B:$B,$C571))</f>
        <v/>
      </c>
      <c r="H571" s="9" t="str">
        <f aca="false">IF($C571="","",N($F571)-N($G571))</f>
        <v/>
      </c>
      <c r="I571" s="9" t="str">
        <f aca="false">IF($C571="","",IFERROR(INDEX(Partits!$C:$C,MATCH($A571&amp;"_"&amp;$D571,Partits!$D:$D,0)),""))</f>
        <v/>
      </c>
      <c r="J571" s="9" t="str">
        <f aca="false">IF($C571="","",IF(AND($I571="V",N($H571)&gt;0),1.2,1))</f>
        <v/>
      </c>
      <c r="K571" s="9" t="str">
        <f aca="false">IF($C571="","",N($H571)*$J571)</f>
        <v/>
      </c>
      <c r="L571" s="9" t="str">
        <f aca="false">IF($C571="","",IF($E571="SI",2,1))</f>
        <v/>
      </c>
      <c r="M571" s="9" t="str">
        <f aca="false">IF($C571="","",$K571*$L571)</f>
        <v/>
      </c>
    </row>
    <row r="572" customFormat="false" ht="15" hidden="false" customHeight="true" outlineLevel="0" collapsed="false">
      <c r="A572" s="9" t="str">
        <f aca="false">IF(Equips_usuari!A572="","",Equips_usuari!A572)</f>
        <v/>
      </c>
      <c r="B572" s="9" t="str">
        <f aca="false">IF(Equips_usuari!B572="","",Equips_usuari!B572)</f>
        <v/>
      </c>
      <c r="C572" s="9" t="str">
        <f aca="false">IF(Equips_usuari!C572="","",Equips_usuari!C572)</f>
        <v/>
      </c>
      <c r="D572" s="9" t="str">
        <f aca="false">IF(Equips_usuari!D572="","",Equips_usuari!D572)</f>
        <v/>
      </c>
      <c r="E572" s="9" t="str">
        <f aca="false">IF(Equips_usuari!F572="","",Equips_usuari!F572)</f>
        <v/>
      </c>
      <c r="F572" s="9" t="str">
        <f aca="false">IF($C572="","",SUMIFS(Resultats_jugadores!$C:$C,Resultats_jugadores!$A:$A,$A572,Resultats_jugadores!$B:$B,$C572))</f>
        <v/>
      </c>
      <c r="G572" s="9" t="str">
        <f aca="false">IF($C572="","",SUMIFS(Resultats_jugadores!$D:$D,Resultats_jugadores!$A:$A,$A572,Resultats_jugadores!$B:$B,$C572))</f>
        <v/>
      </c>
      <c r="H572" s="9" t="str">
        <f aca="false">IF($C572="","",N($F572)-N($G572))</f>
        <v/>
      </c>
      <c r="I572" s="9" t="str">
        <f aca="false">IF($C572="","",IFERROR(INDEX(Partits!$C:$C,MATCH($A572&amp;"_"&amp;$D572,Partits!$D:$D,0)),""))</f>
        <v/>
      </c>
      <c r="J572" s="9" t="str">
        <f aca="false">IF($C572="","",IF(AND($I572="V",N($H572)&gt;0),1.2,1))</f>
        <v/>
      </c>
      <c r="K572" s="9" t="str">
        <f aca="false">IF($C572="","",N($H572)*$J572)</f>
        <v/>
      </c>
      <c r="L572" s="9" t="str">
        <f aca="false">IF($C572="","",IF($E572="SI",2,1))</f>
        <v/>
      </c>
      <c r="M572" s="9" t="str">
        <f aca="false">IF($C572="","",$K572*$L572)</f>
        <v/>
      </c>
    </row>
    <row r="573" customFormat="false" ht="15" hidden="false" customHeight="true" outlineLevel="0" collapsed="false">
      <c r="A573" s="9" t="str">
        <f aca="false">IF(Equips_usuari!A573="","",Equips_usuari!A573)</f>
        <v/>
      </c>
      <c r="B573" s="9" t="str">
        <f aca="false">IF(Equips_usuari!B573="","",Equips_usuari!B573)</f>
        <v/>
      </c>
      <c r="C573" s="9" t="str">
        <f aca="false">IF(Equips_usuari!C573="","",Equips_usuari!C573)</f>
        <v/>
      </c>
      <c r="D573" s="9" t="str">
        <f aca="false">IF(Equips_usuari!D573="","",Equips_usuari!D573)</f>
        <v/>
      </c>
      <c r="E573" s="9" t="str">
        <f aca="false">IF(Equips_usuari!F573="","",Equips_usuari!F573)</f>
        <v/>
      </c>
      <c r="F573" s="9" t="str">
        <f aca="false">IF($C573="","",SUMIFS(Resultats_jugadores!$C:$C,Resultats_jugadores!$A:$A,$A573,Resultats_jugadores!$B:$B,$C573))</f>
        <v/>
      </c>
      <c r="G573" s="9" t="str">
        <f aca="false">IF($C573="","",SUMIFS(Resultats_jugadores!$D:$D,Resultats_jugadores!$A:$A,$A573,Resultats_jugadores!$B:$B,$C573))</f>
        <v/>
      </c>
      <c r="H573" s="9" t="str">
        <f aca="false">IF($C573="","",N($F573)-N($G573))</f>
        <v/>
      </c>
      <c r="I573" s="9" t="str">
        <f aca="false">IF($C573="","",IFERROR(INDEX(Partits!$C:$C,MATCH($A573&amp;"_"&amp;$D573,Partits!$D:$D,0)),""))</f>
        <v/>
      </c>
      <c r="J573" s="9" t="str">
        <f aca="false">IF($C573="","",IF(AND($I573="V",N($H573)&gt;0),1.2,1))</f>
        <v/>
      </c>
      <c r="K573" s="9" t="str">
        <f aca="false">IF($C573="","",N($H573)*$J573)</f>
        <v/>
      </c>
      <c r="L573" s="9" t="str">
        <f aca="false">IF($C573="","",IF($E573="SI",2,1))</f>
        <v/>
      </c>
      <c r="M573" s="9" t="str">
        <f aca="false">IF($C573="","",$K573*$L573)</f>
        <v/>
      </c>
    </row>
    <row r="574" customFormat="false" ht="15" hidden="false" customHeight="true" outlineLevel="0" collapsed="false">
      <c r="A574" s="9" t="str">
        <f aca="false">IF(Equips_usuari!A574="","",Equips_usuari!A574)</f>
        <v/>
      </c>
      <c r="B574" s="9" t="str">
        <f aca="false">IF(Equips_usuari!B574="","",Equips_usuari!B574)</f>
        <v/>
      </c>
      <c r="C574" s="9" t="str">
        <f aca="false">IF(Equips_usuari!C574="","",Equips_usuari!C574)</f>
        <v/>
      </c>
      <c r="D574" s="9" t="str">
        <f aca="false">IF(Equips_usuari!D574="","",Equips_usuari!D574)</f>
        <v/>
      </c>
      <c r="E574" s="9" t="str">
        <f aca="false">IF(Equips_usuari!F574="","",Equips_usuari!F574)</f>
        <v/>
      </c>
      <c r="F574" s="9" t="str">
        <f aca="false">IF($C574="","",SUMIFS(Resultats_jugadores!$C:$C,Resultats_jugadores!$A:$A,$A574,Resultats_jugadores!$B:$B,$C574))</f>
        <v/>
      </c>
      <c r="G574" s="9" t="str">
        <f aca="false">IF($C574="","",SUMIFS(Resultats_jugadores!$D:$D,Resultats_jugadores!$A:$A,$A574,Resultats_jugadores!$B:$B,$C574))</f>
        <v/>
      </c>
      <c r="H574" s="9" t="str">
        <f aca="false">IF($C574="","",N($F574)-N($G574))</f>
        <v/>
      </c>
      <c r="I574" s="9" t="str">
        <f aca="false">IF($C574="","",IFERROR(INDEX(Partits!$C:$C,MATCH($A574&amp;"_"&amp;$D574,Partits!$D:$D,0)),""))</f>
        <v/>
      </c>
      <c r="J574" s="9" t="str">
        <f aca="false">IF($C574="","",IF(AND($I574="V",N($H574)&gt;0),1.2,1))</f>
        <v/>
      </c>
      <c r="K574" s="9" t="str">
        <f aca="false">IF($C574="","",N($H574)*$J574)</f>
        <v/>
      </c>
      <c r="L574" s="9" t="str">
        <f aca="false">IF($C574="","",IF($E574="SI",2,1))</f>
        <v/>
      </c>
      <c r="M574" s="9" t="str">
        <f aca="false">IF($C574="","",$K574*$L574)</f>
        <v/>
      </c>
    </row>
    <row r="575" customFormat="false" ht="15" hidden="false" customHeight="true" outlineLevel="0" collapsed="false">
      <c r="A575" s="9" t="str">
        <f aca="false">IF(Equips_usuari!A575="","",Equips_usuari!A575)</f>
        <v/>
      </c>
      <c r="B575" s="9" t="str">
        <f aca="false">IF(Equips_usuari!B575="","",Equips_usuari!B575)</f>
        <v/>
      </c>
      <c r="C575" s="9" t="str">
        <f aca="false">IF(Equips_usuari!C575="","",Equips_usuari!C575)</f>
        <v/>
      </c>
      <c r="D575" s="9" t="str">
        <f aca="false">IF(Equips_usuari!D575="","",Equips_usuari!D575)</f>
        <v/>
      </c>
      <c r="E575" s="9" t="str">
        <f aca="false">IF(Equips_usuari!F575="","",Equips_usuari!F575)</f>
        <v/>
      </c>
      <c r="F575" s="9" t="str">
        <f aca="false">IF($C575="","",SUMIFS(Resultats_jugadores!$C:$C,Resultats_jugadores!$A:$A,$A575,Resultats_jugadores!$B:$B,$C575))</f>
        <v/>
      </c>
      <c r="G575" s="9" t="str">
        <f aca="false">IF($C575="","",SUMIFS(Resultats_jugadores!$D:$D,Resultats_jugadores!$A:$A,$A575,Resultats_jugadores!$B:$B,$C575))</f>
        <v/>
      </c>
      <c r="H575" s="9" t="str">
        <f aca="false">IF($C575="","",N($F575)-N($G575))</f>
        <v/>
      </c>
      <c r="I575" s="9" t="str">
        <f aca="false">IF($C575="","",IFERROR(INDEX(Partits!$C:$C,MATCH($A575&amp;"_"&amp;$D575,Partits!$D:$D,0)),""))</f>
        <v/>
      </c>
      <c r="J575" s="9" t="str">
        <f aca="false">IF($C575="","",IF(AND($I575="V",N($H575)&gt;0),1.2,1))</f>
        <v/>
      </c>
      <c r="K575" s="9" t="str">
        <f aca="false">IF($C575="","",N($H575)*$J575)</f>
        <v/>
      </c>
      <c r="L575" s="9" t="str">
        <f aca="false">IF($C575="","",IF($E575="SI",2,1))</f>
        <v/>
      </c>
      <c r="M575" s="9" t="str">
        <f aca="false">IF($C575="","",$K575*$L575)</f>
        <v/>
      </c>
    </row>
    <row r="576" customFormat="false" ht="15" hidden="false" customHeight="true" outlineLevel="0" collapsed="false">
      <c r="A576" s="9" t="str">
        <f aca="false">IF(Equips_usuari!A576="","",Equips_usuari!A576)</f>
        <v/>
      </c>
      <c r="B576" s="9" t="str">
        <f aca="false">IF(Equips_usuari!B576="","",Equips_usuari!B576)</f>
        <v/>
      </c>
      <c r="C576" s="9" t="str">
        <f aca="false">IF(Equips_usuari!C576="","",Equips_usuari!C576)</f>
        <v/>
      </c>
      <c r="D576" s="9" t="str">
        <f aca="false">IF(Equips_usuari!D576="","",Equips_usuari!D576)</f>
        <v/>
      </c>
      <c r="E576" s="9" t="str">
        <f aca="false">IF(Equips_usuari!F576="","",Equips_usuari!F576)</f>
        <v/>
      </c>
      <c r="F576" s="9" t="str">
        <f aca="false">IF($C576="","",SUMIFS(Resultats_jugadores!$C:$C,Resultats_jugadores!$A:$A,$A576,Resultats_jugadores!$B:$B,$C576))</f>
        <v/>
      </c>
      <c r="G576" s="9" t="str">
        <f aca="false">IF($C576="","",SUMIFS(Resultats_jugadores!$D:$D,Resultats_jugadores!$A:$A,$A576,Resultats_jugadores!$B:$B,$C576))</f>
        <v/>
      </c>
      <c r="H576" s="9" t="str">
        <f aca="false">IF($C576="","",N($F576)-N($G576))</f>
        <v/>
      </c>
      <c r="I576" s="9" t="str">
        <f aca="false">IF($C576="","",IFERROR(INDEX(Partits!$C:$C,MATCH($A576&amp;"_"&amp;$D576,Partits!$D:$D,0)),""))</f>
        <v/>
      </c>
      <c r="J576" s="9" t="str">
        <f aca="false">IF($C576="","",IF(AND($I576="V",N($H576)&gt;0),1.2,1))</f>
        <v/>
      </c>
      <c r="K576" s="9" t="str">
        <f aca="false">IF($C576="","",N($H576)*$J576)</f>
        <v/>
      </c>
      <c r="L576" s="9" t="str">
        <f aca="false">IF($C576="","",IF($E576="SI",2,1))</f>
        <v/>
      </c>
      <c r="M576" s="9" t="str">
        <f aca="false">IF($C576="","",$K576*$L576)</f>
        <v/>
      </c>
    </row>
    <row r="577" customFormat="false" ht="15" hidden="false" customHeight="true" outlineLevel="0" collapsed="false">
      <c r="A577" s="9" t="str">
        <f aca="false">IF(Equips_usuari!A577="","",Equips_usuari!A577)</f>
        <v/>
      </c>
      <c r="B577" s="9" t="str">
        <f aca="false">IF(Equips_usuari!B577="","",Equips_usuari!B577)</f>
        <v/>
      </c>
      <c r="C577" s="9" t="str">
        <f aca="false">IF(Equips_usuari!C577="","",Equips_usuari!C577)</f>
        <v/>
      </c>
      <c r="D577" s="9" t="str">
        <f aca="false">IF(Equips_usuari!D577="","",Equips_usuari!D577)</f>
        <v/>
      </c>
      <c r="E577" s="9" t="str">
        <f aca="false">IF(Equips_usuari!F577="","",Equips_usuari!F577)</f>
        <v/>
      </c>
      <c r="F577" s="9" t="str">
        <f aca="false">IF($C577="","",SUMIFS(Resultats_jugadores!$C:$C,Resultats_jugadores!$A:$A,$A577,Resultats_jugadores!$B:$B,$C577))</f>
        <v/>
      </c>
      <c r="G577" s="9" t="str">
        <f aca="false">IF($C577="","",SUMIFS(Resultats_jugadores!$D:$D,Resultats_jugadores!$A:$A,$A577,Resultats_jugadores!$B:$B,$C577))</f>
        <v/>
      </c>
      <c r="H577" s="9" t="str">
        <f aca="false">IF($C577="","",N($F577)-N($G577))</f>
        <v/>
      </c>
      <c r="I577" s="9" t="str">
        <f aca="false">IF($C577="","",IFERROR(INDEX(Partits!$C:$C,MATCH($A577&amp;"_"&amp;$D577,Partits!$D:$D,0)),""))</f>
        <v/>
      </c>
      <c r="J577" s="9" t="str">
        <f aca="false">IF($C577="","",IF(AND($I577="V",N($H577)&gt;0),1.2,1))</f>
        <v/>
      </c>
      <c r="K577" s="9" t="str">
        <f aca="false">IF($C577="","",N($H577)*$J577)</f>
        <v/>
      </c>
      <c r="L577" s="9" t="str">
        <f aca="false">IF($C577="","",IF($E577="SI",2,1))</f>
        <v/>
      </c>
      <c r="M577" s="9" t="str">
        <f aca="false">IF($C577="","",$K577*$L577)</f>
        <v/>
      </c>
    </row>
    <row r="578" customFormat="false" ht="15" hidden="false" customHeight="true" outlineLevel="0" collapsed="false">
      <c r="A578" s="9" t="str">
        <f aca="false">IF(Equips_usuari!A578="","",Equips_usuari!A578)</f>
        <v/>
      </c>
      <c r="B578" s="9" t="str">
        <f aca="false">IF(Equips_usuari!B578="","",Equips_usuari!B578)</f>
        <v/>
      </c>
      <c r="C578" s="9" t="str">
        <f aca="false">IF(Equips_usuari!C578="","",Equips_usuari!C578)</f>
        <v/>
      </c>
      <c r="D578" s="9" t="str">
        <f aca="false">IF(Equips_usuari!D578="","",Equips_usuari!D578)</f>
        <v/>
      </c>
      <c r="E578" s="9" t="str">
        <f aca="false">IF(Equips_usuari!F578="","",Equips_usuari!F578)</f>
        <v/>
      </c>
      <c r="F578" s="9" t="str">
        <f aca="false">IF($C578="","",SUMIFS(Resultats_jugadores!$C:$C,Resultats_jugadores!$A:$A,$A578,Resultats_jugadores!$B:$B,$C578))</f>
        <v/>
      </c>
      <c r="G578" s="9" t="str">
        <f aca="false">IF($C578="","",SUMIFS(Resultats_jugadores!$D:$D,Resultats_jugadores!$A:$A,$A578,Resultats_jugadores!$B:$B,$C578))</f>
        <v/>
      </c>
      <c r="H578" s="9" t="str">
        <f aca="false">IF($C578="","",N($F578)-N($G578))</f>
        <v/>
      </c>
      <c r="I578" s="9" t="str">
        <f aca="false">IF($C578="","",IFERROR(INDEX(Partits!$C:$C,MATCH($A578&amp;"_"&amp;$D578,Partits!$D:$D,0)),""))</f>
        <v/>
      </c>
      <c r="J578" s="9" t="str">
        <f aca="false">IF($C578="","",IF(AND($I578="V",N($H578)&gt;0),1.2,1))</f>
        <v/>
      </c>
      <c r="K578" s="9" t="str">
        <f aca="false">IF($C578="","",N($H578)*$J578)</f>
        <v/>
      </c>
      <c r="L578" s="9" t="str">
        <f aca="false">IF($C578="","",IF($E578="SI",2,1))</f>
        <v/>
      </c>
      <c r="M578" s="9" t="str">
        <f aca="false">IF($C578="","",$K578*$L578)</f>
        <v/>
      </c>
    </row>
    <row r="579" customFormat="false" ht="15" hidden="false" customHeight="true" outlineLevel="0" collapsed="false">
      <c r="A579" s="9" t="str">
        <f aca="false">IF(Equips_usuari!A579="","",Equips_usuari!A579)</f>
        <v/>
      </c>
      <c r="B579" s="9" t="str">
        <f aca="false">IF(Equips_usuari!B579="","",Equips_usuari!B579)</f>
        <v/>
      </c>
      <c r="C579" s="9" t="str">
        <f aca="false">IF(Equips_usuari!C579="","",Equips_usuari!C579)</f>
        <v/>
      </c>
      <c r="D579" s="9" t="str">
        <f aca="false">IF(Equips_usuari!D579="","",Equips_usuari!D579)</f>
        <v/>
      </c>
      <c r="E579" s="9" t="str">
        <f aca="false">IF(Equips_usuari!F579="","",Equips_usuari!F579)</f>
        <v/>
      </c>
      <c r="F579" s="9" t="str">
        <f aca="false">IF($C579="","",SUMIFS(Resultats_jugadores!$C:$C,Resultats_jugadores!$A:$A,$A579,Resultats_jugadores!$B:$B,$C579))</f>
        <v/>
      </c>
      <c r="G579" s="9" t="str">
        <f aca="false">IF($C579="","",SUMIFS(Resultats_jugadores!$D:$D,Resultats_jugadores!$A:$A,$A579,Resultats_jugadores!$B:$B,$C579))</f>
        <v/>
      </c>
      <c r="H579" s="9" t="str">
        <f aca="false">IF($C579="","",N($F579)-N($G579))</f>
        <v/>
      </c>
      <c r="I579" s="9" t="str">
        <f aca="false">IF($C579="","",IFERROR(INDEX(Partits!$C:$C,MATCH($A579&amp;"_"&amp;$D579,Partits!$D:$D,0)),""))</f>
        <v/>
      </c>
      <c r="J579" s="9" t="str">
        <f aca="false">IF($C579="","",IF(AND($I579="V",N($H579)&gt;0),1.2,1))</f>
        <v/>
      </c>
      <c r="K579" s="9" t="str">
        <f aca="false">IF($C579="","",N($H579)*$J579)</f>
        <v/>
      </c>
      <c r="L579" s="9" t="str">
        <f aca="false">IF($C579="","",IF($E579="SI",2,1))</f>
        <v/>
      </c>
      <c r="M579" s="9" t="str">
        <f aca="false">IF($C579="","",$K579*$L579)</f>
        <v/>
      </c>
    </row>
    <row r="580" customFormat="false" ht="15" hidden="false" customHeight="true" outlineLevel="0" collapsed="false">
      <c r="A580" s="9" t="str">
        <f aca="false">IF(Equips_usuari!A580="","",Equips_usuari!A580)</f>
        <v/>
      </c>
      <c r="B580" s="9" t="str">
        <f aca="false">IF(Equips_usuari!B580="","",Equips_usuari!B580)</f>
        <v/>
      </c>
      <c r="C580" s="9" t="str">
        <f aca="false">IF(Equips_usuari!C580="","",Equips_usuari!C580)</f>
        <v/>
      </c>
      <c r="D580" s="9" t="str">
        <f aca="false">IF(Equips_usuari!D580="","",Equips_usuari!D580)</f>
        <v/>
      </c>
      <c r="E580" s="9" t="str">
        <f aca="false">IF(Equips_usuari!F580="","",Equips_usuari!F580)</f>
        <v/>
      </c>
      <c r="F580" s="9" t="str">
        <f aca="false">IF($C580="","",SUMIFS(Resultats_jugadores!$C:$C,Resultats_jugadores!$A:$A,$A580,Resultats_jugadores!$B:$B,$C580))</f>
        <v/>
      </c>
      <c r="G580" s="9" t="str">
        <f aca="false">IF($C580="","",SUMIFS(Resultats_jugadores!$D:$D,Resultats_jugadores!$A:$A,$A580,Resultats_jugadores!$B:$B,$C580))</f>
        <v/>
      </c>
      <c r="H580" s="9" t="str">
        <f aca="false">IF($C580="","",N($F580)-N($G580))</f>
        <v/>
      </c>
      <c r="I580" s="9" t="str">
        <f aca="false">IF($C580="","",IFERROR(INDEX(Partits!$C:$C,MATCH($A580&amp;"_"&amp;$D580,Partits!$D:$D,0)),""))</f>
        <v/>
      </c>
      <c r="J580" s="9" t="str">
        <f aca="false">IF($C580="","",IF(AND($I580="V",N($H580)&gt;0),1.2,1))</f>
        <v/>
      </c>
      <c r="K580" s="9" t="str">
        <f aca="false">IF($C580="","",N($H580)*$J580)</f>
        <v/>
      </c>
      <c r="L580" s="9" t="str">
        <f aca="false">IF($C580="","",IF($E580="SI",2,1))</f>
        <v/>
      </c>
      <c r="M580" s="9" t="str">
        <f aca="false">IF($C580="","",$K580*$L580)</f>
        <v/>
      </c>
    </row>
    <row r="581" customFormat="false" ht="15" hidden="false" customHeight="true" outlineLevel="0" collapsed="false">
      <c r="A581" s="9" t="str">
        <f aca="false">IF(Equips_usuari!A581="","",Equips_usuari!A581)</f>
        <v/>
      </c>
      <c r="B581" s="9" t="str">
        <f aca="false">IF(Equips_usuari!B581="","",Equips_usuari!B581)</f>
        <v/>
      </c>
      <c r="C581" s="9" t="str">
        <f aca="false">IF(Equips_usuari!C581="","",Equips_usuari!C581)</f>
        <v/>
      </c>
      <c r="D581" s="9" t="str">
        <f aca="false">IF(Equips_usuari!D581="","",Equips_usuari!D581)</f>
        <v/>
      </c>
      <c r="E581" s="9" t="str">
        <f aca="false">IF(Equips_usuari!F581="","",Equips_usuari!F581)</f>
        <v/>
      </c>
      <c r="F581" s="9" t="str">
        <f aca="false">IF($C581="","",SUMIFS(Resultats_jugadores!$C:$C,Resultats_jugadores!$A:$A,$A581,Resultats_jugadores!$B:$B,$C581))</f>
        <v/>
      </c>
      <c r="G581" s="9" t="str">
        <f aca="false">IF($C581="","",SUMIFS(Resultats_jugadores!$D:$D,Resultats_jugadores!$A:$A,$A581,Resultats_jugadores!$B:$B,$C581))</f>
        <v/>
      </c>
      <c r="H581" s="9" t="str">
        <f aca="false">IF($C581="","",N($F581)-N($G581))</f>
        <v/>
      </c>
      <c r="I581" s="9" t="str">
        <f aca="false">IF($C581="","",IFERROR(INDEX(Partits!$C:$C,MATCH($A581&amp;"_"&amp;$D581,Partits!$D:$D,0)),""))</f>
        <v/>
      </c>
      <c r="J581" s="9" t="str">
        <f aca="false">IF($C581="","",IF(AND($I581="V",N($H581)&gt;0),1.2,1))</f>
        <v/>
      </c>
      <c r="K581" s="9" t="str">
        <f aca="false">IF($C581="","",N($H581)*$J581)</f>
        <v/>
      </c>
      <c r="L581" s="9" t="str">
        <f aca="false">IF($C581="","",IF($E581="SI",2,1))</f>
        <v/>
      </c>
      <c r="M581" s="9" t="str">
        <f aca="false">IF($C581="","",$K581*$L581)</f>
        <v/>
      </c>
    </row>
    <row r="582" customFormat="false" ht="15" hidden="false" customHeight="true" outlineLevel="0" collapsed="false">
      <c r="A582" s="9" t="str">
        <f aca="false">IF(Equips_usuari!A582="","",Equips_usuari!A582)</f>
        <v/>
      </c>
      <c r="B582" s="9" t="str">
        <f aca="false">IF(Equips_usuari!B582="","",Equips_usuari!B582)</f>
        <v/>
      </c>
      <c r="C582" s="9" t="str">
        <f aca="false">IF(Equips_usuari!C582="","",Equips_usuari!C582)</f>
        <v/>
      </c>
      <c r="D582" s="9" t="str">
        <f aca="false">IF(Equips_usuari!D582="","",Equips_usuari!D582)</f>
        <v/>
      </c>
      <c r="E582" s="9" t="str">
        <f aca="false">IF(Equips_usuari!F582="","",Equips_usuari!F582)</f>
        <v/>
      </c>
      <c r="F582" s="9" t="str">
        <f aca="false">IF($C582="","",SUMIFS(Resultats_jugadores!$C:$C,Resultats_jugadores!$A:$A,$A582,Resultats_jugadores!$B:$B,$C582))</f>
        <v/>
      </c>
      <c r="G582" s="9" t="str">
        <f aca="false">IF($C582="","",SUMIFS(Resultats_jugadores!$D:$D,Resultats_jugadores!$A:$A,$A582,Resultats_jugadores!$B:$B,$C582))</f>
        <v/>
      </c>
      <c r="H582" s="9" t="str">
        <f aca="false">IF($C582="","",N($F582)-N($G582))</f>
        <v/>
      </c>
      <c r="I582" s="9" t="str">
        <f aca="false">IF($C582="","",IFERROR(INDEX(Partits!$C:$C,MATCH($A582&amp;"_"&amp;$D582,Partits!$D:$D,0)),""))</f>
        <v/>
      </c>
      <c r="J582" s="9" t="str">
        <f aca="false">IF($C582="","",IF(AND($I582="V",N($H582)&gt;0),1.2,1))</f>
        <v/>
      </c>
      <c r="K582" s="9" t="str">
        <f aca="false">IF($C582="","",N($H582)*$J582)</f>
        <v/>
      </c>
      <c r="L582" s="9" t="str">
        <f aca="false">IF($C582="","",IF($E582="SI",2,1))</f>
        <v/>
      </c>
      <c r="M582" s="9" t="str">
        <f aca="false">IF($C582="","",$K582*$L582)</f>
        <v/>
      </c>
    </row>
    <row r="583" customFormat="false" ht="15" hidden="false" customHeight="true" outlineLevel="0" collapsed="false">
      <c r="A583" s="9" t="str">
        <f aca="false">IF(Equips_usuari!A583="","",Equips_usuari!A583)</f>
        <v/>
      </c>
      <c r="B583" s="9" t="str">
        <f aca="false">IF(Equips_usuari!B583="","",Equips_usuari!B583)</f>
        <v/>
      </c>
      <c r="C583" s="9" t="str">
        <f aca="false">IF(Equips_usuari!C583="","",Equips_usuari!C583)</f>
        <v/>
      </c>
      <c r="D583" s="9" t="str">
        <f aca="false">IF(Equips_usuari!D583="","",Equips_usuari!D583)</f>
        <v/>
      </c>
      <c r="E583" s="9" t="str">
        <f aca="false">IF(Equips_usuari!F583="","",Equips_usuari!F583)</f>
        <v/>
      </c>
      <c r="F583" s="9" t="str">
        <f aca="false">IF($C583="","",SUMIFS(Resultats_jugadores!$C:$C,Resultats_jugadores!$A:$A,$A583,Resultats_jugadores!$B:$B,$C583))</f>
        <v/>
      </c>
      <c r="G583" s="9" t="str">
        <f aca="false">IF($C583="","",SUMIFS(Resultats_jugadores!$D:$D,Resultats_jugadores!$A:$A,$A583,Resultats_jugadores!$B:$B,$C583))</f>
        <v/>
      </c>
      <c r="H583" s="9" t="str">
        <f aca="false">IF($C583="","",N($F583)-N($G583))</f>
        <v/>
      </c>
      <c r="I583" s="9" t="str">
        <f aca="false">IF($C583="","",IFERROR(INDEX(Partits!$C:$C,MATCH($A583&amp;"_"&amp;$D583,Partits!$D:$D,0)),""))</f>
        <v/>
      </c>
      <c r="J583" s="9" t="str">
        <f aca="false">IF($C583="","",IF(AND($I583="V",N($H583)&gt;0),1.2,1))</f>
        <v/>
      </c>
      <c r="K583" s="9" t="str">
        <f aca="false">IF($C583="","",N($H583)*$J583)</f>
        <v/>
      </c>
      <c r="L583" s="9" t="str">
        <f aca="false">IF($C583="","",IF($E583="SI",2,1))</f>
        <v/>
      </c>
      <c r="M583" s="9" t="str">
        <f aca="false">IF($C583="","",$K583*$L583)</f>
        <v/>
      </c>
    </row>
    <row r="584" customFormat="false" ht="15" hidden="false" customHeight="true" outlineLevel="0" collapsed="false">
      <c r="A584" s="9" t="str">
        <f aca="false">IF(Equips_usuari!A584="","",Equips_usuari!A584)</f>
        <v/>
      </c>
      <c r="B584" s="9" t="str">
        <f aca="false">IF(Equips_usuari!B584="","",Equips_usuari!B584)</f>
        <v/>
      </c>
      <c r="C584" s="9" t="str">
        <f aca="false">IF(Equips_usuari!C584="","",Equips_usuari!C584)</f>
        <v/>
      </c>
      <c r="D584" s="9" t="str">
        <f aca="false">IF(Equips_usuari!D584="","",Equips_usuari!D584)</f>
        <v/>
      </c>
      <c r="E584" s="9" t="str">
        <f aca="false">IF(Equips_usuari!F584="","",Equips_usuari!F584)</f>
        <v/>
      </c>
      <c r="F584" s="9" t="str">
        <f aca="false">IF($C584="","",SUMIFS(Resultats_jugadores!$C:$C,Resultats_jugadores!$A:$A,$A584,Resultats_jugadores!$B:$B,$C584))</f>
        <v/>
      </c>
      <c r="G584" s="9" t="str">
        <f aca="false">IF($C584="","",SUMIFS(Resultats_jugadores!$D:$D,Resultats_jugadores!$A:$A,$A584,Resultats_jugadores!$B:$B,$C584))</f>
        <v/>
      </c>
      <c r="H584" s="9" t="str">
        <f aca="false">IF($C584="","",N($F584)-N($G584))</f>
        <v/>
      </c>
      <c r="I584" s="9" t="str">
        <f aca="false">IF($C584="","",IFERROR(INDEX(Partits!$C:$C,MATCH($A584&amp;"_"&amp;$D584,Partits!$D:$D,0)),""))</f>
        <v/>
      </c>
      <c r="J584" s="9" t="str">
        <f aca="false">IF($C584="","",IF(AND($I584="V",N($H584)&gt;0),1.2,1))</f>
        <v/>
      </c>
      <c r="K584" s="9" t="str">
        <f aca="false">IF($C584="","",N($H584)*$J584)</f>
        <v/>
      </c>
      <c r="L584" s="9" t="str">
        <f aca="false">IF($C584="","",IF($E584="SI",2,1))</f>
        <v/>
      </c>
      <c r="M584" s="9" t="str">
        <f aca="false">IF($C584="","",$K584*$L584)</f>
        <v/>
      </c>
    </row>
    <row r="585" customFormat="false" ht="15" hidden="false" customHeight="true" outlineLevel="0" collapsed="false">
      <c r="A585" s="9" t="str">
        <f aca="false">IF(Equips_usuari!A585="","",Equips_usuari!A585)</f>
        <v/>
      </c>
      <c r="B585" s="9" t="str">
        <f aca="false">IF(Equips_usuari!B585="","",Equips_usuari!B585)</f>
        <v/>
      </c>
      <c r="C585" s="9" t="str">
        <f aca="false">IF(Equips_usuari!C585="","",Equips_usuari!C585)</f>
        <v/>
      </c>
      <c r="D585" s="9" t="str">
        <f aca="false">IF(Equips_usuari!D585="","",Equips_usuari!D585)</f>
        <v/>
      </c>
      <c r="E585" s="9" t="str">
        <f aca="false">IF(Equips_usuari!F585="","",Equips_usuari!F585)</f>
        <v/>
      </c>
      <c r="F585" s="9" t="str">
        <f aca="false">IF($C585="","",SUMIFS(Resultats_jugadores!$C:$C,Resultats_jugadores!$A:$A,$A585,Resultats_jugadores!$B:$B,$C585))</f>
        <v/>
      </c>
      <c r="G585" s="9" t="str">
        <f aca="false">IF($C585="","",SUMIFS(Resultats_jugadores!$D:$D,Resultats_jugadores!$A:$A,$A585,Resultats_jugadores!$B:$B,$C585))</f>
        <v/>
      </c>
      <c r="H585" s="9" t="str">
        <f aca="false">IF($C585="","",N($F585)-N($G585))</f>
        <v/>
      </c>
      <c r="I585" s="9" t="str">
        <f aca="false">IF($C585="","",IFERROR(INDEX(Partits!$C:$C,MATCH($A585&amp;"_"&amp;$D585,Partits!$D:$D,0)),""))</f>
        <v/>
      </c>
      <c r="J585" s="9" t="str">
        <f aca="false">IF($C585="","",IF(AND($I585="V",N($H585)&gt;0),1.2,1))</f>
        <v/>
      </c>
      <c r="K585" s="9" t="str">
        <f aca="false">IF($C585="","",N($H585)*$J585)</f>
        <v/>
      </c>
      <c r="L585" s="9" t="str">
        <f aca="false">IF($C585="","",IF($E585="SI",2,1))</f>
        <v/>
      </c>
      <c r="M585" s="9" t="str">
        <f aca="false">IF($C585="","",$K585*$L585)</f>
        <v/>
      </c>
    </row>
    <row r="586" customFormat="false" ht="15" hidden="false" customHeight="true" outlineLevel="0" collapsed="false">
      <c r="A586" s="9" t="str">
        <f aca="false">IF(Equips_usuari!A586="","",Equips_usuari!A586)</f>
        <v/>
      </c>
      <c r="B586" s="9" t="str">
        <f aca="false">IF(Equips_usuari!B586="","",Equips_usuari!B586)</f>
        <v/>
      </c>
      <c r="C586" s="9" t="str">
        <f aca="false">IF(Equips_usuari!C586="","",Equips_usuari!C586)</f>
        <v/>
      </c>
      <c r="D586" s="9" t="str">
        <f aca="false">IF(Equips_usuari!D586="","",Equips_usuari!D586)</f>
        <v/>
      </c>
      <c r="E586" s="9" t="str">
        <f aca="false">IF(Equips_usuari!F586="","",Equips_usuari!F586)</f>
        <v/>
      </c>
      <c r="F586" s="9" t="str">
        <f aca="false">IF($C586="","",SUMIFS(Resultats_jugadores!$C:$C,Resultats_jugadores!$A:$A,$A586,Resultats_jugadores!$B:$B,$C586))</f>
        <v/>
      </c>
      <c r="G586" s="9" t="str">
        <f aca="false">IF($C586="","",SUMIFS(Resultats_jugadores!$D:$D,Resultats_jugadores!$A:$A,$A586,Resultats_jugadores!$B:$B,$C586))</f>
        <v/>
      </c>
      <c r="H586" s="9" t="str">
        <f aca="false">IF($C586="","",N($F586)-N($G586))</f>
        <v/>
      </c>
      <c r="I586" s="9" t="str">
        <f aca="false">IF($C586="","",IFERROR(INDEX(Partits!$C:$C,MATCH($A586&amp;"_"&amp;$D586,Partits!$D:$D,0)),""))</f>
        <v/>
      </c>
      <c r="J586" s="9" t="str">
        <f aca="false">IF($C586="","",IF(AND($I586="V",N($H586)&gt;0),1.2,1))</f>
        <v/>
      </c>
      <c r="K586" s="9" t="str">
        <f aca="false">IF($C586="","",N($H586)*$J586)</f>
        <v/>
      </c>
      <c r="L586" s="9" t="str">
        <f aca="false">IF($C586="","",IF($E586="SI",2,1))</f>
        <v/>
      </c>
      <c r="M586" s="9" t="str">
        <f aca="false">IF($C586="","",$K586*$L586)</f>
        <v/>
      </c>
    </row>
    <row r="587" customFormat="false" ht="15" hidden="false" customHeight="true" outlineLevel="0" collapsed="false">
      <c r="A587" s="9" t="str">
        <f aca="false">IF(Equips_usuari!A587="","",Equips_usuari!A587)</f>
        <v/>
      </c>
      <c r="B587" s="9" t="str">
        <f aca="false">IF(Equips_usuari!B587="","",Equips_usuari!B587)</f>
        <v/>
      </c>
      <c r="C587" s="9" t="str">
        <f aca="false">IF(Equips_usuari!C587="","",Equips_usuari!C587)</f>
        <v/>
      </c>
      <c r="D587" s="9" t="str">
        <f aca="false">IF(Equips_usuari!D587="","",Equips_usuari!D587)</f>
        <v/>
      </c>
      <c r="E587" s="9" t="str">
        <f aca="false">IF(Equips_usuari!F587="","",Equips_usuari!F587)</f>
        <v/>
      </c>
      <c r="F587" s="9" t="str">
        <f aca="false">IF($C587="","",SUMIFS(Resultats_jugadores!$C:$C,Resultats_jugadores!$A:$A,$A587,Resultats_jugadores!$B:$B,$C587))</f>
        <v/>
      </c>
      <c r="G587" s="9" t="str">
        <f aca="false">IF($C587="","",SUMIFS(Resultats_jugadores!$D:$D,Resultats_jugadores!$A:$A,$A587,Resultats_jugadores!$B:$B,$C587))</f>
        <v/>
      </c>
      <c r="H587" s="9" t="str">
        <f aca="false">IF($C587="","",N($F587)-N($G587))</f>
        <v/>
      </c>
      <c r="I587" s="9" t="str">
        <f aca="false">IF($C587="","",IFERROR(INDEX(Partits!$C:$C,MATCH($A587&amp;"_"&amp;$D587,Partits!$D:$D,0)),""))</f>
        <v/>
      </c>
      <c r="J587" s="9" t="str">
        <f aca="false">IF($C587="","",IF(AND($I587="V",N($H587)&gt;0),1.2,1))</f>
        <v/>
      </c>
      <c r="K587" s="9" t="str">
        <f aca="false">IF($C587="","",N($H587)*$J587)</f>
        <v/>
      </c>
      <c r="L587" s="9" t="str">
        <f aca="false">IF($C587="","",IF($E587="SI",2,1))</f>
        <v/>
      </c>
      <c r="M587" s="9" t="str">
        <f aca="false">IF($C587="","",$K587*$L587)</f>
        <v/>
      </c>
    </row>
    <row r="588" customFormat="false" ht="15" hidden="false" customHeight="true" outlineLevel="0" collapsed="false">
      <c r="A588" s="9" t="str">
        <f aca="false">IF(Equips_usuari!A588="","",Equips_usuari!A588)</f>
        <v/>
      </c>
      <c r="B588" s="9" t="str">
        <f aca="false">IF(Equips_usuari!B588="","",Equips_usuari!B588)</f>
        <v/>
      </c>
      <c r="C588" s="9" t="str">
        <f aca="false">IF(Equips_usuari!C588="","",Equips_usuari!C588)</f>
        <v/>
      </c>
      <c r="D588" s="9" t="str">
        <f aca="false">IF(Equips_usuari!D588="","",Equips_usuari!D588)</f>
        <v/>
      </c>
      <c r="E588" s="9" t="str">
        <f aca="false">IF(Equips_usuari!F588="","",Equips_usuari!F588)</f>
        <v/>
      </c>
      <c r="F588" s="9" t="str">
        <f aca="false">IF($C588="","",SUMIFS(Resultats_jugadores!$C:$C,Resultats_jugadores!$A:$A,$A588,Resultats_jugadores!$B:$B,$C588))</f>
        <v/>
      </c>
      <c r="G588" s="9" t="str">
        <f aca="false">IF($C588="","",SUMIFS(Resultats_jugadores!$D:$D,Resultats_jugadores!$A:$A,$A588,Resultats_jugadores!$B:$B,$C588))</f>
        <v/>
      </c>
      <c r="H588" s="9" t="str">
        <f aca="false">IF($C588="","",N($F588)-N($G588))</f>
        <v/>
      </c>
      <c r="I588" s="9" t="str">
        <f aca="false">IF($C588="","",IFERROR(INDEX(Partits!$C:$C,MATCH($A588&amp;"_"&amp;$D588,Partits!$D:$D,0)),""))</f>
        <v/>
      </c>
      <c r="J588" s="9" t="str">
        <f aca="false">IF($C588="","",IF(AND($I588="V",N($H588)&gt;0),1.2,1))</f>
        <v/>
      </c>
      <c r="K588" s="9" t="str">
        <f aca="false">IF($C588="","",N($H588)*$J588)</f>
        <v/>
      </c>
      <c r="L588" s="9" t="str">
        <f aca="false">IF($C588="","",IF($E588="SI",2,1))</f>
        <v/>
      </c>
      <c r="M588" s="9" t="str">
        <f aca="false">IF($C588="","",$K588*$L588)</f>
        <v/>
      </c>
    </row>
    <row r="589" customFormat="false" ht="15" hidden="false" customHeight="true" outlineLevel="0" collapsed="false">
      <c r="A589" s="9" t="str">
        <f aca="false">IF(Equips_usuari!A589="","",Equips_usuari!A589)</f>
        <v/>
      </c>
      <c r="B589" s="9" t="str">
        <f aca="false">IF(Equips_usuari!B589="","",Equips_usuari!B589)</f>
        <v/>
      </c>
      <c r="C589" s="9" t="str">
        <f aca="false">IF(Equips_usuari!C589="","",Equips_usuari!C589)</f>
        <v/>
      </c>
      <c r="D589" s="9" t="str">
        <f aca="false">IF(Equips_usuari!D589="","",Equips_usuari!D589)</f>
        <v/>
      </c>
      <c r="E589" s="9" t="str">
        <f aca="false">IF(Equips_usuari!F589="","",Equips_usuari!F589)</f>
        <v/>
      </c>
      <c r="F589" s="9" t="str">
        <f aca="false">IF($C589="","",SUMIFS(Resultats_jugadores!$C:$C,Resultats_jugadores!$A:$A,$A589,Resultats_jugadores!$B:$B,$C589))</f>
        <v/>
      </c>
      <c r="G589" s="9" t="str">
        <f aca="false">IF($C589="","",SUMIFS(Resultats_jugadores!$D:$D,Resultats_jugadores!$A:$A,$A589,Resultats_jugadores!$B:$B,$C589))</f>
        <v/>
      </c>
      <c r="H589" s="9" t="str">
        <f aca="false">IF($C589="","",N($F589)-N($G589))</f>
        <v/>
      </c>
      <c r="I589" s="9" t="str">
        <f aca="false">IF($C589="","",IFERROR(INDEX(Partits!$C:$C,MATCH($A589&amp;"_"&amp;$D589,Partits!$D:$D,0)),""))</f>
        <v/>
      </c>
      <c r="J589" s="9" t="str">
        <f aca="false">IF($C589="","",IF(AND($I589="V",N($H589)&gt;0),1.2,1))</f>
        <v/>
      </c>
      <c r="K589" s="9" t="str">
        <f aca="false">IF($C589="","",N($H589)*$J589)</f>
        <v/>
      </c>
      <c r="L589" s="9" t="str">
        <f aca="false">IF($C589="","",IF($E589="SI",2,1))</f>
        <v/>
      </c>
      <c r="M589" s="9" t="str">
        <f aca="false">IF($C589="","",$K589*$L589)</f>
        <v/>
      </c>
    </row>
    <row r="590" customFormat="false" ht="15" hidden="false" customHeight="true" outlineLevel="0" collapsed="false">
      <c r="A590" s="9" t="str">
        <f aca="false">IF(Equips_usuari!A590="","",Equips_usuari!A590)</f>
        <v/>
      </c>
      <c r="B590" s="9" t="str">
        <f aca="false">IF(Equips_usuari!B590="","",Equips_usuari!B590)</f>
        <v/>
      </c>
      <c r="C590" s="9" t="str">
        <f aca="false">IF(Equips_usuari!C590="","",Equips_usuari!C590)</f>
        <v/>
      </c>
      <c r="D590" s="9" t="str">
        <f aca="false">IF(Equips_usuari!D590="","",Equips_usuari!D590)</f>
        <v/>
      </c>
      <c r="E590" s="9" t="str">
        <f aca="false">IF(Equips_usuari!F590="","",Equips_usuari!F590)</f>
        <v/>
      </c>
      <c r="F590" s="9" t="str">
        <f aca="false">IF($C590="","",SUMIFS(Resultats_jugadores!$C:$C,Resultats_jugadores!$A:$A,$A590,Resultats_jugadores!$B:$B,$C590))</f>
        <v/>
      </c>
      <c r="G590" s="9" t="str">
        <f aca="false">IF($C590="","",SUMIFS(Resultats_jugadores!$D:$D,Resultats_jugadores!$A:$A,$A590,Resultats_jugadores!$B:$B,$C590))</f>
        <v/>
      </c>
      <c r="H590" s="9" t="str">
        <f aca="false">IF($C590="","",N($F590)-N($G590))</f>
        <v/>
      </c>
      <c r="I590" s="9" t="str">
        <f aca="false">IF($C590="","",IFERROR(INDEX(Partits!$C:$C,MATCH($A590&amp;"_"&amp;$D590,Partits!$D:$D,0)),""))</f>
        <v/>
      </c>
      <c r="J590" s="9" t="str">
        <f aca="false">IF($C590="","",IF(AND($I590="V",N($H590)&gt;0),1.2,1))</f>
        <v/>
      </c>
      <c r="K590" s="9" t="str">
        <f aca="false">IF($C590="","",N($H590)*$J590)</f>
        <v/>
      </c>
      <c r="L590" s="9" t="str">
        <f aca="false">IF($C590="","",IF($E590="SI",2,1))</f>
        <v/>
      </c>
      <c r="M590" s="9" t="str">
        <f aca="false">IF($C590="","",$K590*$L590)</f>
        <v/>
      </c>
    </row>
    <row r="591" customFormat="false" ht="15" hidden="false" customHeight="true" outlineLevel="0" collapsed="false">
      <c r="A591" s="9" t="str">
        <f aca="false">IF(Equips_usuari!A591="","",Equips_usuari!A591)</f>
        <v/>
      </c>
      <c r="B591" s="9" t="str">
        <f aca="false">IF(Equips_usuari!B591="","",Equips_usuari!B591)</f>
        <v/>
      </c>
      <c r="C591" s="9" t="str">
        <f aca="false">IF(Equips_usuari!C591="","",Equips_usuari!C591)</f>
        <v/>
      </c>
      <c r="D591" s="9" t="str">
        <f aca="false">IF(Equips_usuari!D591="","",Equips_usuari!D591)</f>
        <v/>
      </c>
      <c r="E591" s="9" t="str">
        <f aca="false">IF(Equips_usuari!F591="","",Equips_usuari!F591)</f>
        <v/>
      </c>
      <c r="F591" s="9" t="str">
        <f aca="false">IF($C591="","",SUMIFS(Resultats_jugadores!$C:$C,Resultats_jugadores!$A:$A,$A591,Resultats_jugadores!$B:$B,$C591))</f>
        <v/>
      </c>
      <c r="G591" s="9" t="str">
        <f aca="false">IF($C591="","",SUMIFS(Resultats_jugadores!$D:$D,Resultats_jugadores!$A:$A,$A591,Resultats_jugadores!$B:$B,$C591))</f>
        <v/>
      </c>
      <c r="H591" s="9" t="str">
        <f aca="false">IF($C591="","",N($F591)-N($G591))</f>
        <v/>
      </c>
      <c r="I591" s="9" t="str">
        <f aca="false">IF($C591="","",IFERROR(INDEX(Partits!$C:$C,MATCH($A591&amp;"_"&amp;$D591,Partits!$D:$D,0)),""))</f>
        <v/>
      </c>
      <c r="J591" s="9" t="str">
        <f aca="false">IF($C591="","",IF(AND($I591="V",N($H591)&gt;0),1.2,1))</f>
        <v/>
      </c>
      <c r="K591" s="9" t="str">
        <f aca="false">IF($C591="","",N($H591)*$J591)</f>
        <v/>
      </c>
      <c r="L591" s="9" t="str">
        <f aca="false">IF($C591="","",IF($E591="SI",2,1))</f>
        <v/>
      </c>
      <c r="M591" s="9" t="str">
        <f aca="false">IF($C591="","",$K591*$L591)</f>
        <v/>
      </c>
    </row>
    <row r="592" customFormat="false" ht="15" hidden="false" customHeight="true" outlineLevel="0" collapsed="false">
      <c r="A592" s="9" t="str">
        <f aca="false">IF(Equips_usuari!A592="","",Equips_usuari!A592)</f>
        <v/>
      </c>
      <c r="B592" s="9" t="str">
        <f aca="false">IF(Equips_usuari!B592="","",Equips_usuari!B592)</f>
        <v/>
      </c>
      <c r="C592" s="9" t="str">
        <f aca="false">IF(Equips_usuari!C592="","",Equips_usuari!C592)</f>
        <v/>
      </c>
      <c r="D592" s="9" t="str">
        <f aca="false">IF(Equips_usuari!D592="","",Equips_usuari!D592)</f>
        <v/>
      </c>
      <c r="E592" s="9" t="str">
        <f aca="false">IF(Equips_usuari!F592="","",Equips_usuari!F592)</f>
        <v/>
      </c>
      <c r="F592" s="9" t="str">
        <f aca="false">IF($C592="","",SUMIFS(Resultats_jugadores!$C:$C,Resultats_jugadores!$A:$A,$A592,Resultats_jugadores!$B:$B,$C592))</f>
        <v/>
      </c>
      <c r="G592" s="9" t="str">
        <f aca="false">IF($C592="","",SUMIFS(Resultats_jugadores!$D:$D,Resultats_jugadores!$A:$A,$A592,Resultats_jugadores!$B:$B,$C592))</f>
        <v/>
      </c>
      <c r="H592" s="9" t="str">
        <f aca="false">IF($C592="","",N($F592)-N($G592))</f>
        <v/>
      </c>
      <c r="I592" s="9" t="str">
        <f aca="false">IF($C592="","",IFERROR(INDEX(Partits!$C:$C,MATCH($A592&amp;"_"&amp;$D592,Partits!$D:$D,0)),""))</f>
        <v/>
      </c>
      <c r="J592" s="9" t="str">
        <f aca="false">IF($C592="","",IF(AND($I592="V",N($H592)&gt;0),1.2,1))</f>
        <v/>
      </c>
      <c r="K592" s="9" t="str">
        <f aca="false">IF($C592="","",N($H592)*$J592)</f>
        <v/>
      </c>
      <c r="L592" s="9" t="str">
        <f aca="false">IF($C592="","",IF($E592="SI",2,1))</f>
        <v/>
      </c>
      <c r="M592" s="9" t="str">
        <f aca="false">IF($C592="","",$K592*$L592)</f>
        <v/>
      </c>
    </row>
    <row r="593" customFormat="false" ht="15" hidden="false" customHeight="true" outlineLevel="0" collapsed="false">
      <c r="A593" s="9" t="str">
        <f aca="false">IF(Equips_usuari!A593="","",Equips_usuari!A593)</f>
        <v/>
      </c>
      <c r="B593" s="9" t="str">
        <f aca="false">IF(Equips_usuari!B593="","",Equips_usuari!B593)</f>
        <v/>
      </c>
      <c r="C593" s="9" t="str">
        <f aca="false">IF(Equips_usuari!C593="","",Equips_usuari!C593)</f>
        <v/>
      </c>
      <c r="D593" s="9" t="str">
        <f aca="false">IF(Equips_usuari!D593="","",Equips_usuari!D593)</f>
        <v/>
      </c>
      <c r="E593" s="9" t="str">
        <f aca="false">IF(Equips_usuari!F593="","",Equips_usuari!F593)</f>
        <v/>
      </c>
      <c r="F593" s="9" t="str">
        <f aca="false">IF($C593="","",SUMIFS(Resultats_jugadores!$C:$C,Resultats_jugadores!$A:$A,$A593,Resultats_jugadores!$B:$B,$C593))</f>
        <v/>
      </c>
      <c r="G593" s="9" t="str">
        <f aca="false">IF($C593="","",SUMIFS(Resultats_jugadores!$D:$D,Resultats_jugadores!$A:$A,$A593,Resultats_jugadores!$B:$B,$C593))</f>
        <v/>
      </c>
      <c r="H593" s="9" t="str">
        <f aca="false">IF($C593="","",N($F593)-N($G593))</f>
        <v/>
      </c>
      <c r="I593" s="9" t="str">
        <f aca="false">IF($C593="","",IFERROR(INDEX(Partits!$C:$C,MATCH($A593&amp;"_"&amp;$D593,Partits!$D:$D,0)),""))</f>
        <v/>
      </c>
      <c r="J593" s="9" t="str">
        <f aca="false">IF($C593="","",IF(AND($I593="V",N($H593)&gt;0),1.2,1))</f>
        <v/>
      </c>
      <c r="K593" s="9" t="str">
        <f aca="false">IF($C593="","",N($H593)*$J593)</f>
        <v/>
      </c>
      <c r="L593" s="9" t="str">
        <f aca="false">IF($C593="","",IF($E593="SI",2,1))</f>
        <v/>
      </c>
      <c r="M593" s="9" t="str">
        <f aca="false">IF($C593="","",$K593*$L593)</f>
        <v/>
      </c>
    </row>
    <row r="594" customFormat="false" ht="15" hidden="false" customHeight="true" outlineLevel="0" collapsed="false">
      <c r="A594" s="9" t="str">
        <f aca="false">IF(Equips_usuari!A594="","",Equips_usuari!A594)</f>
        <v/>
      </c>
      <c r="B594" s="9" t="str">
        <f aca="false">IF(Equips_usuari!B594="","",Equips_usuari!B594)</f>
        <v/>
      </c>
      <c r="C594" s="9" t="str">
        <f aca="false">IF(Equips_usuari!C594="","",Equips_usuari!C594)</f>
        <v/>
      </c>
      <c r="D594" s="9" t="str">
        <f aca="false">IF(Equips_usuari!D594="","",Equips_usuari!D594)</f>
        <v/>
      </c>
      <c r="E594" s="9" t="str">
        <f aca="false">IF(Equips_usuari!F594="","",Equips_usuari!F594)</f>
        <v/>
      </c>
      <c r="F594" s="9" t="str">
        <f aca="false">IF($C594="","",SUMIFS(Resultats_jugadores!$C:$C,Resultats_jugadores!$A:$A,$A594,Resultats_jugadores!$B:$B,$C594))</f>
        <v/>
      </c>
      <c r="G594" s="9" t="str">
        <f aca="false">IF($C594="","",SUMIFS(Resultats_jugadores!$D:$D,Resultats_jugadores!$A:$A,$A594,Resultats_jugadores!$B:$B,$C594))</f>
        <v/>
      </c>
      <c r="H594" s="9" t="str">
        <f aca="false">IF($C594="","",N($F594)-N($G594))</f>
        <v/>
      </c>
      <c r="I594" s="9" t="str">
        <f aca="false">IF($C594="","",IFERROR(INDEX(Partits!$C:$C,MATCH($A594&amp;"_"&amp;$D594,Partits!$D:$D,0)),""))</f>
        <v/>
      </c>
      <c r="J594" s="9" t="str">
        <f aca="false">IF($C594="","",IF(AND($I594="V",N($H594)&gt;0),1.2,1))</f>
        <v/>
      </c>
      <c r="K594" s="9" t="str">
        <f aca="false">IF($C594="","",N($H594)*$J594)</f>
        <v/>
      </c>
      <c r="L594" s="9" t="str">
        <f aca="false">IF($C594="","",IF($E594="SI",2,1))</f>
        <v/>
      </c>
      <c r="M594" s="9" t="str">
        <f aca="false">IF($C594="","",$K594*$L594)</f>
        <v/>
      </c>
    </row>
    <row r="595" customFormat="false" ht="15" hidden="false" customHeight="true" outlineLevel="0" collapsed="false">
      <c r="A595" s="9" t="str">
        <f aca="false">IF(Equips_usuari!A595="","",Equips_usuari!A595)</f>
        <v/>
      </c>
      <c r="B595" s="9" t="str">
        <f aca="false">IF(Equips_usuari!B595="","",Equips_usuari!B595)</f>
        <v/>
      </c>
      <c r="C595" s="9" t="str">
        <f aca="false">IF(Equips_usuari!C595="","",Equips_usuari!C595)</f>
        <v/>
      </c>
      <c r="D595" s="9" t="str">
        <f aca="false">IF(Equips_usuari!D595="","",Equips_usuari!D595)</f>
        <v/>
      </c>
      <c r="E595" s="9" t="str">
        <f aca="false">IF(Equips_usuari!F595="","",Equips_usuari!F595)</f>
        <v/>
      </c>
      <c r="F595" s="9" t="str">
        <f aca="false">IF($C595="","",SUMIFS(Resultats_jugadores!$C:$C,Resultats_jugadores!$A:$A,$A595,Resultats_jugadores!$B:$B,$C595))</f>
        <v/>
      </c>
      <c r="G595" s="9" t="str">
        <f aca="false">IF($C595="","",SUMIFS(Resultats_jugadores!$D:$D,Resultats_jugadores!$A:$A,$A595,Resultats_jugadores!$B:$B,$C595))</f>
        <v/>
      </c>
      <c r="H595" s="9" t="str">
        <f aca="false">IF($C595="","",N($F595)-N($G595))</f>
        <v/>
      </c>
      <c r="I595" s="9" t="str">
        <f aca="false">IF($C595="","",IFERROR(INDEX(Partits!$C:$C,MATCH($A595&amp;"_"&amp;$D595,Partits!$D:$D,0)),""))</f>
        <v/>
      </c>
      <c r="J595" s="9" t="str">
        <f aca="false">IF($C595="","",IF(AND($I595="V",N($H595)&gt;0),1.2,1))</f>
        <v/>
      </c>
      <c r="K595" s="9" t="str">
        <f aca="false">IF($C595="","",N($H595)*$J595)</f>
        <v/>
      </c>
      <c r="L595" s="9" t="str">
        <f aca="false">IF($C595="","",IF($E595="SI",2,1))</f>
        <v/>
      </c>
      <c r="M595" s="9" t="str">
        <f aca="false">IF($C595="","",$K595*$L595)</f>
        <v/>
      </c>
    </row>
    <row r="596" customFormat="false" ht="15" hidden="false" customHeight="true" outlineLevel="0" collapsed="false">
      <c r="A596" s="9" t="str">
        <f aca="false">IF(Equips_usuari!A596="","",Equips_usuari!A596)</f>
        <v/>
      </c>
      <c r="B596" s="9" t="str">
        <f aca="false">IF(Equips_usuari!B596="","",Equips_usuari!B596)</f>
        <v/>
      </c>
      <c r="C596" s="9" t="str">
        <f aca="false">IF(Equips_usuari!C596="","",Equips_usuari!C596)</f>
        <v/>
      </c>
      <c r="D596" s="9" t="str">
        <f aca="false">IF(Equips_usuari!D596="","",Equips_usuari!D596)</f>
        <v/>
      </c>
      <c r="E596" s="9" t="str">
        <f aca="false">IF(Equips_usuari!F596="","",Equips_usuari!F596)</f>
        <v/>
      </c>
      <c r="F596" s="9" t="str">
        <f aca="false">IF($C596="","",SUMIFS(Resultats_jugadores!$C:$C,Resultats_jugadores!$A:$A,$A596,Resultats_jugadores!$B:$B,$C596))</f>
        <v/>
      </c>
      <c r="G596" s="9" t="str">
        <f aca="false">IF($C596="","",SUMIFS(Resultats_jugadores!$D:$D,Resultats_jugadores!$A:$A,$A596,Resultats_jugadores!$B:$B,$C596))</f>
        <v/>
      </c>
      <c r="H596" s="9" t="str">
        <f aca="false">IF($C596="","",N($F596)-N($G596))</f>
        <v/>
      </c>
      <c r="I596" s="9" t="str">
        <f aca="false">IF($C596="","",IFERROR(INDEX(Partits!$C:$C,MATCH($A596&amp;"_"&amp;$D596,Partits!$D:$D,0)),""))</f>
        <v/>
      </c>
      <c r="J596" s="9" t="str">
        <f aca="false">IF($C596="","",IF(AND($I596="V",N($H596)&gt;0),1.2,1))</f>
        <v/>
      </c>
      <c r="K596" s="9" t="str">
        <f aca="false">IF($C596="","",N($H596)*$J596)</f>
        <v/>
      </c>
      <c r="L596" s="9" t="str">
        <f aca="false">IF($C596="","",IF($E596="SI",2,1))</f>
        <v/>
      </c>
      <c r="M596" s="9" t="str">
        <f aca="false">IF($C596="","",$K596*$L596)</f>
        <v/>
      </c>
    </row>
    <row r="597" customFormat="false" ht="15" hidden="false" customHeight="true" outlineLevel="0" collapsed="false">
      <c r="A597" s="9" t="str">
        <f aca="false">IF(Equips_usuari!A597="","",Equips_usuari!A597)</f>
        <v/>
      </c>
      <c r="B597" s="9" t="str">
        <f aca="false">IF(Equips_usuari!B597="","",Equips_usuari!B597)</f>
        <v/>
      </c>
      <c r="C597" s="9" t="str">
        <f aca="false">IF(Equips_usuari!C597="","",Equips_usuari!C597)</f>
        <v/>
      </c>
      <c r="D597" s="9" t="str">
        <f aca="false">IF(Equips_usuari!D597="","",Equips_usuari!D597)</f>
        <v/>
      </c>
      <c r="E597" s="9" t="str">
        <f aca="false">IF(Equips_usuari!F597="","",Equips_usuari!F597)</f>
        <v/>
      </c>
      <c r="F597" s="9" t="str">
        <f aca="false">IF($C597="","",SUMIFS(Resultats_jugadores!$C:$C,Resultats_jugadores!$A:$A,$A597,Resultats_jugadores!$B:$B,$C597))</f>
        <v/>
      </c>
      <c r="G597" s="9" t="str">
        <f aca="false">IF($C597="","",SUMIFS(Resultats_jugadores!$D:$D,Resultats_jugadores!$A:$A,$A597,Resultats_jugadores!$B:$B,$C597))</f>
        <v/>
      </c>
      <c r="H597" s="9" t="str">
        <f aca="false">IF($C597="","",N($F597)-N($G597))</f>
        <v/>
      </c>
      <c r="I597" s="9" t="str">
        <f aca="false">IF($C597="","",IFERROR(INDEX(Partits!$C:$C,MATCH($A597&amp;"_"&amp;$D597,Partits!$D:$D,0)),""))</f>
        <v/>
      </c>
      <c r="J597" s="9" t="str">
        <f aca="false">IF($C597="","",IF(AND($I597="V",N($H597)&gt;0),1.2,1))</f>
        <v/>
      </c>
      <c r="K597" s="9" t="str">
        <f aca="false">IF($C597="","",N($H597)*$J597)</f>
        <v/>
      </c>
      <c r="L597" s="9" t="str">
        <f aca="false">IF($C597="","",IF($E597="SI",2,1))</f>
        <v/>
      </c>
      <c r="M597" s="9" t="str">
        <f aca="false">IF($C597="","",$K597*$L597)</f>
        <v/>
      </c>
    </row>
    <row r="598" customFormat="false" ht="15" hidden="false" customHeight="true" outlineLevel="0" collapsed="false">
      <c r="A598" s="9" t="str">
        <f aca="false">IF(Equips_usuari!A598="","",Equips_usuari!A598)</f>
        <v/>
      </c>
      <c r="B598" s="9" t="str">
        <f aca="false">IF(Equips_usuari!B598="","",Equips_usuari!B598)</f>
        <v/>
      </c>
      <c r="C598" s="9" t="str">
        <f aca="false">IF(Equips_usuari!C598="","",Equips_usuari!C598)</f>
        <v/>
      </c>
      <c r="D598" s="9" t="str">
        <f aca="false">IF(Equips_usuari!D598="","",Equips_usuari!D598)</f>
        <v/>
      </c>
      <c r="E598" s="9" t="str">
        <f aca="false">IF(Equips_usuari!F598="","",Equips_usuari!F598)</f>
        <v/>
      </c>
      <c r="F598" s="9" t="str">
        <f aca="false">IF($C598="","",SUMIFS(Resultats_jugadores!$C:$C,Resultats_jugadores!$A:$A,$A598,Resultats_jugadores!$B:$B,$C598))</f>
        <v/>
      </c>
      <c r="G598" s="9" t="str">
        <f aca="false">IF($C598="","",SUMIFS(Resultats_jugadores!$D:$D,Resultats_jugadores!$A:$A,$A598,Resultats_jugadores!$B:$B,$C598))</f>
        <v/>
      </c>
      <c r="H598" s="9" t="str">
        <f aca="false">IF($C598="","",N($F598)-N($G598))</f>
        <v/>
      </c>
      <c r="I598" s="9" t="str">
        <f aca="false">IF($C598="","",IFERROR(INDEX(Partits!$C:$C,MATCH($A598&amp;"_"&amp;$D598,Partits!$D:$D,0)),""))</f>
        <v/>
      </c>
      <c r="J598" s="9" t="str">
        <f aca="false">IF($C598="","",IF(AND($I598="V",N($H598)&gt;0),1.2,1))</f>
        <v/>
      </c>
      <c r="K598" s="9" t="str">
        <f aca="false">IF($C598="","",N($H598)*$J598)</f>
        <v/>
      </c>
      <c r="L598" s="9" t="str">
        <f aca="false">IF($C598="","",IF($E598="SI",2,1))</f>
        <v/>
      </c>
      <c r="M598" s="9" t="str">
        <f aca="false">IF($C598="","",$K598*$L598)</f>
        <v/>
      </c>
    </row>
    <row r="599" customFormat="false" ht="15" hidden="false" customHeight="true" outlineLevel="0" collapsed="false">
      <c r="A599" s="9" t="str">
        <f aca="false">IF(Equips_usuari!A599="","",Equips_usuari!A599)</f>
        <v/>
      </c>
      <c r="B599" s="9" t="str">
        <f aca="false">IF(Equips_usuari!B599="","",Equips_usuari!B599)</f>
        <v/>
      </c>
      <c r="C599" s="9" t="str">
        <f aca="false">IF(Equips_usuari!C599="","",Equips_usuari!C599)</f>
        <v/>
      </c>
      <c r="D599" s="9" t="str">
        <f aca="false">IF(Equips_usuari!D599="","",Equips_usuari!D599)</f>
        <v/>
      </c>
      <c r="E599" s="9" t="str">
        <f aca="false">IF(Equips_usuari!F599="","",Equips_usuari!F599)</f>
        <v/>
      </c>
      <c r="F599" s="9" t="str">
        <f aca="false">IF($C599="","",SUMIFS(Resultats_jugadores!$C:$C,Resultats_jugadores!$A:$A,$A599,Resultats_jugadores!$B:$B,$C599))</f>
        <v/>
      </c>
      <c r="G599" s="9" t="str">
        <f aca="false">IF($C599="","",SUMIFS(Resultats_jugadores!$D:$D,Resultats_jugadores!$A:$A,$A599,Resultats_jugadores!$B:$B,$C599))</f>
        <v/>
      </c>
      <c r="H599" s="9" t="str">
        <f aca="false">IF($C599="","",N($F599)-N($G599))</f>
        <v/>
      </c>
      <c r="I599" s="9" t="str">
        <f aca="false">IF($C599="","",IFERROR(INDEX(Partits!$C:$C,MATCH($A599&amp;"_"&amp;$D599,Partits!$D:$D,0)),""))</f>
        <v/>
      </c>
      <c r="J599" s="9" t="str">
        <f aca="false">IF($C599="","",IF(AND($I599="V",N($H599)&gt;0),1.2,1))</f>
        <v/>
      </c>
      <c r="K599" s="9" t="str">
        <f aca="false">IF($C599="","",N($H599)*$J599)</f>
        <v/>
      </c>
      <c r="L599" s="9" t="str">
        <f aca="false">IF($C599="","",IF($E599="SI",2,1))</f>
        <v/>
      </c>
      <c r="M599" s="9" t="str">
        <f aca="false">IF($C599="","",$K599*$L599)</f>
        <v/>
      </c>
    </row>
    <row r="600" customFormat="false" ht="15" hidden="false" customHeight="true" outlineLevel="0" collapsed="false">
      <c r="A600" s="9" t="str">
        <f aca="false">IF(Equips_usuari!A600="","",Equips_usuari!A600)</f>
        <v/>
      </c>
      <c r="B600" s="9" t="str">
        <f aca="false">IF(Equips_usuari!B600="","",Equips_usuari!B600)</f>
        <v/>
      </c>
      <c r="C600" s="9" t="str">
        <f aca="false">IF(Equips_usuari!C600="","",Equips_usuari!C600)</f>
        <v/>
      </c>
      <c r="D600" s="9" t="str">
        <f aca="false">IF(Equips_usuari!D600="","",Equips_usuari!D600)</f>
        <v/>
      </c>
      <c r="E600" s="9" t="str">
        <f aca="false">IF(Equips_usuari!F600="","",Equips_usuari!F600)</f>
        <v/>
      </c>
      <c r="F600" s="9" t="str">
        <f aca="false">IF($C600="","",SUMIFS(Resultats_jugadores!$C:$C,Resultats_jugadores!$A:$A,$A600,Resultats_jugadores!$B:$B,$C600))</f>
        <v/>
      </c>
      <c r="G600" s="9" t="str">
        <f aca="false">IF($C600="","",SUMIFS(Resultats_jugadores!$D:$D,Resultats_jugadores!$A:$A,$A600,Resultats_jugadores!$B:$B,$C600))</f>
        <v/>
      </c>
      <c r="H600" s="9" t="str">
        <f aca="false">IF($C600="","",N($F600)-N($G600))</f>
        <v/>
      </c>
      <c r="I600" s="9" t="str">
        <f aca="false">IF($C600="","",IFERROR(INDEX(Partits!$C:$C,MATCH($A600&amp;"_"&amp;$D600,Partits!$D:$D,0)),""))</f>
        <v/>
      </c>
      <c r="J600" s="9" t="str">
        <f aca="false">IF($C600="","",IF(AND($I600="V",N($H600)&gt;0),1.2,1))</f>
        <v/>
      </c>
      <c r="K600" s="9" t="str">
        <f aca="false">IF($C600="","",N($H600)*$J600)</f>
        <v/>
      </c>
      <c r="L600" s="9" t="str">
        <f aca="false">IF($C600="","",IF($E600="SI",2,1))</f>
        <v/>
      </c>
      <c r="M600" s="9" t="str">
        <f aca="false">IF($C600="","",$K600*$L600)</f>
        <v/>
      </c>
    </row>
    <row r="601" customFormat="false" ht="15" hidden="false" customHeight="true" outlineLevel="0" collapsed="false">
      <c r="A601" s="9" t="str">
        <f aca="false">IF(Equips_usuari!A601="","",Equips_usuari!A601)</f>
        <v/>
      </c>
      <c r="B601" s="9" t="str">
        <f aca="false">IF(Equips_usuari!B601="","",Equips_usuari!B601)</f>
        <v/>
      </c>
      <c r="C601" s="9" t="str">
        <f aca="false">IF(Equips_usuari!C601="","",Equips_usuari!C601)</f>
        <v/>
      </c>
      <c r="D601" s="9" t="str">
        <f aca="false">IF(Equips_usuari!D601="","",Equips_usuari!D601)</f>
        <v/>
      </c>
      <c r="E601" s="9" t="str">
        <f aca="false">IF(Equips_usuari!F601="","",Equips_usuari!F601)</f>
        <v/>
      </c>
      <c r="F601" s="9" t="str">
        <f aca="false">IF($C601="","",SUMIFS(Resultats_jugadores!$C:$C,Resultats_jugadores!$A:$A,$A601,Resultats_jugadores!$B:$B,$C601))</f>
        <v/>
      </c>
      <c r="G601" s="9" t="str">
        <f aca="false">IF($C601="","",SUMIFS(Resultats_jugadores!$D:$D,Resultats_jugadores!$A:$A,$A601,Resultats_jugadores!$B:$B,$C601))</f>
        <v/>
      </c>
      <c r="H601" s="9" t="str">
        <f aca="false">IF($C601="","",N($F601)-N($G601))</f>
        <v/>
      </c>
      <c r="I601" s="9" t="str">
        <f aca="false">IF($C601="","",IFERROR(INDEX(Partits!$C:$C,MATCH($A601&amp;"_"&amp;$D601,Partits!$D:$D,0)),""))</f>
        <v/>
      </c>
      <c r="J601" s="9" t="str">
        <f aca="false">IF($C601="","",IF(AND($I601="V",N($H601)&gt;0),1.2,1))</f>
        <v/>
      </c>
      <c r="K601" s="9" t="str">
        <f aca="false">IF($C601="","",N($H601)*$J601)</f>
        <v/>
      </c>
      <c r="L601" s="9" t="str">
        <f aca="false">IF($C601="","",IF($E601="SI",2,1))</f>
        <v/>
      </c>
      <c r="M601" s="9" t="str">
        <f aca="false">IF($C601="","",$K601*$L601)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7" width="10"/>
    <col collapsed="false" customWidth="true" hidden="false" outlineLevel="0" max="2" min="2" style="7" width="12"/>
    <col collapsed="false" customWidth="true" hidden="false" outlineLevel="0" max="3" min="3" style="7" width="14"/>
    <col collapsed="false" customWidth="true" hidden="false" outlineLevel="0" max="4" min="4" style="7" width="16"/>
    <col collapsed="false" customWidth="true" hidden="false" outlineLevel="0" max="5" min="5" style="7" width="14"/>
  </cols>
  <sheetData>
    <row r="1" customFormat="false" ht="15" hidden="false" customHeight="true" outlineLevel="0" collapsed="false">
      <c r="A1" s="8" t="s">
        <v>105</v>
      </c>
      <c r="B1" s="8" t="s">
        <v>131</v>
      </c>
      <c r="C1" s="8" t="s">
        <v>146</v>
      </c>
      <c r="D1" s="8" t="s">
        <v>139</v>
      </c>
      <c r="E1" s="8" t="s">
        <v>147</v>
      </c>
    </row>
    <row r="2" customFormat="false" ht="15" hidden="false" customHeight="true" outlineLevel="0" collapsed="false">
      <c r="A2" s="9" t="n">
        <v>1</v>
      </c>
      <c r="B2" s="9" t="s">
        <v>43</v>
      </c>
      <c r="C2" s="9" t="n">
        <f aca="false">SUMIFS(Calcul_puntuacio!$M:$M,Calcul_puntuacio!$A:$A,$A2,Calcul_puntuacio!$B:$B,$B2)</f>
        <v>19.2</v>
      </c>
      <c r="D2" s="9" t="n">
        <f aca="false">SUMIFS(Respostes_usuari!$F:$F,Respostes_usuari!$A:$A,$A2,Respostes_usuari!$B:$B,$B2)</f>
        <v>5</v>
      </c>
      <c r="E2" s="9" t="n">
        <f aca="false">N($C2)+N($D2)</f>
        <v>24.2</v>
      </c>
    </row>
    <row r="3" customFormat="false" ht="15" hidden="false" customHeight="true" outlineLevel="0" collapsed="false">
      <c r="A3" s="9" t="n">
        <v>1</v>
      </c>
      <c r="B3" s="9" t="s">
        <v>54</v>
      </c>
      <c r="C3" s="9" t="n">
        <f aca="false">SUMIFS(Calcul_puntuacio!$M:$M,Calcul_puntuacio!$A:$A,$A3,Calcul_puntuacio!$B:$B,$B3)</f>
        <v>0</v>
      </c>
      <c r="D3" s="9" t="n">
        <f aca="false">SUMIFS(Respostes_usuari!$F:$F,Respostes_usuari!$A:$A,$A3,Respostes_usuari!$B:$B,$B3)</f>
        <v>0</v>
      </c>
      <c r="E3" s="9" t="n">
        <f aca="false">N($C3)+N($D3)</f>
        <v>0</v>
      </c>
    </row>
    <row r="4" customFormat="false" ht="15" hidden="false" customHeight="true" outlineLevel="0" collapsed="false">
      <c r="A4" s="9" t="n">
        <v>1</v>
      </c>
      <c r="B4" s="9" t="s">
        <v>64</v>
      </c>
      <c r="C4" s="9" t="n">
        <f aca="false">SUMIFS(Calcul_puntuacio!$M:$M,Calcul_puntuacio!$A:$A,$A4,Calcul_puntuacio!$B:$B,$B4)</f>
        <v>0</v>
      </c>
      <c r="D4" s="9" t="n">
        <f aca="false">SUMIFS(Respostes_usuari!$F:$F,Respostes_usuari!$A:$A,$A4,Respostes_usuari!$B:$B,$B4)</f>
        <v>0</v>
      </c>
      <c r="E4" s="9" t="n">
        <f aca="false">N($C4)+N($D4)</f>
        <v>0</v>
      </c>
    </row>
    <row r="5" customFormat="false" ht="15" hidden="false" customHeight="true" outlineLevel="0" collapsed="false">
      <c r="A5" s="9" t="n">
        <v>1</v>
      </c>
      <c r="B5" s="9" t="s">
        <v>73</v>
      </c>
      <c r="C5" s="9" t="n">
        <f aca="false">SUMIFS(Calcul_puntuacio!$M:$M,Calcul_puntuacio!$A:$A,$A5,Calcul_puntuacio!$B:$B,$B5)</f>
        <v>0</v>
      </c>
      <c r="D5" s="9" t="n">
        <f aca="false">SUMIFS(Respostes_usuari!$F:$F,Respostes_usuari!$A:$A,$A5,Respostes_usuari!$B:$B,$B5)</f>
        <v>0</v>
      </c>
      <c r="E5" s="9" t="n">
        <f aca="false">N($C5)+N($D5)</f>
        <v>0</v>
      </c>
    </row>
    <row r="6" customFormat="false" ht="15" hidden="false" customHeight="true" outlineLevel="0" collapsed="false">
      <c r="A6" s="9" t="n">
        <v>1</v>
      </c>
      <c r="B6" s="9" t="s">
        <v>85</v>
      </c>
      <c r="C6" s="9" t="n">
        <f aca="false">SUMIFS(Calcul_puntuacio!$M:$M,Calcul_puntuacio!$A:$A,$A6,Calcul_puntuacio!$B:$B,$B6)</f>
        <v>0</v>
      </c>
      <c r="D6" s="9" t="n">
        <f aca="false">SUMIFS(Respostes_usuari!$F:$F,Respostes_usuari!$A:$A,$A6,Respostes_usuari!$B:$B,$B6)</f>
        <v>0</v>
      </c>
      <c r="E6" s="9" t="n">
        <f aca="false">N($C6)+N($D6)</f>
        <v>0</v>
      </c>
    </row>
    <row r="7" customFormat="false" ht="15" hidden="false" customHeight="true" outlineLevel="0" collapsed="false">
      <c r="A7" s="9" t="n">
        <v>1</v>
      </c>
      <c r="B7" s="9" t="s">
        <v>94</v>
      </c>
      <c r="C7" s="9" t="n">
        <f aca="false">SUMIFS(Calcul_puntuacio!$M:$M,Calcul_puntuacio!$A:$A,$A7,Calcul_puntuacio!$B:$B,$B7)</f>
        <v>0</v>
      </c>
      <c r="D7" s="9" t="n">
        <f aca="false">SUMIFS(Respostes_usuari!$F:$F,Respostes_usuari!$A:$A,$A7,Respostes_usuari!$B:$B,$B7)</f>
        <v>0</v>
      </c>
      <c r="E7" s="9" t="n">
        <f aca="false">N($C7)+N($D7)</f>
        <v>0</v>
      </c>
    </row>
    <row r="8" customFormat="false" ht="15" hidden="false" customHeight="true" outlineLevel="0" collapsed="false">
      <c r="A8" s="9" t="n">
        <v>1</v>
      </c>
      <c r="B8" s="9" t="s">
        <v>26</v>
      </c>
      <c r="C8" s="9" t="n">
        <f aca="false">SUMIFS(Calcul_puntuacio!$M:$M,Calcul_puntuacio!$A:$A,$A8,Calcul_puntuacio!$B:$B,$B8)</f>
        <v>0</v>
      </c>
      <c r="D8" s="9" t="n">
        <f aca="false">SUMIFS(Respostes_usuari!$F:$F,Respostes_usuari!$A:$A,$A8,Respostes_usuari!$B:$B,$B8)</f>
        <v>0</v>
      </c>
      <c r="E8" s="9" t="n">
        <f aca="false">N($C8)+N($D8)</f>
        <v>0</v>
      </c>
    </row>
    <row r="9" customFormat="false" ht="15" hidden="false" customHeight="true" outlineLevel="0" collapsed="false">
      <c r="A9" s="9" t="n">
        <v>2</v>
      </c>
      <c r="B9" s="9" t="s">
        <v>43</v>
      </c>
      <c r="C9" s="9" t="n">
        <f aca="false">SUMIFS(Calcul_puntuacio!$M:$M,Calcul_puntuacio!$A:$A,$A9,Calcul_puntuacio!$B:$B,$B9)</f>
        <v>0</v>
      </c>
      <c r="D9" s="9" t="n">
        <f aca="false">SUMIFS(Respostes_usuari!$F:$F,Respostes_usuari!$A:$A,$A9,Respostes_usuari!$B:$B,$B9)</f>
        <v>0</v>
      </c>
      <c r="E9" s="9" t="n">
        <f aca="false">N($C9)+N($D9)</f>
        <v>0</v>
      </c>
    </row>
    <row r="10" customFormat="false" ht="15" hidden="false" customHeight="true" outlineLevel="0" collapsed="false">
      <c r="A10" s="9" t="n">
        <v>2</v>
      </c>
      <c r="B10" s="9" t="s">
        <v>54</v>
      </c>
      <c r="C10" s="9" t="n">
        <f aca="false">SUMIFS(Calcul_puntuacio!$M:$M,Calcul_puntuacio!$A:$A,$A10,Calcul_puntuacio!$B:$B,$B10)</f>
        <v>0</v>
      </c>
      <c r="D10" s="9" t="n">
        <f aca="false">SUMIFS(Respostes_usuari!$F:$F,Respostes_usuari!$A:$A,$A10,Respostes_usuari!$B:$B,$B10)</f>
        <v>0</v>
      </c>
      <c r="E10" s="9" t="n">
        <f aca="false">N($C10)+N($D10)</f>
        <v>0</v>
      </c>
    </row>
    <row r="11" customFormat="false" ht="15" hidden="false" customHeight="true" outlineLevel="0" collapsed="false">
      <c r="A11" s="9" t="n">
        <v>2</v>
      </c>
      <c r="B11" s="9" t="s">
        <v>64</v>
      </c>
      <c r="C11" s="9" t="n">
        <f aca="false">SUMIFS(Calcul_puntuacio!$M:$M,Calcul_puntuacio!$A:$A,$A11,Calcul_puntuacio!$B:$B,$B11)</f>
        <v>0</v>
      </c>
      <c r="D11" s="9" t="n">
        <f aca="false">SUMIFS(Respostes_usuari!$F:$F,Respostes_usuari!$A:$A,$A11,Respostes_usuari!$B:$B,$B11)</f>
        <v>0</v>
      </c>
      <c r="E11" s="9" t="n">
        <f aca="false">N($C11)+N($D11)</f>
        <v>0</v>
      </c>
    </row>
    <row r="12" customFormat="false" ht="15" hidden="false" customHeight="true" outlineLevel="0" collapsed="false">
      <c r="A12" s="9" t="n">
        <v>2</v>
      </c>
      <c r="B12" s="9" t="s">
        <v>73</v>
      </c>
      <c r="C12" s="9" t="n">
        <f aca="false">SUMIFS(Calcul_puntuacio!$M:$M,Calcul_puntuacio!$A:$A,$A12,Calcul_puntuacio!$B:$B,$B12)</f>
        <v>0</v>
      </c>
      <c r="D12" s="9" t="n">
        <f aca="false">SUMIFS(Respostes_usuari!$F:$F,Respostes_usuari!$A:$A,$A12,Respostes_usuari!$B:$B,$B12)</f>
        <v>0</v>
      </c>
      <c r="E12" s="9" t="n">
        <f aca="false">N($C12)+N($D12)</f>
        <v>0</v>
      </c>
    </row>
    <row r="13" customFormat="false" ht="15" hidden="false" customHeight="true" outlineLevel="0" collapsed="false">
      <c r="A13" s="9" t="n">
        <v>2</v>
      </c>
      <c r="B13" s="9" t="s">
        <v>85</v>
      </c>
      <c r="C13" s="9" t="n">
        <f aca="false">SUMIFS(Calcul_puntuacio!$M:$M,Calcul_puntuacio!$A:$A,$A13,Calcul_puntuacio!$B:$B,$B13)</f>
        <v>0</v>
      </c>
      <c r="D13" s="9" t="n">
        <f aca="false">SUMIFS(Respostes_usuari!$F:$F,Respostes_usuari!$A:$A,$A13,Respostes_usuari!$B:$B,$B13)</f>
        <v>0</v>
      </c>
      <c r="E13" s="9" t="n">
        <f aca="false">N($C13)+N($D13)</f>
        <v>0</v>
      </c>
    </row>
    <row r="14" customFormat="false" ht="15" hidden="false" customHeight="true" outlineLevel="0" collapsed="false">
      <c r="A14" s="9" t="n">
        <v>2</v>
      </c>
      <c r="B14" s="9" t="s">
        <v>94</v>
      </c>
      <c r="C14" s="9" t="n">
        <f aca="false">SUMIFS(Calcul_puntuacio!$M:$M,Calcul_puntuacio!$A:$A,$A14,Calcul_puntuacio!$B:$B,$B14)</f>
        <v>0</v>
      </c>
      <c r="D14" s="9" t="n">
        <f aca="false">SUMIFS(Respostes_usuari!$F:$F,Respostes_usuari!$A:$A,$A14,Respostes_usuari!$B:$B,$B14)</f>
        <v>0</v>
      </c>
      <c r="E14" s="9" t="n">
        <f aca="false">N($C14)+N($D14)</f>
        <v>0</v>
      </c>
    </row>
    <row r="15" customFormat="false" ht="15" hidden="false" customHeight="true" outlineLevel="0" collapsed="false">
      <c r="A15" s="9" t="n">
        <v>2</v>
      </c>
      <c r="B15" s="9" t="s">
        <v>26</v>
      </c>
      <c r="C15" s="9" t="n">
        <f aca="false">SUMIFS(Calcul_puntuacio!$M:$M,Calcul_puntuacio!$A:$A,$A15,Calcul_puntuacio!$B:$B,$B15)</f>
        <v>0</v>
      </c>
      <c r="D15" s="9" t="n">
        <f aca="false">SUMIFS(Respostes_usuari!$F:$F,Respostes_usuari!$A:$A,$A15,Respostes_usuari!$B:$B,$B15)</f>
        <v>0</v>
      </c>
      <c r="E15" s="9" t="n">
        <f aca="false">N($C15)+N($D15)</f>
        <v>0</v>
      </c>
    </row>
    <row r="16" customFormat="false" ht="15" hidden="false" customHeight="true" outlineLevel="0" collapsed="false">
      <c r="A16" s="9" t="n">
        <v>3</v>
      </c>
      <c r="B16" s="9" t="s">
        <v>43</v>
      </c>
      <c r="C16" s="9" t="n">
        <f aca="false">SUMIFS(Calcul_puntuacio!$M:$M,Calcul_puntuacio!$A:$A,$A16,Calcul_puntuacio!$B:$B,$B16)</f>
        <v>0</v>
      </c>
      <c r="D16" s="9" t="n">
        <f aca="false">SUMIFS(Respostes_usuari!$F:$F,Respostes_usuari!$A:$A,$A16,Respostes_usuari!$B:$B,$B16)</f>
        <v>0</v>
      </c>
      <c r="E16" s="9" t="n">
        <f aca="false">N($C16)+N($D16)</f>
        <v>0</v>
      </c>
    </row>
    <row r="17" customFormat="false" ht="15" hidden="false" customHeight="true" outlineLevel="0" collapsed="false">
      <c r="A17" s="9" t="n">
        <v>3</v>
      </c>
      <c r="B17" s="9" t="s">
        <v>54</v>
      </c>
      <c r="C17" s="9" t="n">
        <f aca="false">SUMIFS(Calcul_puntuacio!$M:$M,Calcul_puntuacio!$A:$A,$A17,Calcul_puntuacio!$B:$B,$B17)</f>
        <v>0</v>
      </c>
      <c r="D17" s="9" t="n">
        <f aca="false">SUMIFS(Respostes_usuari!$F:$F,Respostes_usuari!$A:$A,$A17,Respostes_usuari!$B:$B,$B17)</f>
        <v>0</v>
      </c>
      <c r="E17" s="9" t="n">
        <f aca="false">N($C17)+N($D17)</f>
        <v>0</v>
      </c>
    </row>
    <row r="18" customFormat="false" ht="15" hidden="false" customHeight="true" outlineLevel="0" collapsed="false">
      <c r="A18" s="9" t="n">
        <v>3</v>
      </c>
      <c r="B18" s="9" t="s">
        <v>64</v>
      </c>
      <c r="C18" s="9" t="n">
        <f aca="false">SUMIFS(Calcul_puntuacio!$M:$M,Calcul_puntuacio!$A:$A,$A18,Calcul_puntuacio!$B:$B,$B18)</f>
        <v>0</v>
      </c>
      <c r="D18" s="9" t="n">
        <f aca="false">SUMIFS(Respostes_usuari!$F:$F,Respostes_usuari!$A:$A,$A18,Respostes_usuari!$B:$B,$B18)</f>
        <v>0</v>
      </c>
      <c r="E18" s="9" t="n">
        <f aca="false">N($C18)+N($D18)</f>
        <v>0</v>
      </c>
    </row>
    <row r="19" customFormat="false" ht="15" hidden="false" customHeight="true" outlineLevel="0" collapsed="false">
      <c r="A19" s="9" t="n">
        <v>3</v>
      </c>
      <c r="B19" s="9" t="s">
        <v>73</v>
      </c>
      <c r="C19" s="9" t="n">
        <f aca="false">SUMIFS(Calcul_puntuacio!$M:$M,Calcul_puntuacio!$A:$A,$A19,Calcul_puntuacio!$B:$B,$B19)</f>
        <v>0</v>
      </c>
      <c r="D19" s="9" t="n">
        <f aca="false">SUMIFS(Respostes_usuari!$F:$F,Respostes_usuari!$A:$A,$A19,Respostes_usuari!$B:$B,$B19)</f>
        <v>0</v>
      </c>
      <c r="E19" s="9" t="n">
        <f aca="false">N($C19)+N($D19)</f>
        <v>0</v>
      </c>
    </row>
    <row r="20" customFormat="false" ht="15" hidden="false" customHeight="true" outlineLevel="0" collapsed="false">
      <c r="A20" s="9" t="n">
        <v>3</v>
      </c>
      <c r="B20" s="9" t="s">
        <v>85</v>
      </c>
      <c r="C20" s="9" t="n">
        <f aca="false">SUMIFS(Calcul_puntuacio!$M:$M,Calcul_puntuacio!$A:$A,$A20,Calcul_puntuacio!$B:$B,$B20)</f>
        <v>0</v>
      </c>
      <c r="D20" s="9" t="n">
        <f aca="false">SUMIFS(Respostes_usuari!$F:$F,Respostes_usuari!$A:$A,$A20,Respostes_usuari!$B:$B,$B20)</f>
        <v>0</v>
      </c>
      <c r="E20" s="9" t="n">
        <f aca="false">N($C20)+N($D20)</f>
        <v>0</v>
      </c>
    </row>
    <row r="21" customFormat="false" ht="15" hidden="false" customHeight="true" outlineLevel="0" collapsed="false">
      <c r="A21" s="9" t="n">
        <v>3</v>
      </c>
      <c r="B21" s="9" t="s">
        <v>94</v>
      </c>
      <c r="C21" s="9" t="n">
        <f aca="false">SUMIFS(Calcul_puntuacio!$M:$M,Calcul_puntuacio!$A:$A,$A21,Calcul_puntuacio!$B:$B,$B21)</f>
        <v>0</v>
      </c>
      <c r="D21" s="9" t="n">
        <f aca="false">SUMIFS(Respostes_usuari!$F:$F,Respostes_usuari!$A:$A,$A21,Respostes_usuari!$B:$B,$B21)</f>
        <v>0</v>
      </c>
      <c r="E21" s="9" t="n">
        <f aca="false">N($C21)+N($D21)</f>
        <v>0</v>
      </c>
    </row>
    <row r="22" customFormat="false" ht="15" hidden="false" customHeight="true" outlineLevel="0" collapsed="false">
      <c r="A22" s="9" t="n">
        <v>3</v>
      </c>
      <c r="B22" s="9" t="s">
        <v>26</v>
      </c>
      <c r="C22" s="9" t="n">
        <f aca="false">SUMIFS(Calcul_puntuacio!$M:$M,Calcul_puntuacio!$A:$A,$A22,Calcul_puntuacio!$B:$B,$B22)</f>
        <v>0</v>
      </c>
      <c r="D22" s="9" t="n">
        <f aca="false">SUMIFS(Respostes_usuari!$F:$F,Respostes_usuari!$A:$A,$A22,Respostes_usuari!$B:$B,$B22)</f>
        <v>0</v>
      </c>
      <c r="E22" s="9" t="n">
        <f aca="false">N($C22)+N($D22)</f>
        <v>0</v>
      </c>
    </row>
    <row r="23" customFormat="false" ht="15" hidden="false" customHeight="true" outlineLevel="0" collapsed="false">
      <c r="A23" s="9" t="n">
        <v>4</v>
      </c>
      <c r="B23" s="9" t="s">
        <v>43</v>
      </c>
      <c r="C23" s="9" t="n">
        <f aca="false">SUMIFS(Calcul_puntuacio!$M:$M,Calcul_puntuacio!$A:$A,$A23,Calcul_puntuacio!$B:$B,$B23)</f>
        <v>0</v>
      </c>
      <c r="D23" s="9" t="n">
        <f aca="false">SUMIFS(Respostes_usuari!$F:$F,Respostes_usuari!$A:$A,$A23,Respostes_usuari!$B:$B,$B23)</f>
        <v>0</v>
      </c>
      <c r="E23" s="9" t="n">
        <f aca="false">N($C23)+N($D23)</f>
        <v>0</v>
      </c>
    </row>
    <row r="24" customFormat="false" ht="15" hidden="false" customHeight="true" outlineLevel="0" collapsed="false">
      <c r="A24" s="9" t="n">
        <v>4</v>
      </c>
      <c r="B24" s="9" t="s">
        <v>54</v>
      </c>
      <c r="C24" s="9" t="n">
        <f aca="false">SUMIFS(Calcul_puntuacio!$M:$M,Calcul_puntuacio!$A:$A,$A24,Calcul_puntuacio!$B:$B,$B24)</f>
        <v>0</v>
      </c>
      <c r="D24" s="9" t="n">
        <f aca="false">SUMIFS(Respostes_usuari!$F:$F,Respostes_usuari!$A:$A,$A24,Respostes_usuari!$B:$B,$B24)</f>
        <v>0</v>
      </c>
      <c r="E24" s="9" t="n">
        <f aca="false">N($C24)+N($D24)</f>
        <v>0</v>
      </c>
    </row>
    <row r="25" customFormat="false" ht="15" hidden="false" customHeight="true" outlineLevel="0" collapsed="false">
      <c r="A25" s="9" t="n">
        <v>4</v>
      </c>
      <c r="B25" s="9" t="s">
        <v>64</v>
      </c>
      <c r="C25" s="9" t="n">
        <f aca="false">SUMIFS(Calcul_puntuacio!$M:$M,Calcul_puntuacio!$A:$A,$A25,Calcul_puntuacio!$B:$B,$B25)</f>
        <v>0</v>
      </c>
      <c r="D25" s="9" t="n">
        <f aca="false">SUMIFS(Respostes_usuari!$F:$F,Respostes_usuari!$A:$A,$A25,Respostes_usuari!$B:$B,$B25)</f>
        <v>0</v>
      </c>
      <c r="E25" s="9" t="n">
        <f aca="false">N($C25)+N($D25)</f>
        <v>0</v>
      </c>
    </row>
    <row r="26" customFormat="false" ht="15" hidden="false" customHeight="true" outlineLevel="0" collapsed="false">
      <c r="A26" s="9" t="n">
        <v>4</v>
      </c>
      <c r="B26" s="9" t="s">
        <v>73</v>
      </c>
      <c r="C26" s="9" t="n">
        <f aca="false">SUMIFS(Calcul_puntuacio!$M:$M,Calcul_puntuacio!$A:$A,$A26,Calcul_puntuacio!$B:$B,$B26)</f>
        <v>0</v>
      </c>
      <c r="D26" s="9" t="n">
        <f aca="false">SUMIFS(Respostes_usuari!$F:$F,Respostes_usuari!$A:$A,$A26,Respostes_usuari!$B:$B,$B26)</f>
        <v>0</v>
      </c>
      <c r="E26" s="9" t="n">
        <f aca="false">N($C26)+N($D26)</f>
        <v>0</v>
      </c>
    </row>
    <row r="27" customFormat="false" ht="15" hidden="false" customHeight="true" outlineLevel="0" collapsed="false">
      <c r="A27" s="9" t="n">
        <v>4</v>
      </c>
      <c r="B27" s="9" t="s">
        <v>85</v>
      </c>
      <c r="C27" s="9" t="n">
        <f aca="false">SUMIFS(Calcul_puntuacio!$M:$M,Calcul_puntuacio!$A:$A,$A27,Calcul_puntuacio!$B:$B,$B27)</f>
        <v>0</v>
      </c>
      <c r="D27" s="9" t="n">
        <f aca="false">SUMIFS(Respostes_usuari!$F:$F,Respostes_usuari!$A:$A,$A27,Respostes_usuari!$B:$B,$B27)</f>
        <v>0</v>
      </c>
      <c r="E27" s="9" t="n">
        <f aca="false">N($C27)+N($D27)</f>
        <v>0</v>
      </c>
    </row>
    <row r="28" customFormat="false" ht="15" hidden="false" customHeight="true" outlineLevel="0" collapsed="false">
      <c r="A28" s="9" t="n">
        <v>4</v>
      </c>
      <c r="B28" s="9" t="s">
        <v>94</v>
      </c>
      <c r="C28" s="9" t="n">
        <f aca="false">SUMIFS(Calcul_puntuacio!$M:$M,Calcul_puntuacio!$A:$A,$A28,Calcul_puntuacio!$B:$B,$B28)</f>
        <v>0</v>
      </c>
      <c r="D28" s="9" t="n">
        <f aca="false">SUMIFS(Respostes_usuari!$F:$F,Respostes_usuari!$A:$A,$A28,Respostes_usuari!$B:$B,$B28)</f>
        <v>0</v>
      </c>
      <c r="E28" s="9" t="n">
        <f aca="false">N($C28)+N($D28)</f>
        <v>0</v>
      </c>
    </row>
    <row r="29" customFormat="false" ht="15" hidden="false" customHeight="true" outlineLevel="0" collapsed="false">
      <c r="A29" s="9" t="n">
        <v>4</v>
      </c>
      <c r="B29" s="9" t="s">
        <v>26</v>
      </c>
      <c r="C29" s="9" t="n">
        <f aca="false">SUMIFS(Calcul_puntuacio!$M:$M,Calcul_puntuacio!$A:$A,$A29,Calcul_puntuacio!$B:$B,$B29)</f>
        <v>0</v>
      </c>
      <c r="D29" s="9" t="n">
        <f aca="false">SUMIFS(Respostes_usuari!$F:$F,Respostes_usuari!$A:$A,$A29,Respostes_usuari!$B:$B,$B29)</f>
        <v>0</v>
      </c>
      <c r="E29" s="9" t="n">
        <f aca="false">N($C29)+N($D29)</f>
        <v>0</v>
      </c>
    </row>
    <row r="30" customFormat="false" ht="15" hidden="false" customHeight="true" outlineLevel="0" collapsed="false">
      <c r="A30" s="9" t="n">
        <v>5</v>
      </c>
      <c r="B30" s="9" t="s">
        <v>43</v>
      </c>
      <c r="C30" s="9" t="n">
        <f aca="false">SUMIFS(Calcul_puntuacio!$M:$M,Calcul_puntuacio!$A:$A,$A30,Calcul_puntuacio!$B:$B,$B30)</f>
        <v>0</v>
      </c>
      <c r="D30" s="9" t="n">
        <f aca="false">SUMIFS(Respostes_usuari!$F:$F,Respostes_usuari!$A:$A,$A30,Respostes_usuari!$B:$B,$B30)</f>
        <v>0</v>
      </c>
      <c r="E30" s="9" t="n">
        <f aca="false">N($C30)+N($D30)</f>
        <v>0</v>
      </c>
    </row>
    <row r="31" customFormat="false" ht="15" hidden="false" customHeight="true" outlineLevel="0" collapsed="false">
      <c r="A31" s="9" t="n">
        <v>5</v>
      </c>
      <c r="B31" s="9" t="s">
        <v>54</v>
      </c>
      <c r="C31" s="9" t="n">
        <f aca="false">SUMIFS(Calcul_puntuacio!$M:$M,Calcul_puntuacio!$A:$A,$A31,Calcul_puntuacio!$B:$B,$B31)</f>
        <v>0</v>
      </c>
      <c r="D31" s="9" t="n">
        <f aca="false">SUMIFS(Respostes_usuari!$F:$F,Respostes_usuari!$A:$A,$A31,Respostes_usuari!$B:$B,$B31)</f>
        <v>0</v>
      </c>
      <c r="E31" s="9" t="n">
        <f aca="false">N($C31)+N($D31)</f>
        <v>0</v>
      </c>
    </row>
    <row r="32" customFormat="false" ht="15" hidden="false" customHeight="true" outlineLevel="0" collapsed="false">
      <c r="A32" s="9" t="n">
        <v>5</v>
      </c>
      <c r="B32" s="9" t="s">
        <v>64</v>
      </c>
      <c r="C32" s="9" t="n">
        <f aca="false">SUMIFS(Calcul_puntuacio!$M:$M,Calcul_puntuacio!$A:$A,$A32,Calcul_puntuacio!$B:$B,$B32)</f>
        <v>0</v>
      </c>
      <c r="D32" s="9" t="n">
        <f aca="false">SUMIFS(Respostes_usuari!$F:$F,Respostes_usuari!$A:$A,$A32,Respostes_usuari!$B:$B,$B32)</f>
        <v>0</v>
      </c>
      <c r="E32" s="9" t="n">
        <f aca="false">N($C32)+N($D32)</f>
        <v>0</v>
      </c>
    </row>
    <row r="33" customFormat="false" ht="15" hidden="false" customHeight="true" outlineLevel="0" collapsed="false">
      <c r="A33" s="9" t="n">
        <v>5</v>
      </c>
      <c r="B33" s="9" t="s">
        <v>73</v>
      </c>
      <c r="C33" s="9" t="n">
        <f aca="false">SUMIFS(Calcul_puntuacio!$M:$M,Calcul_puntuacio!$A:$A,$A33,Calcul_puntuacio!$B:$B,$B33)</f>
        <v>0</v>
      </c>
      <c r="D33" s="9" t="n">
        <f aca="false">SUMIFS(Respostes_usuari!$F:$F,Respostes_usuari!$A:$A,$A33,Respostes_usuari!$B:$B,$B33)</f>
        <v>0</v>
      </c>
      <c r="E33" s="9" t="n">
        <f aca="false">N($C33)+N($D33)</f>
        <v>0</v>
      </c>
    </row>
    <row r="34" customFormat="false" ht="15" hidden="false" customHeight="true" outlineLevel="0" collapsed="false">
      <c r="A34" s="9" t="n">
        <v>5</v>
      </c>
      <c r="B34" s="9" t="s">
        <v>85</v>
      </c>
      <c r="C34" s="9" t="n">
        <f aca="false">SUMIFS(Calcul_puntuacio!$M:$M,Calcul_puntuacio!$A:$A,$A34,Calcul_puntuacio!$B:$B,$B34)</f>
        <v>0</v>
      </c>
      <c r="D34" s="9" t="n">
        <f aca="false">SUMIFS(Respostes_usuari!$F:$F,Respostes_usuari!$A:$A,$A34,Respostes_usuari!$B:$B,$B34)</f>
        <v>0</v>
      </c>
      <c r="E34" s="9" t="n">
        <f aca="false">N($C34)+N($D34)</f>
        <v>0</v>
      </c>
    </row>
    <row r="35" customFormat="false" ht="15" hidden="false" customHeight="true" outlineLevel="0" collapsed="false">
      <c r="A35" s="9" t="n">
        <v>5</v>
      </c>
      <c r="B35" s="9" t="s">
        <v>94</v>
      </c>
      <c r="C35" s="9" t="n">
        <f aca="false">SUMIFS(Calcul_puntuacio!$M:$M,Calcul_puntuacio!$A:$A,$A35,Calcul_puntuacio!$B:$B,$B35)</f>
        <v>0</v>
      </c>
      <c r="D35" s="9" t="n">
        <f aca="false">SUMIFS(Respostes_usuari!$F:$F,Respostes_usuari!$A:$A,$A35,Respostes_usuari!$B:$B,$B35)</f>
        <v>0</v>
      </c>
      <c r="E35" s="9" t="n">
        <f aca="false">N($C35)+N($D35)</f>
        <v>0</v>
      </c>
    </row>
    <row r="36" customFormat="false" ht="15" hidden="false" customHeight="true" outlineLevel="0" collapsed="false">
      <c r="A36" s="9" t="n">
        <v>5</v>
      </c>
      <c r="B36" s="9" t="s">
        <v>26</v>
      </c>
      <c r="C36" s="9" t="n">
        <f aca="false">SUMIFS(Calcul_puntuacio!$M:$M,Calcul_puntuacio!$A:$A,$A36,Calcul_puntuacio!$B:$B,$B36)</f>
        <v>0</v>
      </c>
      <c r="D36" s="9" t="n">
        <f aca="false">SUMIFS(Respostes_usuari!$F:$F,Respostes_usuari!$A:$A,$A36,Respostes_usuari!$B:$B,$B36)</f>
        <v>0</v>
      </c>
      <c r="E36" s="9" t="n">
        <f aca="false">N($C36)+N($D36)</f>
        <v>0</v>
      </c>
    </row>
    <row r="37" customFormat="false" ht="15" hidden="false" customHeight="true" outlineLevel="0" collapsed="false">
      <c r="A37" s="9" t="n">
        <v>6</v>
      </c>
      <c r="B37" s="9" t="s">
        <v>43</v>
      </c>
      <c r="C37" s="9" t="n">
        <f aca="false">SUMIFS(Calcul_puntuacio!$M:$M,Calcul_puntuacio!$A:$A,$A37,Calcul_puntuacio!$B:$B,$B37)</f>
        <v>0</v>
      </c>
      <c r="D37" s="9" t="n">
        <f aca="false">SUMIFS(Respostes_usuari!$F:$F,Respostes_usuari!$A:$A,$A37,Respostes_usuari!$B:$B,$B37)</f>
        <v>0</v>
      </c>
      <c r="E37" s="9" t="n">
        <f aca="false">N($C37)+N($D37)</f>
        <v>0</v>
      </c>
    </row>
    <row r="38" customFormat="false" ht="15" hidden="false" customHeight="true" outlineLevel="0" collapsed="false">
      <c r="A38" s="9" t="n">
        <v>6</v>
      </c>
      <c r="B38" s="9" t="s">
        <v>54</v>
      </c>
      <c r="C38" s="9" t="n">
        <f aca="false">SUMIFS(Calcul_puntuacio!$M:$M,Calcul_puntuacio!$A:$A,$A38,Calcul_puntuacio!$B:$B,$B38)</f>
        <v>0</v>
      </c>
      <c r="D38" s="9" t="n">
        <f aca="false">SUMIFS(Respostes_usuari!$F:$F,Respostes_usuari!$A:$A,$A38,Respostes_usuari!$B:$B,$B38)</f>
        <v>0</v>
      </c>
      <c r="E38" s="9" t="n">
        <f aca="false">N($C38)+N($D38)</f>
        <v>0</v>
      </c>
    </row>
    <row r="39" customFormat="false" ht="15" hidden="false" customHeight="true" outlineLevel="0" collapsed="false">
      <c r="A39" s="9" t="n">
        <v>6</v>
      </c>
      <c r="B39" s="9" t="s">
        <v>64</v>
      </c>
      <c r="C39" s="9" t="n">
        <f aca="false">SUMIFS(Calcul_puntuacio!$M:$M,Calcul_puntuacio!$A:$A,$A39,Calcul_puntuacio!$B:$B,$B39)</f>
        <v>0</v>
      </c>
      <c r="D39" s="9" t="n">
        <f aca="false">SUMIFS(Respostes_usuari!$F:$F,Respostes_usuari!$A:$A,$A39,Respostes_usuari!$B:$B,$B39)</f>
        <v>0</v>
      </c>
      <c r="E39" s="9" t="n">
        <f aca="false">N($C39)+N($D39)</f>
        <v>0</v>
      </c>
    </row>
    <row r="40" customFormat="false" ht="15" hidden="false" customHeight="true" outlineLevel="0" collapsed="false">
      <c r="A40" s="9" t="n">
        <v>6</v>
      </c>
      <c r="B40" s="9" t="s">
        <v>73</v>
      </c>
      <c r="C40" s="9" t="n">
        <f aca="false">SUMIFS(Calcul_puntuacio!$M:$M,Calcul_puntuacio!$A:$A,$A40,Calcul_puntuacio!$B:$B,$B40)</f>
        <v>0</v>
      </c>
      <c r="D40" s="9" t="n">
        <f aca="false">SUMIFS(Respostes_usuari!$F:$F,Respostes_usuari!$A:$A,$A40,Respostes_usuari!$B:$B,$B40)</f>
        <v>0</v>
      </c>
      <c r="E40" s="9" t="n">
        <f aca="false">N($C40)+N($D40)</f>
        <v>0</v>
      </c>
    </row>
    <row r="41" customFormat="false" ht="15" hidden="false" customHeight="true" outlineLevel="0" collapsed="false">
      <c r="A41" s="9" t="n">
        <v>6</v>
      </c>
      <c r="B41" s="9" t="s">
        <v>85</v>
      </c>
      <c r="C41" s="9" t="n">
        <f aca="false">SUMIFS(Calcul_puntuacio!$M:$M,Calcul_puntuacio!$A:$A,$A41,Calcul_puntuacio!$B:$B,$B41)</f>
        <v>0</v>
      </c>
      <c r="D41" s="9" t="n">
        <f aca="false">SUMIFS(Respostes_usuari!$F:$F,Respostes_usuari!$A:$A,$A41,Respostes_usuari!$B:$B,$B41)</f>
        <v>0</v>
      </c>
      <c r="E41" s="9" t="n">
        <f aca="false">N($C41)+N($D41)</f>
        <v>0</v>
      </c>
    </row>
    <row r="42" customFormat="false" ht="15" hidden="false" customHeight="true" outlineLevel="0" collapsed="false">
      <c r="A42" s="9" t="n">
        <v>6</v>
      </c>
      <c r="B42" s="9" t="s">
        <v>94</v>
      </c>
      <c r="C42" s="9" t="n">
        <f aca="false">SUMIFS(Calcul_puntuacio!$M:$M,Calcul_puntuacio!$A:$A,$A42,Calcul_puntuacio!$B:$B,$B42)</f>
        <v>0</v>
      </c>
      <c r="D42" s="9" t="n">
        <f aca="false">SUMIFS(Respostes_usuari!$F:$F,Respostes_usuari!$A:$A,$A42,Respostes_usuari!$B:$B,$B42)</f>
        <v>0</v>
      </c>
      <c r="E42" s="9" t="n">
        <f aca="false">N($C42)+N($D42)</f>
        <v>0</v>
      </c>
    </row>
    <row r="43" customFormat="false" ht="15" hidden="false" customHeight="true" outlineLevel="0" collapsed="false">
      <c r="A43" s="9" t="n">
        <v>6</v>
      </c>
      <c r="B43" s="9" t="s">
        <v>26</v>
      </c>
      <c r="C43" s="9" t="n">
        <f aca="false">SUMIFS(Calcul_puntuacio!$M:$M,Calcul_puntuacio!$A:$A,$A43,Calcul_puntuacio!$B:$B,$B43)</f>
        <v>0</v>
      </c>
      <c r="D43" s="9" t="n">
        <f aca="false">SUMIFS(Respostes_usuari!$F:$F,Respostes_usuari!$A:$A,$A43,Respostes_usuari!$B:$B,$B43)</f>
        <v>0</v>
      </c>
      <c r="E43" s="9" t="n">
        <f aca="false">N($C43)+N($D43)</f>
        <v>0</v>
      </c>
    </row>
    <row r="44" customFormat="false" ht="15" hidden="false" customHeight="true" outlineLevel="0" collapsed="false">
      <c r="A44" s="9" t="n">
        <v>7</v>
      </c>
      <c r="B44" s="9" t="s">
        <v>43</v>
      </c>
      <c r="C44" s="9" t="n">
        <f aca="false">SUMIFS(Calcul_puntuacio!$M:$M,Calcul_puntuacio!$A:$A,$A44,Calcul_puntuacio!$B:$B,$B44)</f>
        <v>0</v>
      </c>
      <c r="D44" s="9" t="n">
        <f aca="false">SUMIFS(Respostes_usuari!$F:$F,Respostes_usuari!$A:$A,$A44,Respostes_usuari!$B:$B,$B44)</f>
        <v>0</v>
      </c>
      <c r="E44" s="9" t="n">
        <f aca="false">N($C44)+N($D44)</f>
        <v>0</v>
      </c>
    </row>
    <row r="45" customFormat="false" ht="15" hidden="false" customHeight="true" outlineLevel="0" collapsed="false">
      <c r="A45" s="9" t="n">
        <v>7</v>
      </c>
      <c r="B45" s="9" t="s">
        <v>54</v>
      </c>
      <c r="C45" s="9" t="n">
        <f aca="false">SUMIFS(Calcul_puntuacio!$M:$M,Calcul_puntuacio!$A:$A,$A45,Calcul_puntuacio!$B:$B,$B45)</f>
        <v>0</v>
      </c>
      <c r="D45" s="9" t="n">
        <f aca="false">SUMIFS(Respostes_usuari!$F:$F,Respostes_usuari!$A:$A,$A45,Respostes_usuari!$B:$B,$B45)</f>
        <v>0</v>
      </c>
      <c r="E45" s="9" t="n">
        <f aca="false">N($C45)+N($D45)</f>
        <v>0</v>
      </c>
    </row>
    <row r="46" customFormat="false" ht="15" hidden="false" customHeight="true" outlineLevel="0" collapsed="false">
      <c r="A46" s="9" t="n">
        <v>7</v>
      </c>
      <c r="B46" s="9" t="s">
        <v>64</v>
      </c>
      <c r="C46" s="9" t="n">
        <f aca="false">SUMIFS(Calcul_puntuacio!$M:$M,Calcul_puntuacio!$A:$A,$A46,Calcul_puntuacio!$B:$B,$B46)</f>
        <v>0</v>
      </c>
      <c r="D46" s="9" t="n">
        <f aca="false">SUMIFS(Respostes_usuari!$F:$F,Respostes_usuari!$A:$A,$A46,Respostes_usuari!$B:$B,$B46)</f>
        <v>0</v>
      </c>
      <c r="E46" s="9" t="n">
        <f aca="false">N($C46)+N($D46)</f>
        <v>0</v>
      </c>
    </row>
    <row r="47" customFormat="false" ht="15" hidden="false" customHeight="true" outlineLevel="0" collapsed="false">
      <c r="A47" s="9" t="n">
        <v>7</v>
      </c>
      <c r="B47" s="9" t="s">
        <v>73</v>
      </c>
      <c r="C47" s="9" t="n">
        <f aca="false">SUMIFS(Calcul_puntuacio!$M:$M,Calcul_puntuacio!$A:$A,$A47,Calcul_puntuacio!$B:$B,$B47)</f>
        <v>0</v>
      </c>
      <c r="D47" s="9" t="n">
        <f aca="false">SUMIFS(Respostes_usuari!$F:$F,Respostes_usuari!$A:$A,$A47,Respostes_usuari!$B:$B,$B47)</f>
        <v>0</v>
      </c>
      <c r="E47" s="9" t="n">
        <f aca="false">N($C47)+N($D47)</f>
        <v>0</v>
      </c>
    </row>
    <row r="48" customFormat="false" ht="15" hidden="false" customHeight="true" outlineLevel="0" collapsed="false">
      <c r="A48" s="9" t="n">
        <v>7</v>
      </c>
      <c r="B48" s="9" t="s">
        <v>85</v>
      </c>
      <c r="C48" s="9" t="n">
        <f aca="false">SUMIFS(Calcul_puntuacio!$M:$M,Calcul_puntuacio!$A:$A,$A48,Calcul_puntuacio!$B:$B,$B48)</f>
        <v>0</v>
      </c>
      <c r="D48" s="9" t="n">
        <f aca="false">SUMIFS(Respostes_usuari!$F:$F,Respostes_usuari!$A:$A,$A48,Respostes_usuari!$B:$B,$B48)</f>
        <v>0</v>
      </c>
      <c r="E48" s="9" t="n">
        <f aca="false">N($C48)+N($D48)</f>
        <v>0</v>
      </c>
    </row>
    <row r="49" customFormat="false" ht="15" hidden="false" customHeight="true" outlineLevel="0" collapsed="false">
      <c r="A49" s="9" t="n">
        <v>7</v>
      </c>
      <c r="B49" s="9" t="s">
        <v>94</v>
      </c>
      <c r="C49" s="9" t="n">
        <f aca="false">SUMIFS(Calcul_puntuacio!$M:$M,Calcul_puntuacio!$A:$A,$A49,Calcul_puntuacio!$B:$B,$B49)</f>
        <v>0</v>
      </c>
      <c r="D49" s="9" t="n">
        <f aca="false">SUMIFS(Respostes_usuari!$F:$F,Respostes_usuari!$A:$A,$A49,Respostes_usuari!$B:$B,$B49)</f>
        <v>0</v>
      </c>
      <c r="E49" s="9" t="n">
        <f aca="false">N($C49)+N($D49)</f>
        <v>0</v>
      </c>
    </row>
    <row r="50" customFormat="false" ht="15" hidden="false" customHeight="true" outlineLevel="0" collapsed="false">
      <c r="A50" s="9" t="n">
        <v>7</v>
      </c>
      <c r="B50" s="9" t="s">
        <v>26</v>
      </c>
      <c r="C50" s="9" t="n">
        <f aca="false">SUMIFS(Calcul_puntuacio!$M:$M,Calcul_puntuacio!$A:$A,$A50,Calcul_puntuacio!$B:$B,$B50)</f>
        <v>0</v>
      </c>
      <c r="D50" s="9" t="n">
        <f aca="false">SUMIFS(Respostes_usuari!$F:$F,Respostes_usuari!$A:$A,$A50,Respostes_usuari!$B:$B,$B50)</f>
        <v>0</v>
      </c>
      <c r="E50" s="9" t="n">
        <f aca="false">N($C50)+N($D50)</f>
        <v>0</v>
      </c>
    </row>
    <row r="51" customFormat="false" ht="15" hidden="false" customHeight="true" outlineLevel="0" collapsed="false">
      <c r="A51" s="9" t="n">
        <v>8</v>
      </c>
      <c r="B51" s="9" t="s">
        <v>43</v>
      </c>
      <c r="C51" s="9" t="n">
        <f aca="false">SUMIFS(Calcul_puntuacio!$M:$M,Calcul_puntuacio!$A:$A,$A51,Calcul_puntuacio!$B:$B,$B51)</f>
        <v>0</v>
      </c>
      <c r="D51" s="9" t="n">
        <f aca="false">SUMIFS(Respostes_usuari!$F:$F,Respostes_usuari!$A:$A,$A51,Respostes_usuari!$B:$B,$B51)</f>
        <v>0</v>
      </c>
      <c r="E51" s="9" t="n">
        <f aca="false">N($C51)+N($D51)</f>
        <v>0</v>
      </c>
    </row>
    <row r="52" customFormat="false" ht="15" hidden="false" customHeight="true" outlineLevel="0" collapsed="false">
      <c r="A52" s="9" t="n">
        <v>8</v>
      </c>
      <c r="B52" s="9" t="s">
        <v>54</v>
      </c>
      <c r="C52" s="9" t="n">
        <f aca="false">SUMIFS(Calcul_puntuacio!$M:$M,Calcul_puntuacio!$A:$A,$A52,Calcul_puntuacio!$B:$B,$B52)</f>
        <v>0</v>
      </c>
      <c r="D52" s="9" t="n">
        <f aca="false">SUMIFS(Respostes_usuari!$F:$F,Respostes_usuari!$A:$A,$A52,Respostes_usuari!$B:$B,$B52)</f>
        <v>0</v>
      </c>
      <c r="E52" s="9" t="n">
        <f aca="false">N($C52)+N($D52)</f>
        <v>0</v>
      </c>
    </row>
    <row r="53" customFormat="false" ht="15" hidden="false" customHeight="true" outlineLevel="0" collapsed="false">
      <c r="A53" s="9" t="n">
        <v>8</v>
      </c>
      <c r="B53" s="9" t="s">
        <v>64</v>
      </c>
      <c r="C53" s="9" t="n">
        <f aca="false">SUMIFS(Calcul_puntuacio!$M:$M,Calcul_puntuacio!$A:$A,$A53,Calcul_puntuacio!$B:$B,$B53)</f>
        <v>0</v>
      </c>
      <c r="D53" s="9" t="n">
        <f aca="false">SUMIFS(Respostes_usuari!$F:$F,Respostes_usuari!$A:$A,$A53,Respostes_usuari!$B:$B,$B53)</f>
        <v>0</v>
      </c>
      <c r="E53" s="9" t="n">
        <f aca="false">N($C53)+N($D53)</f>
        <v>0</v>
      </c>
    </row>
    <row r="54" customFormat="false" ht="15" hidden="false" customHeight="true" outlineLevel="0" collapsed="false">
      <c r="A54" s="9" t="n">
        <v>8</v>
      </c>
      <c r="B54" s="9" t="s">
        <v>73</v>
      </c>
      <c r="C54" s="9" t="n">
        <f aca="false">SUMIFS(Calcul_puntuacio!$M:$M,Calcul_puntuacio!$A:$A,$A54,Calcul_puntuacio!$B:$B,$B54)</f>
        <v>0</v>
      </c>
      <c r="D54" s="9" t="n">
        <f aca="false">SUMIFS(Respostes_usuari!$F:$F,Respostes_usuari!$A:$A,$A54,Respostes_usuari!$B:$B,$B54)</f>
        <v>0</v>
      </c>
      <c r="E54" s="9" t="n">
        <f aca="false">N($C54)+N($D54)</f>
        <v>0</v>
      </c>
    </row>
    <row r="55" customFormat="false" ht="15" hidden="false" customHeight="true" outlineLevel="0" collapsed="false">
      <c r="A55" s="9" t="n">
        <v>8</v>
      </c>
      <c r="B55" s="9" t="s">
        <v>85</v>
      </c>
      <c r="C55" s="9" t="n">
        <f aca="false">SUMIFS(Calcul_puntuacio!$M:$M,Calcul_puntuacio!$A:$A,$A55,Calcul_puntuacio!$B:$B,$B55)</f>
        <v>0</v>
      </c>
      <c r="D55" s="9" t="n">
        <f aca="false">SUMIFS(Respostes_usuari!$F:$F,Respostes_usuari!$A:$A,$A55,Respostes_usuari!$B:$B,$B55)</f>
        <v>0</v>
      </c>
      <c r="E55" s="9" t="n">
        <f aca="false">N($C55)+N($D55)</f>
        <v>0</v>
      </c>
    </row>
    <row r="56" customFormat="false" ht="15" hidden="false" customHeight="true" outlineLevel="0" collapsed="false">
      <c r="A56" s="9" t="n">
        <v>8</v>
      </c>
      <c r="B56" s="9" t="s">
        <v>94</v>
      </c>
      <c r="C56" s="9" t="n">
        <f aca="false">SUMIFS(Calcul_puntuacio!$M:$M,Calcul_puntuacio!$A:$A,$A56,Calcul_puntuacio!$B:$B,$B56)</f>
        <v>0</v>
      </c>
      <c r="D56" s="9" t="n">
        <f aca="false">SUMIFS(Respostes_usuari!$F:$F,Respostes_usuari!$A:$A,$A56,Respostes_usuari!$B:$B,$B56)</f>
        <v>0</v>
      </c>
      <c r="E56" s="9" t="n">
        <f aca="false">N($C56)+N($D56)</f>
        <v>0</v>
      </c>
    </row>
    <row r="57" customFormat="false" ht="15" hidden="false" customHeight="true" outlineLevel="0" collapsed="false">
      <c r="A57" s="9" t="n">
        <v>8</v>
      </c>
      <c r="B57" s="9" t="s">
        <v>26</v>
      </c>
      <c r="C57" s="9" t="n">
        <f aca="false">SUMIFS(Calcul_puntuacio!$M:$M,Calcul_puntuacio!$A:$A,$A57,Calcul_puntuacio!$B:$B,$B57)</f>
        <v>0</v>
      </c>
      <c r="D57" s="9" t="n">
        <f aca="false">SUMIFS(Respostes_usuari!$F:$F,Respostes_usuari!$A:$A,$A57,Respostes_usuari!$B:$B,$B57)</f>
        <v>0</v>
      </c>
      <c r="E57" s="9" t="n">
        <f aca="false">N($C57)+N($D57)</f>
        <v>0</v>
      </c>
    </row>
    <row r="58" customFormat="false" ht="15" hidden="false" customHeight="true" outlineLevel="0" collapsed="false">
      <c r="A58" s="9" t="n">
        <v>9</v>
      </c>
      <c r="B58" s="9" t="s">
        <v>43</v>
      </c>
      <c r="C58" s="9" t="n">
        <f aca="false">SUMIFS(Calcul_puntuacio!$M:$M,Calcul_puntuacio!$A:$A,$A58,Calcul_puntuacio!$B:$B,$B58)</f>
        <v>0</v>
      </c>
      <c r="D58" s="9" t="n">
        <f aca="false">SUMIFS(Respostes_usuari!$F:$F,Respostes_usuari!$A:$A,$A58,Respostes_usuari!$B:$B,$B58)</f>
        <v>0</v>
      </c>
      <c r="E58" s="9" t="n">
        <f aca="false">N($C58)+N($D58)</f>
        <v>0</v>
      </c>
    </row>
    <row r="59" customFormat="false" ht="15" hidden="false" customHeight="true" outlineLevel="0" collapsed="false">
      <c r="A59" s="9" t="n">
        <v>9</v>
      </c>
      <c r="B59" s="9" t="s">
        <v>54</v>
      </c>
      <c r="C59" s="9" t="n">
        <f aca="false">SUMIFS(Calcul_puntuacio!$M:$M,Calcul_puntuacio!$A:$A,$A59,Calcul_puntuacio!$B:$B,$B59)</f>
        <v>0</v>
      </c>
      <c r="D59" s="9" t="n">
        <f aca="false">SUMIFS(Respostes_usuari!$F:$F,Respostes_usuari!$A:$A,$A59,Respostes_usuari!$B:$B,$B59)</f>
        <v>0</v>
      </c>
      <c r="E59" s="9" t="n">
        <f aca="false">N($C59)+N($D59)</f>
        <v>0</v>
      </c>
    </row>
    <row r="60" customFormat="false" ht="15" hidden="false" customHeight="true" outlineLevel="0" collapsed="false">
      <c r="A60" s="9" t="n">
        <v>9</v>
      </c>
      <c r="B60" s="9" t="s">
        <v>64</v>
      </c>
      <c r="C60" s="9" t="n">
        <f aca="false">SUMIFS(Calcul_puntuacio!$M:$M,Calcul_puntuacio!$A:$A,$A60,Calcul_puntuacio!$B:$B,$B60)</f>
        <v>0</v>
      </c>
      <c r="D60" s="9" t="n">
        <f aca="false">SUMIFS(Respostes_usuari!$F:$F,Respostes_usuari!$A:$A,$A60,Respostes_usuari!$B:$B,$B60)</f>
        <v>0</v>
      </c>
      <c r="E60" s="9" t="n">
        <f aca="false">N($C60)+N($D60)</f>
        <v>0</v>
      </c>
    </row>
    <row r="61" customFormat="false" ht="15" hidden="false" customHeight="true" outlineLevel="0" collapsed="false">
      <c r="A61" s="9" t="n">
        <v>9</v>
      </c>
      <c r="B61" s="9" t="s">
        <v>73</v>
      </c>
      <c r="C61" s="9" t="n">
        <f aca="false">SUMIFS(Calcul_puntuacio!$M:$M,Calcul_puntuacio!$A:$A,$A61,Calcul_puntuacio!$B:$B,$B61)</f>
        <v>0</v>
      </c>
      <c r="D61" s="9" t="n">
        <f aca="false">SUMIFS(Respostes_usuari!$F:$F,Respostes_usuari!$A:$A,$A61,Respostes_usuari!$B:$B,$B61)</f>
        <v>0</v>
      </c>
      <c r="E61" s="9" t="n">
        <f aca="false">N($C61)+N($D61)</f>
        <v>0</v>
      </c>
    </row>
    <row r="62" customFormat="false" ht="15" hidden="false" customHeight="true" outlineLevel="0" collapsed="false">
      <c r="A62" s="9" t="n">
        <v>9</v>
      </c>
      <c r="B62" s="9" t="s">
        <v>85</v>
      </c>
      <c r="C62" s="9" t="n">
        <f aca="false">SUMIFS(Calcul_puntuacio!$M:$M,Calcul_puntuacio!$A:$A,$A62,Calcul_puntuacio!$B:$B,$B62)</f>
        <v>0</v>
      </c>
      <c r="D62" s="9" t="n">
        <f aca="false">SUMIFS(Respostes_usuari!$F:$F,Respostes_usuari!$A:$A,$A62,Respostes_usuari!$B:$B,$B62)</f>
        <v>0</v>
      </c>
      <c r="E62" s="9" t="n">
        <f aca="false">N($C62)+N($D62)</f>
        <v>0</v>
      </c>
    </row>
    <row r="63" customFormat="false" ht="15" hidden="false" customHeight="true" outlineLevel="0" collapsed="false">
      <c r="A63" s="9" t="n">
        <v>9</v>
      </c>
      <c r="B63" s="9" t="s">
        <v>94</v>
      </c>
      <c r="C63" s="9" t="n">
        <f aca="false">SUMIFS(Calcul_puntuacio!$M:$M,Calcul_puntuacio!$A:$A,$A63,Calcul_puntuacio!$B:$B,$B63)</f>
        <v>0</v>
      </c>
      <c r="D63" s="9" t="n">
        <f aca="false">SUMIFS(Respostes_usuari!$F:$F,Respostes_usuari!$A:$A,$A63,Respostes_usuari!$B:$B,$B63)</f>
        <v>0</v>
      </c>
      <c r="E63" s="9" t="n">
        <f aca="false">N($C63)+N($D63)</f>
        <v>0</v>
      </c>
    </row>
    <row r="64" customFormat="false" ht="15" hidden="false" customHeight="true" outlineLevel="0" collapsed="false">
      <c r="A64" s="9" t="n">
        <v>9</v>
      </c>
      <c r="B64" s="9" t="s">
        <v>26</v>
      </c>
      <c r="C64" s="9" t="n">
        <f aca="false">SUMIFS(Calcul_puntuacio!$M:$M,Calcul_puntuacio!$A:$A,$A64,Calcul_puntuacio!$B:$B,$B64)</f>
        <v>0</v>
      </c>
      <c r="D64" s="9" t="n">
        <f aca="false">SUMIFS(Respostes_usuari!$F:$F,Respostes_usuari!$A:$A,$A64,Respostes_usuari!$B:$B,$B64)</f>
        <v>0</v>
      </c>
      <c r="E64" s="9" t="n">
        <f aca="false">N($C64)+N($D64)</f>
        <v>0</v>
      </c>
    </row>
    <row r="65" customFormat="false" ht="15" hidden="false" customHeight="true" outlineLevel="0" collapsed="false">
      <c r="A65" s="9" t="n">
        <v>10</v>
      </c>
      <c r="B65" s="9" t="s">
        <v>43</v>
      </c>
      <c r="C65" s="9" t="n">
        <f aca="false">SUMIFS(Calcul_puntuacio!$M:$M,Calcul_puntuacio!$A:$A,$A65,Calcul_puntuacio!$B:$B,$B65)</f>
        <v>0</v>
      </c>
      <c r="D65" s="9" t="n">
        <f aca="false">SUMIFS(Respostes_usuari!$F:$F,Respostes_usuari!$A:$A,$A65,Respostes_usuari!$B:$B,$B65)</f>
        <v>0</v>
      </c>
      <c r="E65" s="9" t="n">
        <f aca="false">N($C65)+N($D65)</f>
        <v>0</v>
      </c>
    </row>
    <row r="66" customFormat="false" ht="15" hidden="false" customHeight="true" outlineLevel="0" collapsed="false">
      <c r="A66" s="9" t="n">
        <v>10</v>
      </c>
      <c r="B66" s="9" t="s">
        <v>54</v>
      </c>
      <c r="C66" s="9" t="n">
        <f aca="false">SUMIFS(Calcul_puntuacio!$M:$M,Calcul_puntuacio!$A:$A,$A66,Calcul_puntuacio!$B:$B,$B66)</f>
        <v>0</v>
      </c>
      <c r="D66" s="9" t="n">
        <f aca="false">SUMIFS(Respostes_usuari!$F:$F,Respostes_usuari!$A:$A,$A66,Respostes_usuari!$B:$B,$B66)</f>
        <v>0</v>
      </c>
      <c r="E66" s="9" t="n">
        <f aca="false">N($C66)+N($D66)</f>
        <v>0</v>
      </c>
    </row>
    <row r="67" customFormat="false" ht="15" hidden="false" customHeight="true" outlineLevel="0" collapsed="false">
      <c r="A67" s="9" t="n">
        <v>10</v>
      </c>
      <c r="B67" s="9" t="s">
        <v>64</v>
      </c>
      <c r="C67" s="9" t="n">
        <f aca="false">SUMIFS(Calcul_puntuacio!$M:$M,Calcul_puntuacio!$A:$A,$A67,Calcul_puntuacio!$B:$B,$B67)</f>
        <v>0</v>
      </c>
      <c r="D67" s="9" t="n">
        <f aca="false">SUMIFS(Respostes_usuari!$F:$F,Respostes_usuari!$A:$A,$A67,Respostes_usuari!$B:$B,$B67)</f>
        <v>0</v>
      </c>
      <c r="E67" s="9" t="n">
        <f aca="false">N($C67)+N($D67)</f>
        <v>0</v>
      </c>
    </row>
    <row r="68" customFormat="false" ht="15" hidden="false" customHeight="true" outlineLevel="0" collapsed="false">
      <c r="A68" s="9" t="n">
        <v>10</v>
      </c>
      <c r="B68" s="9" t="s">
        <v>73</v>
      </c>
      <c r="C68" s="9" t="n">
        <f aca="false">SUMIFS(Calcul_puntuacio!$M:$M,Calcul_puntuacio!$A:$A,$A68,Calcul_puntuacio!$B:$B,$B68)</f>
        <v>0</v>
      </c>
      <c r="D68" s="9" t="n">
        <f aca="false">SUMIFS(Respostes_usuari!$F:$F,Respostes_usuari!$A:$A,$A68,Respostes_usuari!$B:$B,$B68)</f>
        <v>0</v>
      </c>
      <c r="E68" s="9" t="n">
        <f aca="false">N($C68)+N($D68)</f>
        <v>0</v>
      </c>
    </row>
    <row r="69" customFormat="false" ht="15" hidden="false" customHeight="true" outlineLevel="0" collapsed="false">
      <c r="A69" s="9" t="n">
        <v>10</v>
      </c>
      <c r="B69" s="9" t="s">
        <v>85</v>
      </c>
      <c r="C69" s="9" t="n">
        <f aca="false">SUMIFS(Calcul_puntuacio!$M:$M,Calcul_puntuacio!$A:$A,$A69,Calcul_puntuacio!$B:$B,$B69)</f>
        <v>0</v>
      </c>
      <c r="D69" s="9" t="n">
        <f aca="false">SUMIFS(Respostes_usuari!$F:$F,Respostes_usuari!$A:$A,$A69,Respostes_usuari!$B:$B,$B69)</f>
        <v>0</v>
      </c>
      <c r="E69" s="9" t="n">
        <f aca="false">N($C69)+N($D69)</f>
        <v>0</v>
      </c>
    </row>
    <row r="70" customFormat="false" ht="15" hidden="false" customHeight="true" outlineLevel="0" collapsed="false">
      <c r="A70" s="9" t="n">
        <v>10</v>
      </c>
      <c r="B70" s="9" t="s">
        <v>94</v>
      </c>
      <c r="C70" s="9" t="n">
        <f aca="false">SUMIFS(Calcul_puntuacio!$M:$M,Calcul_puntuacio!$A:$A,$A70,Calcul_puntuacio!$B:$B,$B70)</f>
        <v>0</v>
      </c>
      <c r="D70" s="9" t="n">
        <f aca="false">SUMIFS(Respostes_usuari!$F:$F,Respostes_usuari!$A:$A,$A70,Respostes_usuari!$B:$B,$B70)</f>
        <v>0</v>
      </c>
      <c r="E70" s="9" t="n">
        <f aca="false">N($C70)+N($D70)</f>
        <v>0</v>
      </c>
    </row>
    <row r="71" customFormat="false" ht="15" hidden="false" customHeight="true" outlineLevel="0" collapsed="false">
      <c r="A71" s="9" t="n">
        <v>10</v>
      </c>
      <c r="B71" s="9" t="s">
        <v>26</v>
      </c>
      <c r="C71" s="9" t="n">
        <f aca="false">SUMIFS(Calcul_puntuacio!$M:$M,Calcul_puntuacio!$A:$A,$A71,Calcul_puntuacio!$B:$B,$B71)</f>
        <v>0</v>
      </c>
      <c r="D71" s="9" t="n">
        <f aca="false">SUMIFS(Respostes_usuari!$F:$F,Respostes_usuari!$A:$A,$A71,Respostes_usuari!$B:$B,$B71)</f>
        <v>0</v>
      </c>
      <c r="E71" s="9" t="n">
        <f aca="false">N($C71)+N($D71)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7" width="14"/>
    <col collapsed="false" customWidth="true" hidden="false" outlineLevel="0" max="2" min="2" style="7" width="22"/>
  </cols>
  <sheetData>
    <row r="1" customFormat="false" ht="15" hidden="false" customHeight="true" outlineLevel="0" collapsed="false">
      <c r="A1" s="8" t="s">
        <v>131</v>
      </c>
      <c r="B1" s="8" t="s">
        <v>148</v>
      </c>
    </row>
    <row r="2" customFormat="false" ht="15" hidden="false" customHeight="true" outlineLevel="0" collapsed="false">
      <c r="A2" s="9" t="s">
        <v>43</v>
      </c>
      <c r="B2" s="9" t="n">
        <f aca="false">SUMIF(Classificacio!$B:$B,$A2,Classificacio!$E:$E)</f>
        <v>24.2</v>
      </c>
    </row>
    <row r="3" customFormat="false" ht="15" hidden="false" customHeight="true" outlineLevel="0" collapsed="false">
      <c r="A3" s="9" t="s">
        <v>54</v>
      </c>
      <c r="B3" s="9" t="n">
        <f aca="false">SUMIF(Classificacio!$B:$B,$A3,Classificacio!$E:$E)</f>
        <v>0</v>
      </c>
    </row>
    <row r="4" customFormat="false" ht="15" hidden="false" customHeight="true" outlineLevel="0" collapsed="false">
      <c r="A4" s="9" t="s">
        <v>64</v>
      </c>
      <c r="B4" s="9" t="n">
        <f aca="false">SUMIF(Classificacio!$B:$B,$A4,Classificacio!$E:$E)</f>
        <v>0</v>
      </c>
    </row>
    <row r="5" customFormat="false" ht="15" hidden="false" customHeight="true" outlineLevel="0" collapsed="false">
      <c r="A5" s="9" t="s">
        <v>73</v>
      </c>
      <c r="B5" s="9" t="n">
        <f aca="false">SUMIF(Classificacio!$B:$B,$A5,Classificacio!$E:$E)</f>
        <v>0</v>
      </c>
    </row>
    <row r="6" customFormat="false" ht="15" hidden="false" customHeight="true" outlineLevel="0" collapsed="false">
      <c r="A6" s="9" t="s">
        <v>85</v>
      </c>
      <c r="B6" s="9" t="n">
        <f aca="false">SUMIF(Classificacio!$B:$B,$A6,Classificacio!$E:$E)</f>
        <v>0</v>
      </c>
    </row>
    <row r="7" customFormat="false" ht="15" hidden="false" customHeight="true" outlineLevel="0" collapsed="false">
      <c r="A7" s="9" t="s">
        <v>94</v>
      </c>
      <c r="B7" s="9" t="n">
        <f aca="false">SUMIF(Classificacio!$B:$B,$A7,Classificacio!$E:$E)</f>
        <v>0</v>
      </c>
    </row>
    <row r="8" customFormat="false" ht="15" hidden="false" customHeight="true" outlineLevel="0" collapsed="false">
      <c r="A8" s="9" t="s">
        <v>26</v>
      </c>
      <c r="B8" s="9" t="n">
        <f aca="false">SUMIF(Classificacio!$B:$B,$A8,Classificacio!$E:$E)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2026-09-08T14:24:04Z</dcterms:created>
  <dc:creator>openpyxl</dc:creator>
  <dc:description/>
  <dc:language>en-US</dc:language>
  <cp:lastModifiedBy/>
  <dcterms:modified xsi:type="dcterms:W3CDTF">2026-09-08T14:25:58Z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